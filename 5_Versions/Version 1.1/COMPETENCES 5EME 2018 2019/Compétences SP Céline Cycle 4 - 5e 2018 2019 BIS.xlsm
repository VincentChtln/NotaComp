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ropbox\COMPETENCES 5EME 2018 2019\"/>
    </mc:Choice>
  </mc:AlternateContent>
  <bookViews>
    <workbookView xWindow="0" yWindow="0" windowWidth="19200" windowHeight="7110" tabRatio="711" firstSheet="4" activeTab="5"/>
  </bookViews>
  <sheets>
    <sheet name="Classe (5ème1)" sheetId="13" r:id="rId1"/>
    <sheet name="Elève (5ème1)" sheetId="14" r:id="rId2"/>
    <sheet name="Classe (5ème2)" sheetId="24" r:id="rId3"/>
    <sheet name="Elève (5ème2)" sheetId="26" r:id="rId4"/>
    <sheet name="Classe (5ème3)" sheetId="27" r:id="rId5"/>
    <sheet name="Elève (5ème3)" sheetId="28" r:id="rId6"/>
    <sheet name="Classe (5ème4)" sheetId="29" r:id="rId7"/>
    <sheet name="Elève (5ème4)" sheetId="30" r:id="rId8"/>
    <sheet name="Classe (5ème6)" sheetId="31" r:id="rId9"/>
    <sheet name="Elève (5ème6)" sheetId="32" r:id="rId10"/>
    <sheet name="Liste 5ème" sheetId="16" r:id="rId11"/>
    <sheet name="ref" sheetId="3" r:id="rId12"/>
  </sheets>
  <functionGroups builtInGroupCount="18"/>
  <definedNames>
    <definedName name="_xlnm._FilterDatabase" localSheetId="1" hidden="1">'Elève (5ème1)'!$A$2:$SR$25</definedName>
    <definedName name="_xlnm._FilterDatabase" localSheetId="3" hidden="1">'Elève (5ème2)'!$A$2:$SR$25</definedName>
    <definedName name="_xlnm._FilterDatabase" localSheetId="5" hidden="1">'Elève (5ème3)'!$A$2:$SR$25</definedName>
    <definedName name="_xlnm._FilterDatabase" localSheetId="7" hidden="1">'Elève (5ème4)'!$A$2:$SR$25</definedName>
    <definedName name="_xlnm._FilterDatabase" localSheetId="9" hidden="1">'Elève (5ème6)'!$A$2:$SR$25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4" i="32" l="1"/>
  <c r="SN22" i="32"/>
  <c r="SM22" i="32"/>
  <c r="SL22" i="32"/>
  <c r="SI22" i="32"/>
  <c r="SH22" i="32"/>
  <c r="SG22" i="32"/>
  <c r="SD22" i="32"/>
  <c r="SC22" i="32"/>
  <c r="SB22" i="32"/>
  <c r="RW22" i="32"/>
  <c r="RV22" i="32"/>
  <c r="RU22" i="32"/>
  <c r="RR22" i="32"/>
  <c r="RQ22" i="32"/>
  <c r="RP22" i="32"/>
  <c r="RM22" i="32"/>
  <c r="RL22" i="32"/>
  <c r="RK22" i="32"/>
  <c r="RF22" i="32"/>
  <c r="RE22" i="32"/>
  <c r="RD22" i="32"/>
  <c r="RA22" i="32"/>
  <c r="QZ22" i="32"/>
  <c r="QY22" i="32"/>
  <c r="QV22" i="32"/>
  <c r="QU22" i="32"/>
  <c r="QT22" i="32"/>
  <c r="QO22" i="32"/>
  <c r="QN22" i="32"/>
  <c r="QM22" i="32"/>
  <c r="QJ22" i="32"/>
  <c r="QI22" i="32"/>
  <c r="QH22" i="32"/>
  <c r="QE22" i="32"/>
  <c r="QD22" i="32"/>
  <c r="QC22" i="32"/>
  <c r="PX22" i="32"/>
  <c r="PW22" i="32"/>
  <c r="PV22" i="32"/>
  <c r="PS22" i="32"/>
  <c r="PR22" i="32"/>
  <c r="PQ22" i="32"/>
  <c r="PN22" i="32"/>
  <c r="PM22" i="32"/>
  <c r="PL22" i="32"/>
  <c r="PG22" i="32"/>
  <c r="PF22" i="32"/>
  <c r="PE22" i="32"/>
  <c r="PB22" i="32"/>
  <c r="PA22" i="32"/>
  <c r="OZ22" i="32"/>
  <c r="OW22" i="32"/>
  <c r="OV22" i="32"/>
  <c r="OU22" i="32"/>
  <c r="OP22" i="32"/>
  <c r="OO22" i="32"/>
  <c r="ON22" i="32"/>
  <c r="OK22" i="32"/>
  <c r="OJ22" i="32"/>
  <c r="OI22" i="32"/>
  <c r="OF22" i="32"/>
  <c r="OE22" i="32"/>
  <c r="OD22" i="32"/>
  <c r="NY22" i="32"/>
  <c r="NX22" i="32"/>
  <c r="NW22" i="32"/>
  <c r="NT22" i="32"/>
  <c r="NS22" i="32"/>
  <c r="NR22" i="32"/>
  <c r="NO22" i="32"/>
  <c r="NN22" i="32"/>
  <c r="NM22" i="32"/>
  <c r="NH22" i="32"/>
  <c r="NG22" i="32"/>
  <c r="NF22" i="32"/>
  <c r="NC22" i="32"/>
  <c r="NB22" i="32"/>
  <c r="NA22" i="32"/>
  <c r="MX22" i="32"/>
  <c r="MW22" i="32"/>
  <c r="MV22" i="32"/>
  <c r="MQ22" i="32"/>
  <c r="MP22" i="32"/>
  <c r="MO22" i="32"/>
  <c r="ML22" i="32"/>
  <c r="MK22" i="32"/>
  <c r="MJ22" i="32"/>
  <c r="MG22" i="32"/>
  <c r="MF22" i="32"/>
  <c r="ME22" i="32"/>
  <c r="LZ22" i="32"/>
  <c r="LY22" i="32"/>
  <c r="LX22" i="32"/>
  <c r="LU22" i="32"/>
  <c r="LT22" i="32"/>
  <c r="LS22" i="32"/>
  <c r="LP22" i="32"/>
  <c r="LO22" i="32"/>
  <c r="LN22" i="32"/>
  <c r="LI22" i="32"/>
  <c r="LH22" i="32"/>
  <c r="LG22" i="32"/>
  <c r="LD22" i="32"/>
  <c r="LC22" i="32"/>
  <c r="LB22" i="32"/>
  <c r="KY22" i="32"/>
  <c r="KX22" i="32"/>
  <c r="KW22" i="32"/>
  <c r="KR22" i="32"/>
  <c r="KQ22" i="32"/>
  <c r="KP22" i="32"/>
  <c r="KM22" i="32"/>
  <c r="KL22" i="32"/>
  <c r="KK22" i="32"/>
  <c r="KH22" i="32"/>
  <c r="KG22" i="32"/>
  <c r="KF22" i="32"/>
  <c r="KA22" i="32"/>
  <c r="JZ22" i="32"/>
  <c r="JY22" i="32"/>
  <c r="JV22" i="32"/>
  <c r="JU22" i="32"/>
  <c r="JT22" i="32"/>
  <c r="JQ22" i="32"/>
  <c r="JP22" i="32"/>
  <c r="JO22" i="32"/>
  <c r="JJ22" i="32"/>
  <c r="JI22" i="32"/>
  <c r="JH22" i="32"/>
  <c r="JE22" i="32"/>
  <c r="JD22" i="32"/>
  <c r="JC22" i="32"/>
  <c r="IZ22" i="32"/>
  <c r="IY22" i="32"/>
  <c r="IX22" i="32"/>
  <c r="IS22" i="32"/>
  <c r="IR22" i="32"/>
  <c r="IQ22" i="32"/>
  <c r="IN22" i="32"/>
  <c r="IM22" i="32"/>
  <c r="IL22" i="32"/>
  <c r="II22" i="32"/>
  <c r="IH22" i="32"/>
  <c r="IG22" i="32"/>
  <c r="IB22" i="32"/>
  <c r="IA22" i="32"/>
  <c r="HZ22" i="32"/>
  <c r="HW22" i="32"/>
  <c r="HV22" i="32"/>
  <c r="HU22" i="32"/>
  <c r="HR22" i="32"/>
  <c r="HQ22" i="32"/>
  <c r="HP22" i="32"/>
  <c r="HK22" i="32"/>
  <c r="HJ22" i="32"/>
  <c r="HI22" i="32"/>
  <c r="HF22" i="32"/>
  <c r="HE22" i="32"/>
  <c r="HD22" i="32"/>
  <c r="HA22" i="32"/>
  <c r="GZ22" i="32"/>
  <c r="GY22" i="32"/>
  <c r="GT22" i="32"/>
  <c r="GS22" i="32"/>
  <c r="GR22" i="32"/>
  <c r="GO22" i="32"/>
  <c r="GN22" i="32"/>
  <c r="GM22" i="32"/>
  <c r="GJ22" i="32"/>
  <c r="GI22" i="32"/>
  <c r="GH22" i="32"/>
  <c r="GC22" i="32"/>
  <c r="GB22" i="32"/>
  <c r="GA22" i="32"/>
  <c r="FX22" i="32"/>
  <c r="FW22" i="32"/>
  <c r="FV22" i="32"/>
  <c r="FS22" i="32"/>
  <c r="FR22" i="32"/>
  <c r="FQ22" i="32"/>
  <c r="FL22" i="32"/>
  <c r="FK22" i="32"/>
  <c r="FJ22" i="32"/>
  <c r="FG22" i="32"/>
  <c r="FF22" i="32"/>
  <c r="FE22" i="32"/>
  <c r="FB22" i="32"/>
  <c r="FA22" i="32"/>
  <c r="EZ22" i="32"/>
  <c r="EU22" i="32"/>
  <c r="ET22" i="32"/>
  <c r="ES22" i="32"/>
  <c r="EP22" i="32"/>
  <c r="EO22" i="32"/>
  <c r="EN22" i="32"/>
  <c r="EK22" i="32"/>
  <c r="EJ22" i="32"/>
  <c r="EI22" i="32"/>
  <c r="ED22" i="32"/>
  <c r="EC22" i="32"/>
  <c r="EB22" i="32"/>
  <c r="DY22" i="32"/>
  <c r="DX22" i="32"/>
  <c r="DW22" i="32"/>
  <c r="DT22" i="32"/>
  <c r="DS22" i="32"/>
  <c r="DR22" i="32"/>
  <c r="DM22" i="32"/>
  <c r="DL22" i="32"/>
  <c r="DK22" i="32"/>
  <c r="DH22" i="32"/>
  <c r="DG22" i="32"/>
  <c r="DF22" i="32"/>
  <c r="DC22" i="32"/>
  <c r="DB22" i="32"/>
  <c r="DA22" i="32"/>
  <c r="CV22" i="32"/>
  <c r="CU22" i="32"/>
  <c r="CT22" i="32"/>
  <c r="CQ22" i="32"/>
  <c r="CP22" i="32"/>
  <c r="CO22" i="32"/>
  <c r="CL22" i="32"/>
  <c r="CK22" i="32"/>
  <c r="CJ22" i="32"/>
  <c r="CE22" i="32"/>
  <c r="CD22" i="32"/>
  <c r="CC22" i="32"/>
  <c r="BZ22" i="32"/>
  <c r="BY22" i="32"/>
  <c r="BX22" i="32"/>
  <c r="BU22" i="32"/>
  <c r="BT22" i="32"/>
  <c r="BS22" i="32"/>
  <c r="BN22" i="32"/>
  <c r="BM22" i="32"/>
  <c r="BL22" i="32"/>
  <c r="BI22" i="32"/>
  <c r="BH22" i="32"/>
  <c r="BG22" i="32"/>
  <c r="BD22" i="32"/>
  <c r="BC22" i="32"/>
  <c r="BB22" i="32"/>
  <c r="AW22" i="32"/>
  <c r="AV22" i="32"/>
  <c r="AU22" i="32"/>
  <c r="AR22" i="32"/>
  <c r="AQ22" i="32"/>
  <c r="AP22" i="32"/>
  <c r="AM22" i="32"/>
  <c r="AL22" i="32"/>
  <c r="AK22" i="32"/>
  <c r="AF22" i="32"/>
  <c r="AE22" i="32"/>
  <c r="AD22" i="32"/>
  <c r="AA22" i="32"/>
  <c r="Z22" i="32"/>
  <c r="Y22" i="32"/>
  <c r="V22" i="32"/>
  <c r="U22" i="32"/>
  <c r="T22" i="32"/>
  <c r="O22" i="32"/>
  <c r="N22" i="32"/>
  <c r="M22" i="32"/>
  <c r="J22" i="32"/>
  <c r="I22" i="32"/>
  <c r="H22" i="32"/>
  <c r="E22" i="32"/>
  <c r="D22" i="32"/>
  <c r="C22" i="32"/>
  <c r="SO21" i="32"/>
  <c r="SP21" i="32" s="1"/>
  <c r="SK21" i="32"/>
  <c r="SJ21" i="32"/>
  <c r="SE21" i="32"/>
  <c r="RX21" i="32"/>
  <c r="RY21" i="32" s="1"/>
  <c r="RT21" i="32"/>
  <c r="RS21" i="32"/>
  <c r="RN21" i="32"/>
  <c r="RO21" i="32" s="1"/>
  <c r="RG21" i="32"/>
  <c r="RH21" i="32" s="1"/>
  <c r="RB21" i="32"/>
  <c r="RC21" i="32" s="1"/>
  <c r="QW21" i="32"/>
  <c r="QX21" i="32" s="1"/>
  <c r="QP21" i="32"/>
  <c r="QQ21" i="32" s="1"/>
  <c r="QK21" i="32"/>
  <c r="QL21" i="32" s="1"/>
  <c r="QF21" i="32"/>
  <c r="QG21" i="32" s="1"/>
  <c r="PY21" i="32"/>
  <c r="PZ21" i="32" s="1"/>
  <c r="PT21" i="32"/>
  <c r="PU21" i="32" s="1"/>
  <c r="PO21" i="32"/>
  <c r="PP21" i="32" s="1"/>
  <c r="PH21" i="32"/>
  <c r="PI21" i="32" s="1"/>
  <c r="PC21" i="32"/>
  <c r="PD21" i="32" s="1"/>
  <c r="OX21" i="32"/>
  <c r="OY21" i="32" s="1"/>
  <c r="OQ21" i="32"/>
  <c r="OR21" i="32" s="1"/>
  <c r="OL21" i="32"/>
  <c r="OM21" i="32" s="1"/>
  <c r="OG21" i="32"/>
  <c r="OH21" i="32" s="1"/>
  <c r="NZ21" i="32"/>
  <c r="OA21" i="32" s="1"/>
  <c r="NU21" i="32"/>
  <c r="NV21" i="32" s="1"/>
  <c r="NP21" i="32"/>
  <c r="NQ21" i="32" s="1"/>
  <c r="NI21" i="32"/>
  <c r="NJ21" i="32" s="1"/>
  <c r="ND21" i="32"/>
  <c r="NE21" i="32" s="1"/>
  <c r="MY21" i="32"/>
  <c r="MZ21" i="32" s="1"/>
  <c r="MR21" i="32"/>
  <c r="MS21" i="32" s="1"/>
  <c r="MM21" i="32"/>
  <c r="MN21" i="32" s="1"/>
  <c r="MH21" i="32"/>
  <c r="MI21" i="32" s="1"/>
  <c r="MA21" i="32"/>
  <c r="MB21" i="32" s="1"/>
  <c r="LV21" i="32"/>
  <c r="LW21" i="32" s="1"/>
  <c r="LQ21" i="32"/>
  <c r="LR21" i="32" s="1"/>
  <c r="LJ21" i="32"/>
  <c r="LK21" i="32" s="1"/>
  <c r="LE21" i="32"/>
  <c r="LF21" i="32" s="1"/>
  <c r="KZ21" i="32"/>
  <c r="LA21" i="32" s="1"/>
  <c r="KS21" i="32"/>
  <c r="KT21" i="32" s="1"/>
  <c r="KN21" i="32"/>
  <c r="KO21" i="32" s="1"/>
  <c r="KI21" i="32"/>
  <c r="KJ21" i="32" s="1"/>
  <c r="KB21" i="32"/>
  <c r="KC21" i="32" s="1"/>
  <c r="JW21" i="32"/>
  <c r="JX21" i="32" s="1"/>
  <c r="JR21" i="32"/>
  <c r="JS21" i="32" s="1"/>
  <c r="JK21" i="32"/>
  <c r="JL21" i="32" s="1"/>
  <c r="JF21" i="32"/>
  <c r="JG21" i="32" s="1"/>
  <c r="JA21" i="32"/>
  <c r="JB21" i="32" s="1"/>
  <c r="IT21" i="32"/>
  <c r="IU21" i="32" s="1"/>
  <c r="IO21" i="32"/>
  <c r="IP21" i="32" s="1"/>
  <c r="IJ21" i="32"/>
  <c r="IK21" i="32" s="1"/>
  <c r="IC21" i="32"/>
  <c r="ID21" i="32" s="1"/>
  <c r="HX21" i="32"/>
  <c r="HY21" i="32" s="1"/>
  <c r="HS21" i="32"/>
  <c r="HT21" i="32" s="1"/>
  <c r="HL21" i="32"/>
  <c r="HM21" i="32" s="1"/>
  <c r="HG21" i="32"/>
  <c r="HH21" i="32" s="1"/>
  <c r="HB21" i="32"/>
  <c r="HC21" i="32" s="1"/>
  <c r="GU21" i="32"/>
  <c r="GV21" i="32" s="1"/>
  <c r="GP21" i="32"/>
  <c r="GQ21" i="32" s="1"/>
  <c r="GK21" i="32"/>
  <c r="GL21" i="32" s="1"/>
  <c r="GD21" i="32"/>
  <c r="GE21" i="32" s="1"/>
  <c r="FY21" i="32"/>
  <c r="FZ21" i="32" s="1"/>
  <c r="FT21" i="32"/>
  <c r="FU21" i="32" s="1"/>
  <c r="FM21" i="32"/>
  <c r="FN21" i="32" s="1"/>
  <c r="FH21" i="32"/>
  <c r="FI21" i="32" s="1"/>
  <c r="FC21" i="32"/>
  <c r="FD21" i="32" s="1"/>
  <c r="EV21" i="32"/>
  <c r="EW21" i="32" s="1"/>
  <c r="EQ21" i="32"/>
  <c r="ER21" i="32" s="1"/>
  <c r="EL21" i="32"/>
  <c r="EM21" i="32" s="1"/>
  <c r="EE21" i="32"/>
  <c r="EF21" i="32" s="1"/>
  <c r="DZ21" i="32"/>
  <c r="EA21" i="32" s="1"/>
  <c r="DU21" i="32"/>
  <c r="DV21" i="32" s="1"/>
  <c r="DN21" i="32"/>
  <c r="DO21" i="32" s="1"/>
  <c r="DI21" i="32"/>
  <c r="DJ21" i="32" s="1"/>
  <c r="DD21" i="32"/>
  <c r="DE21" i="32" s="1"/>
  <c r="CW21" i="32"/>
  <c r="CX21" i="32" s="1"/>
  <c r="CR21" i="32"/>
  <c r="CS21" i="32" s="1"/>
  <c r="CM21" i="32"/>
  <c r="CN21" i="32" s="1"/>
  <c r="CF21" i="32"/>
  <c r="CG21" i="32" s="1"/>
  <c r="CA21" i="32"/>
  <c r="CB21" i="32" s="1"/>
  <c r="BV21" i="32"/>
  <c r="BW21" i="32" s="1"/>
  <c r="BO21" i="32"/>
  <c r="BP21" i="32" s="1"/>
  <c r="BJ21" i="32"/>
  <c r="BK21" i="32" s="1"/>
  <c r="BE21" i="32"/>
  <c r="BF21" i="32" s="1"/>
  <c r="AX21" i="32"/>
  <c r="AY21" i="32" s="1"/>
  <c r="AS21" i="32"/>
  <c r="AT21" i="32" s="1"/>
  <c r="AN21" i="32"/>
  <c r="AO21" i="32" s="1"/>
  <c r="AG21" i="32"/>
  <c r="AH21" i="32" s="1"/>
  <c r="AB21" i="32"/>
  <c r="AC21" i="32" s="1"/>
  <c r="W21" i="32"/>
  <c r="X21" i="32" s="1"/>
  <c r="P21" i="32"/>
  <c r="Q21" i="32" s="1"/>
  <c r="K21" i="32"/>
  <c r="L21" i="32" s="1"/>
  <c r="F21" i="32"/>
  <c r="G21" i="32" s="1"/>
  <c r="SR20" i="32"/>
  <c r="SQ20" i="32"/>
  <c r="SO20" i="32"/>
  <c r="SP20" i="32" s="1"/>
  <c r="SJ20" i="32"/>
  <c r="SK20" i="32" s="1"/>
  <c r="SE20" i="32"/>
  <c r="SF20" i="32" s="1"/>
  <c r="RZ20" i="32"/>
  <c r="SA20" i="32" s="1"/>
  <c r="RX20" i="32"/>
  <c r="RY20" i="32" s="1"/>
  <c r="RS20" i="32"/>
  <c r="RT20" i="32" s="1"/>
  <c r="RN20" i="32"/>
  <c r="RO20" i="32" s="1"/>
  <c r="RI20" i="32"/>
  <c r="RJ20" i="32" s="1"/>
  <c r="RG20" i="32"/>
  <c r="RH20" i="32" s="1"/>
  <c r="RB20" i="32"/>
  <c r="RC20" i="32" s="1"/>
  <c r="QW20" i="32"/>
  <c r="QX20" i="32" s="1"/>
  <c r="QR20" i="32"/>
  <c r="QS20" i="32" s="1"/>
  <c r="QP20" i="32"/>
  <c r="QQ20" i="32" s="1"/>
  <c r="QK20" i="32"/>
  <c r="QL20" i="32" s="1"/>
  <c r="QF20" i="32"/>
  <c r="QG20" i="32" s="1"/>
  <c r="QB20" i="32"/>
  <c r="QA20" i="32"/>
  <c r="PY20" i="32"/>
  <c r="PZ20" i="32" s="1"/>
  <c r="PT20" i="32"/>
  <c r="PU20" i="32" s="1"/>
  <c r="PO20" i="32"/>
  <c r="PP20" i="32" s="1"/>
  <c r="PJ20" i="32"/>
  <c r="PK20" i="32" s="1"/>
  <c r="PH20" i="32"/>
  <c r="PI20" i="32" s="1"/>
  <c r="PC20" i="32"/>
  <c r="PD20" i="32" s="1"/>
  <c r="OX20" i="32"/>
  <c r="OY20" i="32" s="1"/>
  <c r="OS20" i="32"/>
  <c r="OT20" i="32" s="1"/>
  <c r="OQ20" i="32"/>
  <c r="OR20" i="32" s="1"/>
  <c r="OL20" i="32"/>
  <c r="OM20" i="32" s="1"/>
  <c r="OG20" i="32"/>
  <c r="OH20" i="32" s="1"/>
  <c r="OB20" i="32"/>
  <c r="OC20" i="32" s="1"/>
  <c r="NZ20" i="32"/>
  <c r="OA20" i="32" s="1"/>
  <c r="NU20" i="32"/>
  <c r="NV20" i="32" s="1"/>
  <c r="NP20" i="32"/>
  <c r="NQ20" i="32" s="1"/>
  <c r="NL20" i="32"/>
  <c r="NK20" i="32"/>
  <c r="NI20" i="32"/>
  <c r="NJ20" i="32" s="1"/>
  <c r="ND20" i="32"/>
  <c r="NE20" i="32" s="1"/>
  <c r="MY20" i="32"/>
  <c r="MZ20" i="32" s="1"/>
  <c r="MT20" i="32"/>
  <c r="MU20" i="32" s="1"/>
  <c r="MR20" i="32"/>
  <c r="MS20" i="32" s="1"/>
  <c r="MM20" i="32"/>
  <c r="MN20" i="32" s="1"/>
  <c r="MH20" i="32"/>
  <c r="MI20" i="32" s="1"/>
  <c r="MC20" i="32"/>
  <c r="MD20" i="32" s="1"/>
  <c r="MA20" i="32"/>
  <c r="MB20" i="32" s="1"/>
  <c r="LV20" i="32"/>
  <c r="LW20" i="32" s="1"/>
  <c r="LQ20" i="32"/>
  <c r="LR20" i="32" s="1"/>
  <c r="LL20" i="32"/>
  <c r="LM20" i="32" s="1"/>
  <c r="LJ20" i="32"/>
  <c r="LK20" i="32" s="1"/>
  <c r="LE20" i="32"/>
  <c r="LF20" i="32" s="1"/>
  <c r="KZ20" i="32"/>
  <c r="LA20" i="32" s="1"/>
  <c r="KU20" i="32"/>
  <c r="KV20" i="32" s="1"/>
  <c r="KS20" i="32"/>
  <c r="KT20" i="32" s="1"/>
  <c r="KN20" i="32"/>
  <c r="KO20" i="32" s="1"/>
  <c r="KI20" i="32"/>
  <c r="KJ20" i="32" s="1"/>
  <c r="KD20" i="32"/>
  <c r="KE20" i="32" s="1"/>
  <c r="KB20" i="32"/>
  <c r="KC20" i="32" s="1"/>
  <c r="JW20" i="32"/>
  <c r="JX20" i="32" s="1"/>
  <c r="JR20" i="32"/>
  <c r="JS20" i="32" s="1"/>
  <c r="JM20" i="32"/>
  <c r="JN20" i="32" s="1"/>
  <c r="JK20" i="32"/>
  <c r="JL20" i="32" s="1"/>
  <c r="JF20" i="32"/>
  <c r="JG20" i="32" s="1"/>
  <c r="JA20" i="32"/>
  <c r="JB20" i="32" s="1"/>
  <c r="IV20" i="32"/>
  <c r="IW20" i="32" s="1"/>
  <c r="IT20" i="32"/>
  <c r="IU20" i="32" s="1"/>
  <c r="IO20" i="32"/>
  <c r="IP20" i="32" s="1"/>
  <c r="IJ20" i="32"/>
  <c r="IK20" i="32" s="1"/>
  <c r="IE20" i="32"/>
  <c r="IF20" i="32" s="1"/>
  <c r="IC20" i="32"/>
  <c r="ID20" i="32" s="1"/>
  <c r="HX20" i="32"/>
  <c r="HY20" i="32" s="1"/>
  <c r="HS20" i="32"/>
  <c r="HT20" i="32" s="1"/>
  <c r="HN20" i="32"/>
  <c r="HO20" i="32" s="1"/>
  <c r="HL20" i="32"/>
  <c r="HM20" i="32" s="1"/>
  <c r="HG20" i="32"/>
  <c r="HH20" i="32" s="1"/>
  <c r="HB20" i="32"/>
  <c r="HC20" i="32" s="1"/>
  <c r="GW20" i="32"/>
  <c r="GX20" i="32" s="1"/>
  <c r="GU20" i="32"/>
  <c r="GV20" i="32" s="1"/>
  <c r="GP20" i="32"/>
  <c r="GQ20" i="32" s="1"/>
  <c r="GK20" i="32"/>
  <c r="GL20" i="32" s="1"/>
  <c r="GF20" i="32"/>
  <c r="GG20" i="32" s="1"/>
  <c r="GD20" i="32"/>
  <c r="GE20" i="32" s="1"/>
  <c r="FY20" i="32"/>
  <c r="FZ20" i="32" s="1"/>
  <c r="FT20" i="32"/>
  <c r="FU20" i="32" s="1"/>
  <c r="FO20" i="32"/>
  <c r="FP20" i="32" s="1"/>
  <c r="FM20" i="32"/>
  <c r="FN20" i="32" s="1"/>
  <c r="FH20" i="32"/>
  <c r="FI20" i="32" s="1"/>
  <c r="FC20" i="32"/>
  <c r="FD20" i="32" s="1"/>
  <c r="EX20" i="32"/>
  <c r="EY20" i="32" s="1"/>
  <c r="EV20" i="32"/>
  <c r="EW20" i="32" s="1"/>
  <c r="EQ20" i="32"/>
  <c r="ER20" i="32" s="1"/>
  <c r="EL20" i="32"/>
  <c r="EM20" i="32" s="1"/>
  <c r="EG20" i="32"/>
  <c r="EH20" i="32" s="1"/>
  <c r="EE20" i="32"/>
  <c r="EF20" i="32" s="1"/>
  <c r="DZ20" i="32"/>
  <c r="EA20" i="32" s="1"/>
  <c r="DU20" i="32"/>
  <c r="DV20" i="32" s="1"/>
  <c r="DP20" i="32"/>
  <c r="DQ20" i="32" s="1"/>
  <c r="DN20" i="32"/>
  <c r="DO20" i="32" s="1"/>
  <c r="DI20" i="32"/>
  <c r="DJ20" i="32" s="1"/>
  <c r="DD20" i="32"/>
  <c r="DE20" i="32" s="1"/>
  <c r="CY20" i="32"/>
  <c r="CZ20" i="32" s="1"/>
  <c r="CW20" i="32"/>
  <c r="CX20" i="32" s="1"/>
  <c r="CR20" i="32"/>
  <c r="CS20" i="32" s="1"/>
  <c r="CM20" i="32"/>
  <c r="CN20" i="32" s="1"/>
  <c r="CH20" i="32"/>
  <c r="CI20" i="32" s="1"/>
  <c r="CF20" i="32"/>
  <c r="CG20" i="32" s="1"/>
  <c r="CA20" i="32"/>
  <c r="CB20" i="32" s="1"/>
  <c r="BV20" i="32"/>
  <c r="BW20" i="32" s="1"/>
  <c r="BQ20" i="32"/>
  <c r="BR20" i="32" s="1"/>
  <c r="BO20" i="32"/>
  <c r="BP20" i="32" s="1"/>
  <c r="BJ20" i="32"/>
  <c r="BK20" i="32" s="1"/>
  <c r="BF20" i="32"/>
  <c r="BE20" i="32"/>
  <c r="AZ20" i="32"/>
  <c r="BA20" i="32" s="1"/>
  <c r="AX20" i="32"/>
  <c r="AY20" i="32" s="1"/>
  <c r="AS20" i="32"/>
  <c r="AT20" i="32" s="1"/>
  <c r="AN20" i="32"/>
  <c r="AO20" i="32" s="1"/>
  <c r="AI20" i="32"/>
  <c r="AJ20" i="32" s="1"/>
  <c r="AG20" i="32"/>
  <c r="AH20" i="32" s="1"/>
  <c r="AB20" i="32"/>
  <c r="AC20" i="32" s="1"/>
  <c r="W20" i="32"/>
  <c r="X20" i="32" s="1"/>
  <c r="R20" i="32"/>
  <c r="S20" i="32" s="1"/>
  <c r="P20" i="32"/>
  <c r="Q20" i="32" s="1"/>
  <c r="K20" i="32"/>
  <c r="L20" i="32" s="1"/>
  <c r="F20" i="32"/>
  <c r="G20" i="32" s="1"/>
  <c r="SO19" i="32"/>
  <c r="SJ19" i="32"/>
  <c r="SK19" i="32" s="1"/>
  <c r="SE19" i="32"/>
  <c r="SF19" i="32" s="1"/>
  <c r="RX19" i="32"/>
  <c r="RY19" i="32" s="1"/>
  <c r="RS19" i="32"/>
  <c r="RT19" i="32" s="1"/>
  <c r="RO19" i="32"/>
  <c r="RN19" i="32"/>
  <c r="RZ19" i="32" s="1"/>
  <c r="SA19" i="32" s="1"/>
  <c r="RG19" i="32"/>
  <c r="RB19" i="32"/>
  <c r="RC19" i="32" s="1"/>
  <c r="QX19" i="32"/>
  <c r="QW19" i="32"/>
  <c r="QP19" i="32"/>
  <c r="QQ19" i="32" s="1"/>
  <c r="QK19" i="32"/>
  <c r="QL19" i="32" s="1"/>
  <c r="QF19" i="32"/>
  <c r="QG19" i="32" s="1"/>
  <c r="PY19" i="32"/>
  <c r="PT19" i="32"/>
  <c r="PU19" i="32" s="1"/>
  <c r="PO19" i="32"/>
  <c r="PP19" i="32" s="1"/>
  <c r="PH19" i="32"/>
  <c r="PI19" i="32" s="1"/>
  <c r="PC19" i="32"/>
  <c r="PD19" i="32" s="1"/>
  <c r="OX19" i="32"/>
  <c r="OY19" i="32" s="1"/>
  <c r="OR19" i="32"/>
  <c r="OQ19" i="32"/>
  <c r="OL19" i="32"/>
  <c r="OM19" i="32" s="1"/>
  <c r="OH19" i="32"/>
  <c r="OG19" i="32"/>
  <c r="NZ19" i="32"/>
  <c r="OA19" i="32" s="1"/>
  <c r="NV19" i="32"/>
  <c r="NU19" i="32"/>
  <c r="NP19" i="32"/>
  <c r="OB19" i="32" s="1"/>
  <c r="OC19" i="32" s="1"/>
  <c r="NJ19" i="32"/>
  <c r="NI19" i="32"/>
  <c r="ND19" i="32"/>
  <c r="NE19" i="32" s="1"/>
  <c r="MZ19" i="32"/>
  <c r="MY19" i="32"/>
  <c r="MR19" i="32"/>
  <c r="MS19" i="32" s="1"/>
  <c r="MN19" i="32"/>
  <c r="MM19" i="32"/>
  <c r="MH19" i="32"/>
  <c r="MT19" i="32" s="1"/>
  <c r="MU19" i="32" s="1"/>
  <c r="MB19" i="32"/>
  <c r="MA19" i="32"/>
  <c r="LV19" i="32"/>
  <c r="LW19" i="32" s="1"/>
  <c r="LR19" i="32"/>
  <c r="LQ19" i="32"/>
  <c r="LJ19" i="32"/>
  <c r="LK19" i="32" s="1"/>
  <c r="LF19" i="32"/>
  <c r="LE19" i="32"/>
  <c r="KZ19" i="32"/>
  <c r="LL19" i="32" s="1"/>
  <c r="LM19" i="32" s="1"/>
  <c r="KT19" i="32"/>
  <c r="KS19" i="32"/>
  <c r="KN19" i="32"/>
  <c r="KO19" i="32" s="1"/>
  <c r="KJ19" i="32"/>
  <c r="KI19" i="32"/>
  <c r="KB19" i="32"/>
  <c r="KC19" i="32" s="1"/>
  <c r="JX19" i="32"/>
  <c r="JW19" i="32"/>
  <c r="JR19" i="32"/>
  <c r="KD19" i="32" s="1"/>
  <c r="KE19" i="32" s="1"/>
  <c r="JL19" i="32"/>
  <c r="JK19" i="32"/>
  <c r="JF19" i="32"/>
  <c r="JG19" i="32" s="1"/>
  <c r="JB19" i="32"/>
  <c r="JA19" i="32"/>
  <c r="IT19" i="32"/>
  <c r="IU19" i="32" s="1"/>
  <c r="IP19" i="32"/>
  <c r="IO19" i="32"/>
  <c r="IJ19" i="32"/>
  <c r="IV19" i="32" s="1"/>
  <c r="IW19" i="32" s="1"/>
  <c r="ID19" i="32"/>
  <c r="IC19" i="32"/>
  <c r="HX19" i="32"/>
  <c r="HY19" i="32" s="1"/>
  <c r="HS19" i="32"/>
  <c r="IE19" i="32" s="1"/>
  <c r="IF19" i="32" s="1"/>
  <c r="HL19" i="32"/>
  <c r="HM19" i="32" s="1"/>
  <c r="HG19" i="32"/>
  <c r="HH19" i="32" s="1"/>
  <c r="HB19" i="32"/>
  <c r="GU19" i="32"/>
  <c r="GV19" i="32" s="1"/>
  <c r="GQ19" i="32"/>
  <c r="GP19" i="32"/>
  <c r="GK19" i="32"/>
  <c r="GD19" i="32"/>
  <c r="GE19" i="32" s="1"/>
  <c r="FY19" i="32"/>
  <c r="FZ19" i="32" s="1"/>
  <c r="FT19" i="32"/>
  <c r="FM19" i="32"/>
  <c r="FN19" i="32" s="1"/>
  <c r="FH19" i="32"/>
  <c r="FI19" i="32" s="1"/>
  <c r="FC19" i="32"/>
  <c r="FO19" i="32" s="1"/>
  <c r="FP19" i="32" s="1"/>
  <c r="EV19" i="32"/>
  <c r="EW19" i="32" s="1"/>
  <c r="EQ19" i="32"/>
  <c r="ER19" i="32" s="1"/>
  <c r="EL19" i="32"/>
  <c r="EE19" i="32"/>
  <c r="EF19" i="32" s="1"/>
  <c r="DZ19" i="32"/>
  <c r="EA19" i="32" s="1"/>
  <c r="DU19" i="32"/>
  <c r="DV19" i="32" s="1"/>
  <c r="DN19" i="32"/>
  <c r="DO19" i="32" s="1"/>
  <c r="DI19" i="32"/>
  <c r="DJ19" i="32" s="1"/>
  <c r="DD19" i="32"/>
  <c r="CW19" i="32"/>
  <c r="CX19" i="32" s="1"/>
  <c r="CR19" i="32"/>
  <c r="CS19" i="32" s="1"/>
  <c r="CM19" i="32"/>
  <c r="CY19" i="32" s="1"/>
  <c r="CZ19" i="32" s="1"/>
  <c r="CF19" i="32"/>
  <c r="CG19" i="32" s="1"/>
  <c r="CA19" i="32"/>
  <c r="CB19" i="32" s="1"/>
  <c r="BV19" i="32"/>
  <c r="BP19" i="32"/>
  <c r="BO19" i="32"/>
  <c r="BJ19" i="32"/>
  <c r="BK19" i="32" s="1"/>
  <c r="BE19" i="32"/>
  <c r="AX19" i="32"/>
  <c r="AY19" i="32" s="1"/>
  <c r="AS19" i="32"/>
  <c r="AT19" i="32" s="1"/>
  <c r="AN19" i="32"/>
  <c r="AZ19" i="32" s="1"/>
  <c r="BA19" i="32" s="1"/>
  <c r="AI19" i="32"/>
  <c r="AJ19" i="32" s="1"/>
  <c r="AG19" i="32"/>
  <c r="AH19" i="32" s="1"/>
  <c r="AB19" i="32"/>
  <c r="AC19" i="32" s="1"/>
  <c r="X19" i="32"/>
  <c r="W19" i="32"/>
  <c r="P19" i="32"/>
  <c r="Q19" i="32" s="1"/>
  <c r="K19" i="32"/>
  <c r="L19" i="32" s="1"/>
  <c r="F19" i="32"/>
  <c r="R19" i="32" s="1"/>
  <c r="S19" i="32" s="1"/>
  <c r="SO18" i="32"/>
  <c r="SP18" i="32" s="1"/>
  <c r="SJ18" i="32"/>
  <c r="SK18" i="32" s="1"/>
  <c r="SE18" i="32"/>
  <c r="RX18" i="32"/>
  <c r="RY18" i="32" s="1"/>
  <c r="RS18" i="32"/>
  <c r="RT18" i="32" s="1"/>
  <c r="RN18" i="32"/>
  <c r="RG18" i="32"/>
  <c r="RH18" i="32" s="1"/>
  <c r="RB18" i="32"/>
  <c r="RC18" i="32" s="1"/>
  <c r="QW18" i="32"/>
  <c r="QX18" i="32" s="1"/>
  <c r="QP18" i="32"/>
  <c r="QQ18" i="32" s="1"/>
  <c r="QK18" i="32"/>
  <c r="QL18" i="32" s="1"/>
  <c r="QF18" i="32"/>
  <c r="PY18" i="32"/>
  <c r="PZ18" i="32" s="1"/>
  <c r="PT18" i="32"/>
  <c r="PU18" i="32" s="1"/>
  <c r="PO18" i="32"/>
  <c r="PP18" i="32" s="1"/>
  <c r="PH18" i="32"/>
  <c r="PI18" i="32" s="1"/>
  <c r="PC18" i="32"/>
  <c r="PD18" i="32" s="1"/>
  <c r="OX18" i="32"/>
  <c r="OQ18" i="32"/>
  <c r="OR18" i="32" s="1"/>
  <c r="OL18" i="32"/>
  <c r="OM18" i="32" s="1"/>
  <c r="OG18" i="32"/>
  <c r="OH18" i="32" s="1"/>
  <c r="NZ18" i="32"/>
  <c r="OA18" i="32" s="1"/>
  <c r="NU18" i="32"/>
  <c r="NV18" i="32" s="1"/>
  <c r="NP18" i="32"/>
  <c r="NI18" i="32"/>
  <c r="NJ18" i="32" s="1"/>
  <c r="ND18" i="32"/>
  <c r="NE18" i="32" s="1"/>
  <c r="MY18" i="32"/>
  <c r="MR18" i="32"/>
  <c r="MS18" i="32" s="1"/>
  <c r="MM18" i="32"/>
  <c r="MN18" i="32" s="1"/>
  <c r="MH18" i="32"/>
  <c r="MA18" i="32"/>
  <c r="MB18" i="32" s="1"/>
  <c r="LV18" i="32"/>
  <c r="LW18" i="32" s="1"/>
  <c r="LQ18" i="32"/>
  <c r="LJ18" i="32"/>
  <c r="LK18" i="32" s="1"/>
  <c r="LE18" i="32"/>
  <c r="LF18" i="32" s="1"/>
  <c r="KZ18" i="32"/>
  <c r="KS18" i="32"/>
  <c r="KT18" i="32" s="1"/>
  <c r="KN18" i="32"/>
  <c r="KO18" i="32" s="1"/>
  <c r="KI18" i="32"/>
  <c r="KB18" i="32"/>
  <c r="KC18" i="32" s="1"/>
  <c r="JW18" i="32"/>
  <c r="JX18" i="32" s="1"/>
  <c r="JR18" i="32"/>
  <c r="JK18" i="32"/>
  <c r="JL18" i="32" s="1"/>
  <c r="JF18" i="32"/>
  <c r="JG18" i="32" s="1"/>
  <c r="JA18" i="32"/>
  <c r="IT18" i="32"/>
  <c r="IU18" i="32" s="1"/>
  <c r="IO18" i="32"/>
  <c r="IP18" i="32" s="1"/>
  <c r="IJ18" i="32"/>
  <c r="IC18" i="32"/>
  <c r="ID18" i="32" s="1"/>
  <c r="HX18" i="32"/>
  <c r="HY18" i="32" s="1"/>
  <c r="HS18" i="32"/>
  <c r="HL18" i="32"/>
  <c r="HM18" i="32" s="1"/>
  <c r="HG18" i="32"/>
  <c r="HH18" i="32" s="1"/>
  <c r="HB18" i="32"/>
  <c r="GU18" i="32"/>
  <c r="GV18" i="32" s="1"/>
  <c r="GP18" i="32"/>
  <c r="GQ18" i="32" s="1"/>
  <c r="GK18" i="32"/>
  <c r="GD18" i="32"/>
  <c r="GE18" i="32" s="1"/>
  <c r="FY18" i="32"/>
  <c r="FZ18" i="32" s="1"/>
  <c r="FT18" i="32"/>
  <c r="FM18" i="32"/>
  <c r="FN18" i="32" s="1"/>
  <c r="FH18" i="32"/>
  <c r="FI18" i="32" s="1"/>
  <c r="FC18" i="32"/>
  <c r="EV18" i="32"/>
  <c r="EW18" i="32" s="1"/>
  <c r="EQ18" i="32"/>
  <c r="ER18" i="32" s="1"/>
  <c r="EL18" i="32"/>
  <c r="EE18" i="32"/>
  <c r="EF18" i="32" s="1"/>
  <c r="DZ18" i="32"/>
  <c r="EA18" i="32" s="1"/>
  <c r="DU18" i="32"/>
  <c r="DN18" i="32"/>
  <c r="DO18" i="32" s="1"/>
  <c r="DI18" i="32"/>
  <c r="DJ18" i="32" s="1"/>
  <c r="DD18" i="32"/>
  <c r="CW18" i="32"/>
  <c r="CX18" i="32" s="1"/>
  <c r="CR18" i="32"/>
  <c r="CS18" i="32" s="1"/>
  <c r="CM18" i="32"/>
  <c r="CF18" i="32"/>
  <c r="CG18" i="32" s="1"/>
  <c r="CA18" i="32"/>
  <c r="CB18" i="32" s="1"/>
  <c r="BV18" i="32"/>
  <c r="BO18" i="32"/>
  <c r="BP18" i="32" s="1"/>
  <c r="BJ18" i="32"/>
  <c r="BK18" i="32" s="1"/>
  <c r="BE18" i="32"/>
  <c r="AX18" i="32"/>
  <c r="AY18" i="32" s="1"/>
  <c r="AS18" i="32"/>
  <c r="AT18" i="32" s="1"/>
  <c r="AN18" i="32"/>
  <c r="AG18" i="32"/>
  <c r="AH18" i="32" s="1"/>
  <c r="AB18" i="32"/>
  <c r="AC18" i="32" s="1"/>
  <c r="W18" i="32"/>
  <c r="P18" i="32"/>
  <c r="Q18" i="32" s="1"/>
  <c r="K18" i="32"/>
  <c r="L18" i="32" s="1"/>
  <c r="F18" i="32"/>
  <c r="SO17" i="32"/>
  <c r="SP17" i="32" s="1"/>
  <c r="SJ17" i="32"/>
  <c r="SK17" i="32" s="1"/>
  <c r="SE17" i="32"/>
  <c r="RX17" i="32"/>
  <c r="RY17" i="32" s="1"/>
  <c r="RS17" i="32"/>
  <c r="RT17" i="32" s="1"/>
  <c r="RN17" i="32"/>
  <c r="RG17" i="32"/>
  <c r="RH17" i="32" s="1"/>
  <c r="RB17" i="32"/>
  <c r="RC17" i="32" s="1"/>
  <c r="QW17" i="32"/>
  <c r="QP17" i="32"/>
  <c r="QQ17" i="32" s="1"/>
  <c r="QK17" i="32"/>
  <c r="QL17" i="32" s="1"/>
  <c r="QF17" i="32"/>
  <c r="PY17" i="32"/>
  <c r="PZ17" i="32" s="1"/>
  <c r="PT17" i="32"/>
  <c r="PU17" i="32" s="1"/>
  <c r="PO17" i="32"/>
  <c r="PH17" i="32"/>
  <c r="PI17" i="32" s="1"/>
  <c r="PC17" i="32"/>
  <c r="PD17" i="32" s="1"/>
  <c r="OX17" i="32"/>
  <c r="OQ17" i="32"/>
  <c r="OR17" i="32" s="1"/>
  <c r="OL17" i="32"/>
  <c r="OM17" i="32" s="1"/>
  <c r="OG17" i="32"/>
  <c r="NZ17" i="32"/>
  <c r="OA17" i="32" s="1"/>
  <c r="NU17" i="32"/>
  <c r="NV17" i="32" s="1"/>
  <c r="NP17" i="32"/>
  <c r="NI17" i="32"/>
  <c r="NJ17" i="32" s="1"/>
  <c r="ND17" i="32"/>
  <c r="NE17" i="32" s="1"/>
  <c r="MY17" i="32"/>
  <c r="MR17" i="32"/>
  <c r="MS17" i="32" s="1"/>
  <c r="MM17" i="32"/>
  <c r="MN17" i="32" s="1"/>
  <c r="MH17" i="32"/>
  <c r="MA17" i="32"/>
  <c r="MB17" i="32" s="1"/>
  <c r="LV17" i="32"/>
  <c r="LW17" i="32" s="1"/>
  <c r="LQ17" i="32"/>
  <c r="LJ17" i="32"/>
  <c r="LK17" i="32" s="1"/>
  <c r="LE17" i="32"/>
  <c r="LF17" i="32" s="1"/>
  <c r="KZ17" i="32"/>
  <c r="KS17" i="32"/>
  <c r="KT17" i="32" s="1"/>
  <c r="KN17" i="32"/>
  <c r="KO17" i="32" s="1"/>
  <c r="KI17" i="32"/>
  <c r="KB17" i="32"/>
  <c r="KC17" i="32" s="1"/>
  <c r="JW17" i="32"/>
  <c r="JX17" i="32" s="1"/>
  <c r="JR17" i="32"/>
  <c r="JK17" i="32"/>
  <c r="JL17" i="32" s="1"/>
  <c r="JF17" i="32"/>
  <c r="JG17" i="32" s="1"/>
  <c r="JA17" i="32"/>
  <c r="IT17" i="32"/>
  <c r="IU17" i="32" s="1"/>
  <c r="IO17" i="32"/>
  <c r="IP17" i="32" s="1"/>
  <c r="IJ17" i="32"/>
  <c r="IC17" i="32"/>
  <c r="ID17" i="32" s="1"/>
  <c r="HX17" i="32"/>
  <c r="HY17" i="32" s="1"/>
  <c r="HS17" i="32"/>
  <c r="HL17" i="32"/>
  <c r="HM17" i="32" s="1"/>
  <c r="HG17" i="32"/>
  <c r="HH17" i="32" s="1"/>
  <c r="HB17" i="32"/>
  <c r="GU17" i="32"/>
  <c r="GV17" i="32" s="1"/>
  <c r="GP17" i="32"/>
  <c r="GQ17" i="32" s="1"/>
  <c r="GK17" i="32"/>
  <c r="GD17" i="32"/>
  <c r="GE17" i="32" s="1"/>
  <c r="FY17" i="32"/>
  <c r="FZ17" i="32" s="1"/>
  <c r="FT17" i="32"/>
  <c r="FM17" i="32"/>
  <c r="FN17" i="32" s="1"/>
  <c r="FH17" i="32"/>
  <c r="FI17" i="32" s="1"/>
  <c r="FC17" i="32"/>
  <c r="EV17" i="32"/>
  <c r="EW17" i="32" s="1"/>
  <c r="EQ17" i="32"/>
  <c r="ER17" i="32" s="1"/>
  <c r="EL17" i="32"/>
  <c r="EE17" i="32"/>
  <c r="EF17" i="32" s="1"/>
  <c r="DZ17" i="32"/>
  <c r="EA17" i="32" s="1"/>
  <c r="DU17" i="32"/>
  <c r="DN17" i="32"/>
  <c r="DO17" i="32" s="1"/>
  <c r="DI17" i="32"/>
  <c r="DJ17" i="32" s="1"/>
  <c r="DD17" i="32"/>
  <c r="CW17" i="32"/>
  <c r="CX17" i="32" s="1"/>
  <c r="CR17" i="32"/>
  <c r="CS17" i="32" s="1"/>
  <c r="CM17" i="32"/>
  <c r="CF17" i="32"/>
  <c r="CG17" i="32" s="1"/>
  <c r="CA17" i="32"/>
  <c r="CB17" i="32" s="1"/>
  <c r="BV17" i="32"/>
  <c r="BO17" i="32"/>
  <c r="BP17" i="32" s="1"/>
  <c r="BJ17" i="32"/>
  <c r="BK17" i="32" s="1"/>
  <c r="BE17" i="32"/>
  <c r="AX17" i="32"/>
  <c r="AY17" i="32" s="1"/>
  <c r="AS17" i="32"/>
  <c r="AT17" i="32" s="1"/>
  <c r="AN17" i="32"/>
  <c r="AG17" i="32"/>
  <c r="AH17" i="32" s="1"/>
  <c r="AB17" i="32"/>
  <c r="AC17" i="32" s="1"/>
  <c r="W17" i="32"/>
  <c r="P17" i="32"/>
  <c r="Q17" i="32" s="1"/>
  <c r="K17" i="32"/>
  <c r="L17" i="32" s="1"/>
  <c r="F17" i="32"/>
  <c r="SQ16" i="32"/>
  <c r="SR16" i="32" s="1"/>
  <c r="SP16" i="32"/>
  <c r="SO16" i="32"/>
  <c r="SJ16" i="32"/>
  <c r="SK16" i="32" s="1"/>
  <c r="SE16" i="32"/>
  <c r="SF16" i="32" s="1"/>
  <c r="RZ16" i="32"/>
  <c r="SA16" i="32" s="1"/>
  <c r="RX16" i="32"/>
  <c r="RY16" i="32" s="1"/>
  <c r="RS16" i="32"/>
  <c r="RT16" i="32" s="1"/>
  <c r="RN16" i="32"/>
  <c r="RO16" i="32" s="1"/>
  <c r="RI16" i="32"/>
  <c r="RJ16" i="32" s="1"/>
  <c r="RH16" i="32"/>
  <c r="RG16" i="32"/>
  <c r="RB16" i="32"/>
  <c r="RC16" i="32" s="1"/>
  <c r="QW16" i="32"/>
  <c r="QX16" i="32" s="1"/>
  <c r="QR16" i="32"/>
  <c r="QS16" i="32" s="1"/>
  <c r="QP16" i="32"/>
  <c r="QQ16" i="32" s="1"/>
  <c r="QK16" i="32"/>
  <c r="QL16" i="32" s="1"/>
  <c r="QF16" i="32"/>
  <c r="QG16" i="32" s="1"/>
  <c r="QA16" i="32"/>
  <c r="QB16" i="32" s="1"/>
  <c r="PZ16" i="32"/>
  <c r="PY16" i="32"/>
  <c r="PT16" i="32"/>
  <c r="PU16" i="32" s="1"/>
  <c r="PO16" i="32"/>
  <c r="PP16" i="32" s="1"/>
  <c r="PJ16" i="32"/>
  <c r="PK16" i="32" s="1"/>
  <c r="PH16" i="32"/>
  <c r="PI16" i="32" s="1"/>
  <c r="PC16" i="32"/>
  <c r="PD16" i="32" s="1"/>
  <c r="OX16" i="32"/>
  <c r="OY16" i="32" s="1"/>
  <c r="OS16" i="32"/>
  <c r="OT16" i="32" s="1"/>
  <c r="OR16" i="32"/>
  <c r="OQ16" i="32"/>
  <c r="OL16" i="32"/>
  <c r="OM16" i="32" s="1"/>
  <c r="OG16" i="32"/>
  <c r="OH16" i="32" s="1"/>
  <c r="OB16" i="32"/>
  <c r="OC16" i="32" s="1"/>
  <c r="NZ16" i="32"/>
  <c r="OA16" i="32" s="1"/>
  <c r="NU16" i="32"/>
  <c r="NV16" i="32" s="1"/>
  <c r="NP16" i="32"/>
  <c r="NQ16" i="32" s="1"/>
  <c r="NK16" i="32"/>
  <c r="NL16" i="32" s="1"/>
  <c r="NI16" i="32"/>
  <c r="NJ16" i="32" s="1"/>
  <c r="ND16" i="32"/>
  <c r="NE16" i="32" s="1"/>
  <c r="MY16" i="32"/>
  <c r="MZ16" i="32" s="1"/>
  <c r="MT16" i="32"/>
  <c r="MU16" i="32" s="1"/>
  <c r="MR16" i="32"/>
  <c r="MS16" i="32" s="1"/>
  <c r="MM16" i="32"/>
  <c r="MN16" i="32" s="1"/>
  <c r="MH16" i="32"/>
  <c r="MI16" i="32" s="1"/>
  <c r="MC16" i="32"/>
  <c r="MD16" i="32" s="1"/>
  <c r="MA16" i="32"/>
  <c r="MB16" i="32" s="1"/>
  <c r="LV16" i="32"/>
  <c r="LW16" i="32" s="1"/>
  <c r="LQ16" i="32"/>
  <c r="LR16" i="32" s="1"/>
  <c r="LL16" i="32"/>
  <c r="LM16" i="32" s="1"/>
  <c r="LJ16" i="32"/>
  <c r="LK16" i="32" s="1"/>
  <c r="LE16" i="32"/>
  <c r="LF16" i="32" s="1"/>
  <c r="KZ16" i="32"/>
  <c r="LA16" i="32" s="1"/>
  <c r="KU16" i="32"/>
  <c r="KV16" i="32" s="1"/>
  <c r="KS16" i="32"/>
  <c r="KT16" i="32" s="1"/>
  <c r="KN16" i="32"/>
  <c r="KO16" i="32" s="1"/>
  <c r="KI16" i="32"/>
  <c r="KJ16" i="32" s="1"/>
  <c r="KE16" i="32"/>
  <c r="KD16" i="32"/>
  <c r="KC16" i="32"/>
  <c r="KB16" i="32"/>
  <c r="JX16" i="32"/>
  <c r="JW16" i="32"/>
  <c r="JR16" i="32"/>
  <c r="JS16" i="32" s="1"/>
  <c r="JM16" i="32"/>
  <c r="JN16" i="32" s="1"/>
  <c r="JL16" i="32"/>
  <c r="JK16" i="32"/>
  <c r="JG16" i="32"/>
  <c r="JF16" i="32"/>
  <c r="JA16" i="32"/>
  <c r="JB16" i="32" s="1"/>
  <c r="IV16" i="32"/>
  <c r="IW16" i="32" s="1"/>
  <c r="IU16" i="32"/>
  <c r="IT16" i="32"/>
  <c r="IP16" i="32"/>
  <c r="IO16" i="32"/>
  <c r="IJ16" i="32"/>
  <c r="IK16" i="32" s="1"/>
  <c r="IE16" i="32"/>
  <c r="IF16" i="32" s="1"/>
  <c r="ID16" i="32"/>
  <c r="IC16" i="32"/>
  <c r="HY16" i="32"/>
  <c r="HX16" i="32"/>
  <c r="HS16" i="32"/>
  <c r="HT16" i="32" s="1"/>
  <c r="HN16" i="32"/>
  <c r="HO16" i="32" s="1"/>
  <c r="HM16" i="32"/>
  <c r="HL16" i="32"/>
  <c r="HG16" i="32"/>
  <c r="HH16" i="32" s="1"/>
  <c r="HB16" i="32"/>
  <c r="HC16" i="32" s="1"/>
  <c r="GW16" i="32"/>
  <c r="GX16" i="32" s="1"/>
  <c r="GU16" i="32"/>
  <c r="GV16" i="32" s="1"/>
  <c r="GP16" i="32"/>
  <c r="GQ16" i="32" s="1"/>
  <c r="GK16" i="32"/>
  <c r="GL16" i="32" s="1"/>
  <c r="GF16" i="32"/>
  <c r="GG16" i="32" s="1"/>
  <c r="GD16" i="32"/>
  <c r="GE16" i="32" s="1"/>
  <c r="FY16" i="32"/>
  <c r="FZ16" i="32" s="1"/>
  <c r="FT16" i="32"/>
  <c r="FU16" i="32" s="1"/>
  <c r="FO16" i="32"/>
  <c r="FP16" i="32" s="1"/>
  <c r="FM16" i="32"/>
  <c r="FN16" i="32" s="1"/>
  <c r="FH16" i="32"/>
  <c r="FI16" i="32" s="1"/>
  <c r="FC16" i="32"/>
  <c r="FD16" i="32" s="1"/>
  <c r="EX16" i="32"/>
  <c r="EY16" i="32" s="1"/>
  <c r="EV16" i="32"/>
  <c r="EW16" i="32" s="1"/>
  <c r="ER16" i="32"/>
  <c r="EQ16" i="32"/>
  <c r="EL16" i="32"/>
  <c r="EM16" i="32" s="1"/>
  <c r="EG16" i="32"/>
  <c r="EH16" i="32" s="1"/>
  <c r="EE16" i="32"/>
  <c r="EF16" i="32" s="1"/>
  <c r="DZ16" i="32"/>
  <c r="EA16" i="32" s="1"/>
  <c r="DU16" i="32"/>
  <c r="DV16" i="32" s="1"/>
  <c r="DP16" i="32"/>
  <c r="DQ16" i="32" s="1"/>
  <c r="DN16" i="32"/>
  <c r="DO16" i="32" s="1"/>
  <c r="DI16" i="32"/>
  <c r="DJ16" i="32" s="1"/>
  <c r="DD16" i="32"/>
  <c r="DE16" i="32" s="1"/>
  <c r="CY16" i="32"/>
  <c r="CZ16" i="32" s="1"/>
  <c r="CW16" i="32"/>
  <c r="CX16" i="32" s="1"/>
  <c r="CS16" i="32"/>
  <c r="CR16" i="32"/>
  <c r="CM16" i="32"/>
  <c r="CN16" i="32" s="1"/>
  <c r="CH16" i="32"/>
  <c r="CI16" i="32" s="1"/>
  <c r="CF16" i="32"/>
  <c r="CG16" i="32" s="1"/>
  <c r="CA16" i="32"/>
  <c r="CB16" i="32" s="1"/>
  <c r="BV16" i="32"/>
  <c r="BW16" i="32" s="1"/>
  <c r="BQ16" i="32"/>
  <c r="BR16" i="32" s="1"/>
  <c r="BO16" i="32"/>
  <c r="BP16" i="32" s="1"/>
  <c r="BK16" i="32"/>
  <c r="BJ16" i="32"/>
  <c r="BE16" i="32"/>
  <c r="BF16" i="32" s="1"/>
  <c r="AZ16" i="32"/>
  <c r="BA16" i="32" s="1"/>
  <c r="AX16" i="32"/>
  <c r="AY16" i="32" s="1"/>
  <c r="AS16" i="32"/>
  <c r="AT16" i="32" s="1"/>
  <c r="AN16" i="32"/>
  <c r="AO16" i="32" s="1"/>
  <c r="AI16" i="32"/>
  <c r="AJ16" i="32" s="1"/>
  <c r="AG16" i="32"/>
  <c r="AH16" i="32" s="1"/>
  <c r="AC16" i="32"/>
  <c r="AB16" i="32"/>
  <c r="W16" i="32"/>
  <c r="X16" i="32" s="1"/>
  <c r="R16" i="32"/>
  <c r="S16" i="32" s="1"/>
  <c r="P16" i="32"/>
  <c r="Q16" i="32" s="1"/>
  <c r="K16" i="32"/>
  <c r="L16" i="32" s="1"/>
  <c r="F16" i="32"/>
  <c r="G16" i="32" s="1"/>
  <c r="SO15" i="32"/>
  <c r="SP15" i="32" s="1"/>
  <c r="SJ15" i="32"/>
  <c r="SK15" i="32" s="1"/>
  <c r="SE15" i="32"/>
  <c r="SF15" i="32" s="1"/>
  <c r="RX15" i="32"/>
  <c r="RY15" i="32" s="1"/>
  <c r="RS15" i="32"/>
  <c r="RT15" i="32" s="1"/>
  <c r="RN15" i="32"/>
  <c r="RO15" i="32" s="1"/>
  <c r="RG15" i="32"/>
  <c r="RH15" i="32" s="1"/>
  <c r="RB15" i="32"/>
  <c r="RC15" i="32" s="1"/>
  <c r="QW15" i="32"/>
  <c r="QX15" i="32" s="1"/>
  <c r="QP15" i="32"/>
  <c r="QQ15" i="32" s="1"/>
  <c r="QK15" i="32"/>
  <c r="QL15" i="32" s="1"/>
  <c r="QF15" i="32"/>
  <c r="QG15" i="32" s="1"/>
  <c r="PY15" i="32"/>
  <c r="PZ15" i="32" s="1"/>
  <c r="PT15" i="32"/>
  <c r="PU15" i="32" s="1"/>
  <c r="PO15" i="32"/>
  <c r="PP15" i="32" s="1"/>
  <c r="PH15" i="32"/>
  <c r="PI15" i="32" s="1"/>
  <c r="PC15" i="32"/>
  <c r="PD15" i="32" s="1"/>
  <c r="OX15" i="32"/>
  <c r="OY15" i="32" s="1"/>
  <c r="OQ15" i="32"/>
  <c r="OR15" i="32" s="1"/>
  <c r="OL15" i="32"/>
  <c r="OM15" i="32" s="1"/>
  <c r="OG15" i="32"/>
  <c r="OH15" i="32" s="1"/>
  <c r="NZ15" i="32"/>
  <c r="OA15" i="32" s="1"/>
  <c r="NU15" i="32"/>
  <c r="NV15" i="32" s="1"/>
  <c r="NP15" i="32"/>
  <c r="NQ15" i="32" s="1"/>
  <c r="NI15" i="32"/>
  <c r="NJ15" i="32" s="1"/>
  <c r="ND15" i="32"/>
  <c r="NE15" i="32" s="1"/>
  <c r="MY15" i="32"/>
  <c r="MZ15" i="32" s="1"/>
  <c r="MR15" i="32"/>
  <c r="MS15" i="32" s="1"/>
  <c r="MM15" i="32"/>
  <c r="MN15" i="32" s="1"/>
  <c r="MH15" i="32"/>
  <c r="MI15" i="32" s="1"/>
  <c r="MA15" i="32"/>
  <c r="MB15" i="32" s="1"/>
  <c r="LV15" i="32"/>
  <c r="LW15" i="32" s="1"/>
  <c r="LQ15" i="32"/>
  <c r="LR15" i="32" s="1"/>
  <c r="LJ15" i="32"/>
  <c r="LK15" i="32" s="1"/>
  <c r="LE15" i="32"/>
  <c r="LF15" i="32" s="1"/>
  <c r="KZ15" i="32"/>
  <c r="LA15" i="32" s="1"/>
  <c r="KS15" i="32"/>
  <c r="KT15" i="32" s="1"/>
  <c r="KN15" i="32"/>
  <c r="KO15" i="32" s="1"/>
  <c r="KI15" i="32"/>
  <c r="KJ15" i="32" s="1"/>
  <c r="KB15" i="32"/>
  <c r="KC15" i="32" s="1"/>
  <c r="JX15" i="32"/>
  <c r="JW15" i="32"/>
  <c r="JR15" i="32"/>
  <c r="JS15" i="32" s="1"/>
  <c r="JK15" i="32"/>
  <c r="JL15" i="32" s="1"/>
  <c r="JF15" i="32"/>
  <c r="JG15" i="32" s="1"/>
  <c r="JA15" i="32"/>
  <c r="JB15" i="32" s="1"/>
  <c r="IT15" i="32"/>
  <c r="IU15" i="32" s="1"/>
  <c r="IO15" i="32"/>
  <c r="IP15" i="32" s="1"/>
  <c r="IJ15" i="32"/>
  <c r="IK15" i="32" s="1"/>
  <c r="IC15" i="32"/>
  <c r="ID15" i="32" s="1"/>
  <c r="HX15" i="32"/>
  <c r="HY15" i="32" s="1"/>
  <c r="HS15" i="32"/>
  <c r="HT15" i="32" s="1"/>
  <c r="HL15" i="32"/>
  <c r="HM15" i="32" s="1"/>
  <c r="HH15" i="32"/>
  <c r="HG15" i="32"/>
  <c r="HB15" i="32"/>
  <c r="HC15" i="32" s="1"/>
  <c r="GU15" i="32"/>
  <c r="GV15" i="32" s="1"/>
  <c r="GP15" i="32"/>
  <c r="GQ15" i="32" s="1"/>
  <c r="GK15" i="32"/>
  <c r="GL15" i="32" s="1"/>
  <c r="GD15" i="32"/>
  <c r="GE15" i="32" s="1"/>
  <c r="FZ15" i="32"/>
  <c r="FY15" i="32"/>
  <c r="FT15" i="32"/>
  <c r="FU15" i="32" s="1"/>
  <c r="FM15" i="32"/>
  <c r="FN15" i="32" s="1"/>
  <c r="FH15" i="32"/>
  <c r="FI15" i="32" s="1"/>
  <c r="FC15" i="32"/>
  <c r="FD15" i="32" s="1"/>
  <c r="EV15" i="32"/>
  <c r="EW15" i="32" s="1"/>
  <c r="ER15" i="32"/>
  <c r="EQ15" i="32"/>
  <c r="EL15" i="32"/>
  <c r="EM15" i="32" s="1"/>
  <c r="EE15" i="32"/>
  <c r="EF15" i="32" s="1"/>
  <c r="DZ15" i="32"/>
  <c r="EA15" i="32" s="1"/>
  <c r="DU15" i="32"/>
  <c r="DV15" i="32" s="1"/>
  <c r="DN15" i="32"/>
  <c r="DO15" i="32" s="1"/>
  <c r="DJ15" i="32"/>
  <c r="DI15" i="32"/>
  <c r="DD15" i="32"/>
  <c r="DE15" i="32" s="1"/>
  <c r="CW15" i="32"/>
  <c r="CX15" i="32" s="1"/>
  <c r="CR15" i="32"/>
  <c r="CS15" i="32" s="1"/>
  <c r="CM15" i="32"/>
  <c r="CN15" i="32" s="1"/>
  <c r="CF15" i="32"/>
  <c r="CG15" i="32" s="1"/>
  <c r="CA15" i="32"/>
  <c r="CB15" i="32" s="1"/>
  <c r="BV15" i="32"/>
  <c r="BW15" i="32" s="1"/>
  <c r="BO15" i="32"/>
  <c r="BP15" i="32" s="1"/>
  <c r="BJ15" i="32"/>
  <c r="BK15" i="32" s="1"/>
  <c r="BE15" i="32"/>
  <c r="BF15" i="32" s="1"/>
  <c r="AX15" i="32"/>
  <c r="AY15" i="32" s="1"/>
  <c r="AT15" i="32"/>
  <c r="AS15" i="32"/>
  <c r="AN15" i="32"/>
  <c r="AO15" i="32" s="1"/>
  <c r="AG15" i="32"/>
  <c r="AH15" i="32" s="1"/>
  <c r="AB15" i="32"/>
  <c r="AC15" i="32" s="1"/>
  <c r="W15" i="32"/>
  <c r="X15" i="32" s="1"/>
  <c r="P15" i="32"/>
  <c r="Q15" i="32" s="1"/>
  <c r="L15" i="32"/>
  <c r="K15" i="32"/>
  <c r="F15" i="32"/>
  <c r="G15" i="32" s="1"/>
  <c r="SO14" i="32"/>
  <c r="SP14" i="32" s="1"/>
  <c r="SJ14" i="32"/>
  <c r="SK14" i="32" s="1"/>
  <c r="SE14" i="32"/>
  <c r="SF14" i="32" s="1"/>
  <c r="RX14" i="32"/>
  <c r="RY14" i="32" s="1"/>
  <c r="RT14" i="32"/>
  <c r="RS14" i="32"/>
  <c r="RN14" i="32"/>
  <c r="RO14" i="32" s="1"/>
  <c r="RG14" i="32"/>
  <c r="RH14" i="32" s="1"/>
  <c r="RB14" i="32"/>
  <c r="RC14" i="32" s="1"/>
  <c r="QW14" i="32"/>
  <c r="QX14" i="32" s="1"/>
  <c r="QP14" i="32"/>
  <c r="QQ14" i="32" s="1"/>
  <c r="QK14" i="32"/>
  <c r="QL14" i="32" s="1"/>
  <c r="QF14" i="32"/>
  <c r="QG14" i="32" s="1"/>
  <c r="PY14" i="32"/>
  <c r="PZ14" i="32" s="1"/>
  <c r="PT14" i="32"/>
  <c r="PU14" i="32" s="1"/>
  <c r="PO14" i="32"/>
  <c r="PP14" i="32" s="1"/>
  <c r="PH14" i="32"/>
  <c r="PI14" i="32" s="1"/>
  <c r="PD14" i="32"/>
  <c r="PC14" i="32"/>
  <c r="OX14" i="32"/>
  <c r="OY14" i="32" s="1"/>
  <c r="OQ14" i="32"/>
  <c r="OR14" i="32" s="1"/>
  <c r="OL14" i="32"/>
  <c r="OM14" i="32" s="1"/>
  <c r="OG14" i="32"/>
  <c r="OH14" i="32" s="1"/>
  <c r="NZ14" i="32"/>
  <c r="OA14" i="32" s="1"/>
  <c r="NU14" i="32"/>
  <c r="NV14" i="32" s="1"/>
  <c r="NP14" i="32"/>
  <c r="NQ14" i="32" s="1"/>
  <c r="NI14" i="32"/>
  <c r="NJ14" i="32" s="1"/>
  <c r="ND14" i="32"/>
  <c r="NE14" i="32" s="1"/>
  <c r="MY14" i="32"/>
  <c r="MZ14" i="32" s="1"/>
  <c r="MR14" i="32"/>
  <c r="MS14" i="32" s="1"/>
  <c r="MM14" i="32"/>
  <c r="MN14" i="32" s="1"/>
  <c r="MH14" i="32"/>
  <c r="MI14" i="32" s="1"/>
  <c r="MA14" i="32"/>
  <c r="MB14" i="32" s="1"/>
  <c r="LV14" i="32"/>
  <c r="LW14" i="32" s="1"/>
  <c r="LQ14" i="32"/>
  <c r="LR14" i="32" s="1"/>
  <c r="LJ14" i="32"/>
  <c r="LK14" i="32" s="1"/>
  <c r="LE14" i="32"/>
  <c r="LF14" i="32" s="1"/>
  <c r="KZ14" i="32"/>
  <c r="LA14" i="32" s="1"/>
  <c r="KS14" i="32"/>
  <c r="KT14" i="32" s="1"/>
  <c r="KN14" i="32"/>
  <c r="KO14" i="32" s="1"/>
  <c r="KI14" i="32"/>
  <c r="KJ14" i="32" s="1"/>
  <c r="KB14" i="32"/>
  <c r="KC14" i="32" s="1"/>
  <c r="JX14" i="32"/>
  <c r="JW14" i="32"/>
  <c r="JR14" i="32"/>
  <c r="JS14" i="32" s="1"/>
  <c r="JK14" i="32"/>
  <c r="JL14" i="32" s="1"/>
  <c r="JF14" i="32"/>
  <c r="JG14" i="32" s="1"/>
  <c r="JA14" i="32"/>
  <c r="JB14" i="32" s="1"/>
  <c r="IT14" i="32"/>
  <c r="IU14" i="32" s="1"/>
  <c r="IO14" i="32"/>
  <c r="IP14" i="32" s="1"/>
  <c r="IJ14" i="32"/>
  <c r="IK14" i="32" s="1"/>
  <c r="IC14" i="32"/>
  <c r="ID14" i="32" s="1"/>
  <c r="HX14" i="32"/>
  <c r="HY14" i="32" s="1"/>
  <c r="HS14" i="32"/>
  <c r="HT14" i="32" s="1"/>
  <c r="HL14" i="32"/>
  <c r="HM14" i="32" s="1"/>
  <c r="HG14" i="32"/>
  <c r="HH14" i="32" s="1"/>
  <c r="HB14" i="32"/>
  <c r="HC14" i="32" s="1"/>
  <c r="GU14" i="32"/>
  <c r="GV14" i="32" s="1"/>
  <c r="GP14" i="32"/>
  <c r="GQ14" i="32" s="1"/>
  <c r="GK14" i="32"/>
  <c r="GL14" i="32" s="1"/>
  <c r="GD14" i="32"/>
  <c r="GE14" i="32" s="1"/>
  <c r="FY14" i="32"/>
  <c r="FZ14" i="32" s="1"/>
  <c r="FT14" i="32"/>
  <c r="FU14" i="32" s="1"/>
  <c r="FM14" i="32"/>
  <c r="FN14" i="32" s="1"/>
  <c r="FH14" i="32"/>
  <c r="FI14" i="32" s="1"/>
  <c r="FC14" i="32"/>
  <c r="FD14" i="32" s="1"/>
  <c r="EV14" i="32"/>
  <c r="EW14" i="32" s="1"/>
  <c r="EQ14" i="32"/>
  <c r="ER14" i="32" s="1"/>
  <c r="EL14" i="32"/>
  <c r="EM14" i="32" s="1"/>
  <c r="EE14" i="32"/>
  <c r="EF14" i="32" s="1"/>
  <c r="DZ14" i="32"/>
  <c r="EA14" i="32" s="1"/>
  <c r="DU14" i="32"/>
  <c r="DV14" i="32" s="1"/>
  <c r="DN14" i="32"/>
  <c r="DO14" i="32" s="1"/>
  <c r="DJ14" i="32"/>
  <c r="DI14" i="32"/>
  <c r="DD14" i="32"/>
  <c r="DE14" i="32" s="1"/>
  <c r="CW14" i="32"/>
  <c r="CX14" i="32" s="1"/>
  <c r="CR14" i="32"/>
  <c r="CS14" i="32" s="1"/>
  <c r="CM14" i="32"/>
  <c r="CN14" i="32" s="1"/>
  <c r="CF14" i="32"/>
  <c r="CG14" i="32" s="1"/>
  <c r="CA14" i="32"/>
  <c r="CB14" i="32" s="1"/>
  <c r="BV14" i="32"/>
  <c r="BW14" i="32" s="1"/>
  <c r="BO14" i="32"/>
  <c r="BP14" i="32" s="1"/>
  <c r="BJ14" i="32"/>
  <c r="BK14" i="32" s="1"/>
  <c r="BE14" i="32"/>
  <c r="BF14" i="32" s="1"/>
  <c r="AX14" i="32"/>
  <c r="AY14" i="32" s="1"/>
  <c r="AS14" i="32"/>
  <c r="AT14" i="32" s="1"/>
  <c r="AN14" i="32"/>
  <c r="AO14" i="32" s="1"/>
  <c r="AG14" i="32"/>
  <c r="AH14" i="32" s="1"/>
  <c r="AB14" i="32"/>
  <c r="AC14" i="32" s="1"/>
  <c r="W14" i="32"/>
  <c r="X14" i="32" s="1"/>
  <c r="P14" i="32"/>
  <c r="Q14" i="32" s="1"/>
  <c r="L14" i="32"/>
  <c r="K14" i="32"/>
  <c r="F14" i="32"/>
  <c r="G14" i="32" s="1"/>
  <c r="SR13" i="32"/>
  <c r="SQ13" i="32"/>
  <c r="SO13" i="32"/>
  <c r="SP13" i="32" s="1"/>
  <c r="SJ13" i="32"/>
  <c r="SK13" i="32" s="1"/>
  <c r="SE13" i="32"/>
  <c r="SF13" i="32" s="1"/>
  <c r="SA13" i="32"/>
  <c r="RZ13" i="32"/>
  <c r="RX13" i="32"/>
  <c r="RY13" i="32" s="1"/>
  <c r="RT13" i="32"/>
  <c r="RS13" i="32"/>
  <c r="RN13" i="32"/>
  <c r="RO13" i="32" s="1"/>
  <c r="RI13" i="32"/>
  <c r="RJ13" i="32" s="1"/>
  <c r="RG13" i="32"/>
  <c r="RH13" i="32" s="1"/>
  <c r="RB13" i="32"/>
  <c r="RC13" i="32" s="1"/>
  <c r="QW13" i="32"/>
  <c r="QX13" i="32" s="1"/>
  <c r="QR13" i="32"/>
  <c r="QS13" i="32" s="1"/>
  <c r="QP13" i="32"/>
  <c r="QQ13" i="32" s="1"/>
  <c r="QK13" i="32"/>
  <c r="QL13" i="32" s="1"/>
  <c r="QF13" i="32"/>
  <c r="QG13" i="32" s="1"/>
  <c r="QA13" i="32"/>
  <c r="QB13" i="32" s="1"/>
  <c r="PY13" i="32"/>
  <c r="PZ13" i="32" s="1"/>
  <c r="PT13" i="32"/>
  <c r="PU13" i="32" s="1"/>
  <c r="PO13" i="32"/>
  <c r="PP13" i="32" s="1"/>
  <c r="PJ13" i="32"/>
  <c r="PK13" i="32" s="1"/>
  <c r="PH13" i="32"/>
  <c r="PI13" i="32" s="1"/>
  <c r="PC13" i="32"/>
  <c r="PD13" i="32" s="1"/>
  <c r="OX13" i="32"/>
  <c r="OY13" i="32" s="1"/>
  <c r="OS13" i="32"/>
  <c r="OT13" i="32" s="1"/>
  <c r="OQ13" i="32"/>
  <c r="OR13" i="32" s="1"/>
  <c r="OL13" i="32"/>
  <c r="OM13" i="32" s="1"/>
  <c r="OG13" i="32"/>
  <c r="OH13" i="32" s="1"/>
  <c r="OB13" i="32"/>
  <c r="OC13" i="32" s="1"/>
  <c r="NZ13" i="32"/>
  <c r="OA13" i="32" s="1"/>
  <c r="NU13" i="32"/>
  <c r="NV13" i="32" s="1"/>
  <c r="NP13" i="32"/>
  <c r="NQ13" i="32" s="1"/>
  <c r="NK13" i="32"/>
  <c r="NL13" i="32" s="1"/>
  <c r="NI13" i="32"/>
  <c r="NJ13" i="32" s="1"/>
  <c r="ND13" i="32"/>
  <c r="NE13" i="32" s="1"/>
  <c r="MY13" i="32"/>
  <c r="MZ13" i="32" s="1"/>
  <c r="MT13" i="32"/>
  <c r="MU13" i="32" s="1"/>
  <c r="MR13" i="32"/>
  <c r="MS13" i="32" s="1"/>
  <c r="MN13" i="32"/>
  <c r="MM13" i="32"/>
  <c r="MH13" i="32"/>
  <c r="MI13" i="32" s="1"/>
  <c r="MC13" i="32"/>
  <c r="MD13" i="32" s="1"/>
  <c r="MA13" i="32"/>
  <c r="MB13" i="32" s="1"/>
  <c r="LV13" i="32"/>
  <c r="LW13" i="32" s="1"/>
  <c r="LQ13" i="32"/>
  <c r="LR13" i="32" s="1"/>
  <c r="LL13" i="32"/>
  <c r="LM13" i="32" s="1"/>
  <c r="LJ13" i="32"/>
  <c r="LK13" i="32" s="1"/>
  <c r="LE13" i="32"/>
  <c r="LF13" i="32" s="1"/>
  <c r="KZ13" i="32"/>
  <c r="LA13" i="32" s="1"/>
  <c r="KU13" i="32"/>
  <c r="KV13" i="32" s="1"/>
  <c r="KS13" i="32"/>
  <c r="KT13" i="32" s="1"/>
  <c r="KN13" i="32"/>
  <c r="KO13" i="32" s="1"/>
  <c r="KI13" i="32"/>
  <c r="KJ13" i="32" s="1"/>
  <c r="KE13" i="32"/>
  <c r="KD13" i="32"/>
  <c r="KB13" i="32"/>
  <c r="KC13" i="32" s="1"/>
  <c r="JX13" i="32"/>
  <c r="JW13" i="32"/>
  <c r="JR13" i="32"/>
  <c r="JS13" i="32" s="1"/>
  <c r="JM13" i="32"/>
  <c r="JN13" i="32" s="1"/>
  <c r="JK13" i="32"/>
  <c r="JL13" i="32" s="1"/>
  <c r="JF13" i="32"/>
  <c r="JG13" i="32" s="1"/>
  <c r="JA13" i="32"/>
  <c r="JB13" i="32" s="1"/>
  <c r="IV13" i="32"/>
  <c r="IW13" i="32" s="1"/>
  <c r="IT13" i="32"/>
  <c r="IU13" i="32" s="1"/>
  <c r="IP13" i="32"/>
  <c r="IO13" i="32"/>
  <c r="IJ13" i="32"/>
  <c r="IK13" i="32" s="1"/>
  <c r="IE13" i="32"/>
  <c r="IF13" i="32" s="1"/>
  <c r="IC13" i="32"/>
  <c r="ID13" i="32" s="1"/>
  <c r="HX13" i="32"/>
  <c r="HY13" i="32" s="1"/>
  <c r="HS13" i="32"/>
  <c r="HT13" i="32" s="1"/>
  <c r="HO13" i="32"/>
  <c r="HN13" i="32"/>
  <c r="HL13" i="32"/>
  <c r="HM13" i="32" s="1"/>
  <c r="HH13" i="32"/>
  <c r="HG13" i="32"/>
  <c r="HB13" i="32"/>
  <c r="HC13" i="32" s="1"/>
  <c r="GW13" i="32"/>
  <c r="GX13" i="32" s="1"/>
  <c r="GU13" i="32"/>
  <c r="GV13" i="32" s="1"/>
  <c r="GQ13" i="32"/>
  <c r="GP13" i="32"/>
  <c r="GK13" i="32"/>
  <c r="GL13" i="32" s="1"/>
  <c r="GF13" i="32"/>
  <c r="GG13" i="32" s="1"/>
  <c r="GD13" i="32"/>
  <c r="GE13" i="32" s="1"/>
  <c r="FY13" i="32"/>
  <c r="FZ13" i="32" s="1"/>
  <c r="FT13" i="32"/>
  <c r="FU13" i="32" s="1"/>
  <c r="FO13" i="32"/>
  <c r="FP13" i="32" s="1"/>
  <c r="FM13" i="32"/>
  <c r="FN13" i="32" s="1"/>
  <c r="FI13" i="32"/>
  <c r="FH13" i="32"/>
  <c r="FC13" i="32"/>
  <c r="FD13" i="32" s="1"/>
  <c r="EX13" i="32"/>
  <c r="EY13" i="32" s="1"/>
  <c r="EV13" i="32"/>
  <c r="EW13" i="32" s="1"/>
  <c r="ER13" i="32"/>
  <c r="EQ13" i="32"/>
  <c r="EL13" i="32"/>
  <c r="EM13" i="32" s="1"/>
  <c r="EG13" i="32"/>
  <c r="EH13" i="32" s="1"/>
  <c r="EE13" i="32"/>
  <c r="EF13" i="32" s="1"/>
  <c r="EA13" i="32"/>
  <c r="DZ13" i="32"/>
  <c r="DU13" i="32"/>
  <c r="DV13" i="32" s="1"/>
  <c r="DP13" i="32"/>
  <c r="DQ13" i="32" s="1"/>
  <c r="DN13" i="32"/>
  <c r="DO13" i="32" s="1"/>
  <c r="DI13" i="32"/>
  <c r="DJ13" i="32" s="1"/>
  <c r="DD13" i="32"/>
  <c r="DE13" i="32" s="1"/>
  <c r="CY13" i="32"/>
  <c r="CZ13" i="32" s="1"/>
  <c r="CW13" i="32"/>
  <c r="CX13" i="32" s="1"/>
  <c r="CS13" i="32"/>
  <c r="CR13" i="32"/>
  <c r="CM13" i="32"/>
  <c r="CN13" i="32" s="1"/>
  <c r="CH13" i="32"/>
  <c r="CI13" i="32" s="1"/>
  <c r="CF13" i="32"/>
  <c r="CG13" i="32" s="1"/>
  <c r="CB13" i="32"/>
  <c r="CA13" i="32"/>
  <c r="BV13" i="32"/>
  <c r="BW13" i="32" s="1"/>
  <c r="BQ13" i="32"/>
  <c r="BR13" i="32" s="1"/>
  <c r="BO13" i="32"/>
  <c r="BP13" i="32" s="1"/>
  <c r="BK13" i="32"/>
  <c r="BJ13" i="32"/>
  <c r="BE13" i="32"/>
  <c r="BF13" i="32" s="1"/>
  <c r="AZ13" i="32"/>
  <c r="BA13" i="32" s="1"/>
  <c r="AX13" i="32"/>
  <c r="AY13" i="32" s="1"/>
  <c r="AS13" i="32"/>
  <c r="AT13" i="32" s="1"/>
  <c r="AN13" i="32"/>
  <c r="AO13" i="32" s="1"/>
  <c r="AI13" i="32"/>
  <c r="AJ13" i="32" s="1"/>
  <c r="AG13" i="32"/>
  <c r="AH13" i="32" s="1"/>
  <c r="AC13" i="32"/>
  <c r="AB13" i="32"/>
  <c r="W13" i="32"/>
  <c r="X13" i="32" s="1"/>
  <c r="R13" i="32"/>
  <c r="S13" i="32" s="1"/>
  <c r="P13" i="32"/>
  <c r="Q13" i="32" s="1"/>
  <c r="L13" i="32"/>
  <c r="K13" i="32"/>
  <c r="F13" i="32"/>
  <c r="G13" i="32" s="1"/>
  <c r="SO12" i="32"/>
  <c r="SP12" i="32" s="1"/>
  <c r="SK12" i="32"/>
  <c r="SJ12" i="32"/>
  <c r="SE12" i="32"/>
  <c r="SF12" i="32" s="1"/>
  <c r="RX12" i="32"/>
  <c r="RY12" i="32" s="1"/>
  <c r="RT12" i="32"/>
  <c r="RS12" i="32"/>
  <c r="RN12" i="32"/>
  <c r="RO12" i="32" s="1"/>
  <c r="RG12" i="32"/>
  <c r="RH12" i="32" s="1"/>
  <c r="RB12" i="32"/>
  <c r="RC12" i="32" s="1"/>
  <c r="QW12" i="32"/>
  <c r="QX12" i="32" s="1"/>
  <c r="QP12" i="32"/>
  <c r="QQ12" i="32" s="1"/>
  <c r="QL12" i="32"/>
  <c r="QK12" i="32"/>
  <c r="QF12" i="32"/>
  <c r="QG12" i="32" s="1"/>
  <c r="PY12" i="32"/>
  <c r="PZ12" i="32" s="1"/>
  <c r="PT12" i="32"/>
  <c r="PU12" i="32" s="1"/>
  <c r="PO12" i="32"/>
  <c r="PP12" i="32" s="1"/>
  <c r="PH12" i="32"/>
  <c r="PI12" i="32" s="1"/>
  <c r="PC12" i="32"/>
  <c r="PD12" i="32" s="1"/>
  <c r="OX12" i="32"/>
  <c r="OY12" i="32" s="1"/>
  <c r="OQ12" i="32"/>
  <c r="OR12" i="32" s="1"/>
  <c r="OL12" i="32"/>
  <c r="OM12" i="32" s="1"/>
  <c r="OG12" i="32"/>
  <c r="OH12" i="32" s="1"/>
  <c r="NZ12" i="32"/>
  <c r="OA12" i="32" s="1"/>
  <c r="NU12" i="32"/>
  <c r="NV12" i="32" s="1"/>
  <c r="NP12" i="32"/>
  <c r="NQ12" i="32" s="1"/>
  <c r="NI12" i="32"/>
  <c r="NJ12" i="32" s="1"/>
  <c r="ND12" i="32"/>
  <c r="NE12" i="32" s="1"/>
  <c r="MY12" i="32"/>
  <c r="MZ12" i="32" s="1"/>
  <c r="MR12" i="32"/>
  <c r="MS12" i="32" s="1"/>
  <c r="MN12" i="32"/>
  <c r="MM12" i="32"/>
  <c r="MH12" i="32"/>
  <c r="MI12" i="32" s="1"/>
  <c r="MA12" i="32"/>
  <c r="MB12" i="32" s="1"/>
  <c r="LV12" i="32"/>
  <c r="LW12" i="32" s="1"/>
  <c r="LQ12" i="32"/>
  <c r="LR12" i="32" s="1"/>
  <c r="LJ12" i="32"/>
  <c r="LK12" i="32" s="1"/>
  <c r="LE12" i="32"/>
  <c r="LF12" i="32" s="1"/>
  <c r="KZ12" i="32"/>
  <c r="LA12" i="32" s="1"/>
  <c r="KS12" i="32"/>
  <c r="KT12" i="32" s="1"/>
  <c r="KN12" i="32"/>
  <c r="KO12" i="32" s="1"/>
  <c r="KI12" i="32"/>
  <c r="KJ12" i="32" s="1"/>
  <c r="KB12" i="32"/>
  <c r="KC12" i="32" s="1"/>
  <c r="JX12" i="32"/>
  <c r="JW12" i="32"/>
  <c r="JR12" i="32"/>
  <c r="JS12" i="32" s="1"/>
  <c r="JK12" i="32"/>
  <c r="JL12" i="32" s="1"/>
  <c r="JF12" i="32"/>
  <c r="JG12" i="32" s="1"/>
  <c r="JA12" i="32"/>
  <c r="JB12" i="32" s="1"/>
  <c r="IT12" i="32"/>
  <c r="IU12" i="32" s="1"/>
  <c r="IP12" i="32"/>
  <c r="IO12" i="32"/>
  <c r="IJ12" i="32"/>
  <c r="IK12" i="32" s="1"/>
  <c r="IC12" i="32"/>
  <c r="ID12" i="32" s="1"/>
  <c r="HX12" i="32"/>
  <c r="HY12" i="32" s="1"/>
  <c r="HS12" i="32"/>
  <c r="HT12" i="32" s="1"/>
  <c r="HL12" i="32"/>
  <c r="HM12" i="32" s="1"/>
  <c r="HH12" i="32"/>
  <c r="HG12" i="32"/>
  <c r="HB12" i="32"/>
  <c r="HC12" i="32" s="1"/>
  <c r="GU12" i="32"/>
  <c r="GV12" i="32" s="1"/>
  <c r="GP12" i="32"/>
  <c r="GQ12" i="32" s="1"/>
  <c r="GK12" i="32"/>
  <c r="GL12" i="32" s="1"/>
  <c r="GD12" i="32"/>
  <c r="GE12" i="32" s="1"/>
  <c r="FY12" i="32"/>
  <c r="FZ12" i="32" s="1"/>
  <c r="FT12" i="32"/>
  <c r="FU12" i="32" s="1"/>
  <c r="FM12" i="32"/>
  <c r="FN12" i="32" s="1"/>
  <c r="FH12" i="32"/>
  <c r="FI12" i="32" s="1"/>
  <c r="FC12" i="32"/>
  <c r="FD12" i="32" s="1"/>
  <c r="EV12" i="32"/>
  <c r="EW12" i="32" s="1"/>
  <c r="ER12" i="32"/>
  <c r="EQ12" i="32"/>
  <c r="EL12" i="32"/>
  <c r="EM12" i="32" s="1"/>
  <c r="EE12" i="32"/>
  <c r="EF12" i="32" s="1"/>
  <c r="DZ12" i="32"/>
  <c r="EA12" i="32" s="1"/>
  <c r="DU12" i="32"/>
  <c r="DV12" i="32" s="1"/>
  <c r="DN12" i="32"/>
  <c r="DO12" i="32" s="1"/>
  <c r="DJ12" i="32"/>
  <c r="DI12" i="32"/>
  <c r="DD12" i="32"/>
  <c r="DE12" i="32" s="1"/>
  <c r="CW12" i="32"/>
  <c r="CX12" i="32" s="1"/>
  <c r="CR12" i="32"/>
  <c r="CS12" i="32" s="1"/>
  <c r="CM12" i="32"/>
  <c r="CN12" i="32" s="1"/>
  <c r="CF12" i="32"/>
  <c r="CG12" i="32" s="1"/>
  <c r="CB12" i="32"/>
  <c r="CA12" i="32"/>
  <c r="BV12" i="32"/>
  <c r="BW12" i="32" s="1"/>
  <c r="BO12" i="32"/>
  <c r="BP12" i="32" s="1"/>
  <c r="BJ12" i="32"/>
  <c r="BK12" i="32" s="1"/>
  <c r="BE12" i="32"/>
  <c r="BF12" i="32" s="1"/>
  <c r="AX12" i="32"/>
  <c r="AY12" i="32" s="1"/>
  <c r="AS12" i="32"/>
  <c r="AT12" i="32" s="1"/>
  <c r="AN12" i="32"/>
  <c r="AO12" i="32" s="1"/>
  <c r="AG12" i="32"/>
  <c r="AH12" i="32" s="1"/>
  <c r="AB12" i="32"/>
  <c r="AC12" i="32" s="1"/>
  <c r="W12" i="32"/>
  <c r="X12" i="32" s="1"/>
  <c r="P12" i="32"/>
  <c r="Q12" i="32" s="1"/>
  <c r="L12" i="32"/>
  <c r="K12" i="32"/>
  <c r="F12" i="32"/>
  <c r="G12" i="32" s="1"/>
  <c r="SO11" i="32"/>
  <c r="SP11" i="32" s="1"/>
  <c r="SJ11" i="32"/>
  <c r="SK11" i="32" s="1"/>
  <c r="SE11" i="32"/>
  <c r="SF11" i="32" s="1"/>
  <c r="RX11" i="32"/>
  <c r="RY11" i="32" s="1"/>
  <c r="RT11" i="32"/>
  <c r="RS11" i="32"/>
  <c r="RN11" i="32"/>
  <c r="RO11" i="32" s="1"/>
  <c r="RG11" i="32"/>
  <c r="RH11" i="32" s="1"/>
  <c r="RB11" i="32"/>
  <c r="RC11" i="32" s="1"/>
  <c r="QW11" i="32"/>
  <c r="QX11" i="32" s="1"/>
  <c r="QP11" i="32"/>
  <c r="QQ11" i="32" s="1"/>
  <c r="QL11" i="32"/>
  <c r="QK11" i="32"/>
  <c r="QF11" i="32"/>
  <c r="QG11" i="32" s="1"/>
  <c r="PY11" i="32"/>
  <c r="PZ11" i="32" s="1"/>
  <c r="PT11" i="32"/>
  <c r="PU11" i="32" s="1"/>
  <c r="PO11" i="32"/>
  <c r="PP11" i="32" s="1"/>
  <c r="PH11" i="32"/>
  <c r="PI11" i="32" s="1"/>
  <c r="PC11" i="32"/>
  <c r="PD11" i="32" s="1"/>
  <c r="OX11" i="32"/>
  <c r="OY11" i="32" s="1"/>
  <c r="OQ11" i="32"/>
  <c r="OR11" i="32" s="1"/>
  <c r="OL11" i="32"/>
  <c r="OM11" i="32" s="1"/>
  <c r="OG11" i="32"/>
  <c r="OH11" i="32" s="1"/>
  <c r="NZ11" i="32"/>
  <c r="OA11" i="32" s="1"/>
  <c r="NU11" i="32"/>
  <c r="NV11" i="32" s="1"/>
  <c r="NP11" i="32"/>
  <c r="NQ11" i="32" s="1"/>
  <c r="NI11" i="32"/>
  <c r="NJ11" i="32" s="1"/>
  <c r="ND11" i="32"/>
  <c r="NE11" i="32" s="1"/>
  <c r="MY11" i="32"/>
  <c r="MZ11" i="32" s="1"/>
  <c r="MR11" i="32"/>
  <c r="MS11" i="32" s="1"/>
  <c r="MN11" i="32"/>
  <c r="MM11" i="32"/>
  <c r="MH11" i="32"/>
  <c r="MI11" i="32" s="1"/>
  <c r="MA11" i="32"/>
  <c r="MB11" i="32" s="1"/>
  <c r="LV11" i="32"/>
  <c r="LW11" i="32" s="1"/>
  <c r="LQ11" i="32"/>
  <c r="LR11" i="32" s="1"/>
  <c r="LJ11" i="32"/>
  <c r="LK11" i="32" s="1"/>
  <c r="LE11" i="32"/>
  <c r="LF11" i="32" s="1"/>
  <c r="KZ11" i="32"/>
  <c r="LA11" i="32" s="1"/>
  <c r="KS11" i="32"/>
  <c r="KT11" i="32" s="1"/>
  <c r="KN11" i="32"/>
  <c r="KO11" i="32" s="1"/>
  <c r="KI11" i="32"/>
  <c r="KJ11" i="32" s="1"/>
  <c r="KB11" i="32"/>
  <c r="KC11" i="32" s="1"/>
  <c r="JX11" i="32"/>
  <c r="JW11" i="32"/>
  <c r="JR11" i="32"/>
  <c r="JS11" i="32" s="1"/>
  <c r="JK11" i="32"/>
  <c r="JL11" i="32" s="1"/>
  <c r="JF11" i="32"/>
  <c r="JG11" i="32" s="1"/>
  <c r="JA11" i="32"/>
  <c r="JB11" i="32" s="1"/>
  <c r="IT11" i="32"/>
  <c r="IU11" i="32" s="1"/>
  <c r="IP11" i="32"/>
  <c r="IO11" i="32"/>
  <c r="IJ11" i="32"/>
  <c r="IK11" i="32" s="1"/>
  <c r="IC11" i="32"/>
  <c r="ID11" i="32" s="1"/>
  <c r="HX11" i="32"/>
  <c r="HY11" i="32" s="1"/>
  <c r="HS11" i="32"/>
  <c r="HT11" i="32" s="1"/>
  <c r="HL11" i="32"/>
  <c r="HM11" i="32" s="1"/>
  <c r="HG11" i="32"/>
  <c r="HH11" i="32" s="1"/>
  <c r="HB11" i="32"/>
  <c r="HC11" i="32" s="1"/>
  <c r="GU11" i="32"/>
  <c r="GV11" i="32" s="1"/>
  <c r="GP11" i="32"/>
  <c r="GQ11" i="32" s="1"/>
  <c r="GK11" i="32"/>
  <c r="GL11" i="32" s="1"/>
  <c r="GD11" i="32"/>
  <c r="GE11" i="32" s="1"/>
  <c r="FY11" i="32"/>
  <c r="FZ11" i="32" s="1"/>
  <c r="FT11" i="32"/>
  <c r="FU11" i="32" s="1"/>
  <c r="FM11" i="32"/>
  <c r="FN11" i="32" s="1"/>
  <c r="FH11" i="32"/>
  <c r="FI11" i="32" s="1"/>
  <c r="FC11" i="32"/>
  <c r="FD11" i="32" s="1"/>
  <c r="EV11" i="32"/>
  <c r="EW11" i="32" s="1"/>
  <c r="EQ11" i="32"/>
  <c r="ER11" i="32" s="1"/>
  <c r="EL11" i="32"/>
  <c r="EM11" i="32" s="1"/>
  <c r="EE11" i="32"/>
  <c r="EF11" i="32" s="1"/>
  <c r="DZ11" i="32"/>
  <c r="EA11" i="32" s="1"/>
  <c r="DU11" i="32"/>
  <c r="DV11" i="32" s="1"/>
  <c r="DN11" i="32"/>
  <c r="DO11" i="32" s="1"/>
  <c r="DI11" i="32"/>
  <c r="DJ11" i="32" s="1"/>
  <c r="DD11" i="32"/>
  <c r="DE11" i="32" s="1"/>
  <c r="CW11" i="32"/>
  <c r="CX11" i="32" s="1"/>
  <c r="CR11" i="32"/>
  <c r="CS11" i="32" s="1"/>
  <c r="CM11" i="32"/>
  <c r="CN11" i="32" s="1"/>
  <c r="CF11" i="32"/>
  <c r="CG11" i="32" s="1"/>
  <c r="CA11" i="32"/>
  <c r="CB11" i="32" s="1"/>
  <c r="BV11" i="32"/>
  <c r="BW11" i="32" s="1"/>
  <c r="BO11" i="32"/>
  <c r="BP11" i="32" s="1"/>
  <c r="BJ11" i="32"/>
  <c r="BK11" i="32" s="1"/>
  <c r="BE11" i="32"/>
  <c r="BF11" i="32" s="1"/>
  <c r="AX11" i="32"/>
  <c r="AY11" i="32" s="1"/>
  <c r="AS11" i="32"/>
  <c r="AT11" i="32" s="1"/>
  <c r="AN11" i="32"/>
  <c r="AO11" i="32" s="1"/>
  <c r="AG11" i="32"/>
  <c r="AH11" i="32" s="1"/>
  <c r="AB11" i="32"/>
  <c r="AC11" i="32" s="1"/>
  <c r="W11" i="32"/>
  <c r="X11" i="32" s="1"/>
  <c r="P11" i="32"/>
  <c r="Q11" i="32" s="1"/>
  <c r="K11" i="32"/>
  <c r="L11" i="32" s="1"/>
  <c r="F11" i="32"/>
  <c r="G11" i="32" s="1"/>
  <c r="SR10" i="32"/>
  <c r="SQ10" i="32"/>
  <c r="SO10" i="32"/>
  <c r="SP10" i="32" s="1"/>
  <c r="SJ10" i="32"/>
  <c r="SK10" i="32" s="1"/>
  <c r="SE10" i="32"/>
  <c r="SF10" i="32" s="1"/>
  <c r="RZ10" i="32"/>
  <c r="SA10" i="32" s="1"/>
  <c r="RX10" i="32"/>
  <c r="RY10" i="32" s="1"/>
  <c r="RS10" i="32"/>
  <c r="RT10" i="32" s="1"/>
  <c r="RN10" i="32"/>
  <c r="RO10" i="32" s="1"/>
  <c r="RI10" i="32"/>
  <c r="RJ10" i="32" s="1"/>
  <c r="RG10" i="32"/>
  <c r="RH10" i="32" s="1"/>
  <c r="RB10" i="32"/>
  <c r="RC10" i="32" s="1"/>
  <c r="QW10" i="32"/>
  <c r="QX10" i="32" s="1"/>
  <c r="QR10" i="32"/>
  <c r="QS10" i="32" s="1"/>
  <c r="QP10" i="32"/>
  <c r="QQ10" i="32" s="1"/>
  <c r="QK10" i="32"/>
  <c r="QL10" i="32" s="1"/>
  <c r="QF10" i="32"/>
  <c r="QG10" i="32" s="1"/>
  <c r="QA10" i="32"/>
  <c r="QB10" i="32" s="1"/>
  <c r="PY10" i="32"/>
  <c r="PZ10" i="32" s="1"/>
  <c r="PT10" i="32"/>
  <c r="PU10" i="32" s="1"/>
  <c r="PO10" i="32"/>
  <c r="PP10" i="32" s="1"/>
  <c r="PJ10" i="32"/>
  <c r="PK10" i="32" s="1"/>
  <c r="PH10" i="32"/>
  <c r="PI10" i="32" s="1"/>
  <c r="PC10" i="32"/>
  <c r="PD10" i="32" s="1"/>
  <c r="OX10" i="32"/>
  <c r="OY10" i="32" s="1"/>
  <c r="OS10" i="32"/>
  <c r="OT10" i="32" s="1"/>
  <c r="OQ10" i="32"/>
  <c r="OR10" i="32" s="1"/>
  <c r="OL10" i="32"/>
  <c r="OM10" i="32" s="1"/>
  <c r="OG10" i="32"/>
  <c r="OH10" i="32" s="1"/>
  <c r="OB10" i="32"/>
  <c r="OC10" i="32" s="1"/>
  <c r="NZ10" i="32"/>
  <c r="OA10" i="32" s="1"/>
  <c r="NU10" i="32"/>
  <c r="NV10" i="32" s="1"/>
  <c r="NP10" i="32"/>
  <c r="NQ10" i="32" s="1"/>
  <c r="NK10" i="32"/>
  <c r="NL10" i="32" s="1"/>
  <c r="NI10" i="32"/>
  <c r="NJ10" i="32" s="1"/>
  <c r="ND10" i="32"/>
  <c r="NE10" i="32" s="1"/>
  <c r="MY10" i="32"/>
  <c r="MZ10" i="32" s="1"/>
  <c r="MT10" i="32"/>
  <c r="MU10" i="32" s="1"/>
  <c r="MR10" i="32"/>
  <c r="MS10" i="32" s="1"/>
  <c r="MN10" i="32"/>
  <c r="MM10" i="32"/>
  <c r="MH10" i="32"/>
  <c r="MI10" i="32" s="1"/>
  <c r="MC10" i="32"/>
  <c r="MD10" i="32" s="1"/>
  <c r="MA10" i="32"/>
  <c r="MB10" i="32" s="1"/>
  <c r="LV10" i="32"/>
  <c r="LW10" i="32" s="1"/>
  <c r="LQ10" i="32"/>
  <c r="LR10" i="32" s="1"/>
  <c r="LL10" i="32"/>
  <c r="LM10" i="32" s="1"/>
  <c r="LJ10" i="32"/>
  <c r="LK10" i="32" s="1"/>
  <c r="LE10" i="32"/>
  <c r="LF10" i="32" s="1"/>
  <c r="KZ10" i="32"/>
  <c r="LA10" i="32" s="1"/>
  <c r="KU10" i="32"/>
  <c r="KV10" i="32" s="1"/>
  <c r="KS10" i="32"/>
  <c r="KT10" i="32" s="1"/>
  <c r="KN10" i="32"/>
  <c r="KO10" i="32" s="1"/>
  <c r="KI10" i="32"/>
  <c r="KJ10" i="32" s="1"/>
  <c r="KD10" i="32"/>
  <c r="KE10" i="32" s="1"/>
  <c r="KB10" i="32"/>
  <c r="KC10" i="32" s="1"/>
  <c r="JW10" i="32"/>
  <c r="JX10" i="32" s="1"/>
  <c r="JR10" i="32"/>
  <c r="JS10" i="32" s="1"/>
  <c r="JM10" i="32"/>
  <c r="JN10" i="32" s="1"/>
  <c r="JK10" i="32"/>
  <c r="JL10" i="32" s="1"/>
  <c r="JF10" i="32"/>
  <c r="JG10" i="32" s="1"/>
  <c r="JA10" i="32"/>
  <c r="JB10" i="32" s="1"/>
  <c r="IV10" i="32"/>
  <c r="IW10" i="32" s="1"/>
  <c r="IT10" i="32"/>
  <c r="IU10" i="32" s="1"/>
  <c r="IP10" i="32"/>
  <c r="IO10" i="32"/>
  <c r="IJ10" i="32"/>
  <c r="IK10" i="32" s="1"/>
  <c r="IE10" i="32"/>
  <c r="IF10" i="32" s="1"/>
  <c r="IC10" i="32"/>
  <c r="ID10" i="32" s="1"/>
  <c r="HX10" i="32"/>
  <c r="HY10" i="32" s="1"/>
  <c r="HS10" i="32"/>
  <c r="HT10" i="32" s="1"/>
  <c r="HN10" i="32"/>
  <c r="HO10" i="32" s="1"/>
  <c r="HL10" i="32"/>
  <c r="HM10" i="32" s="1"/>
  <c r="HH10" i="32"/>
  <c r="HG10" i="32"/>
  <c r="HB10" i="32"/>
  <c r="HC10" i="32" s="1"/>
  <c r="GW10" i="32"/>
  <c r="GX10" i="32" s="1"/>
  <c r="GU10" i="32"/>
  <c r="GV10" i="32" s="1"/>
  <c r="GP10" i="32"/>
  <c r="GQ10" i="32" s="1"/>
  <c r="GK10" i="32"/>
  <c r="GL10" i="32" s="1"/>
  <c r="GF10" i="32"/>
  <c r="GG10" i="32" s="1"/>
  <c r="GD10" i="32"/>
  <c r="GE10" i="32" s="1"/>
  <c r="FY10" i="32"/>
  <c r="FZ10" i="32" s="1"/>
  <c r="FT10" i="32"/>
  <c r="FU10" i="32" s="1"/>
  <c r="FO10" i="32"/>
  <c r="FP10" i="32" s="1"/>
  <c r="FM10" i="32"/>
  <c r="FN10" i="32" s="1"/>
  <c r="FH10" i="32"/>
  <c r="FI10" i="32" s="1"/>
  <c r="FC10" i="32"/>
  <c r="FD10" i="32" s="1"/>
  <c r="EX10" i="32"/>
  <c r="EY10" i="32" s="1"/>
  <c r="EV10" i="32"/>
  <c r="EW10" i="32" s="1"/>
  <c r="EQ10" i="32"/>
  <c r="ER10" i="32" s="1"/>
  <c r="EL10" i="32"/>
  <c r="EM10" i="32" s="1"/>
  <c r="EG10" i="32"/>
  <c r="EH10" i="32" s="1"/>
  <c r="EE10" i="32"/>
  <c r="EF10" i="32" s="1"/>
  <c r="DZ10" i="32"/>
  <c r="EA10" i="32" s="1"/>
  <c r="DU10" i="32"/>
  <c r="DV10" i="32" s="1"/>
  <c r="DP10" i="32"/>
  <c r="DQ10" i="32" s="1"/>
  <c r="DN10" i="32"/>
  <c r="DO10" i="32" s="1"/>
  <c r="DJ10" i="32"/>
  <c r="DI10" i="32"/>
  <c r="DD10" i="32"/>
  <c r="DE10" i="32" s="1"/>
  <c r="CY10" i="32"/>
  <c r="CZ10" i="32" s="1"/>
  <c r="CW10" i="32"/>
  <c r="CX10" i="32" s="1"/>
  <c r="CR10" i="32"/>
  <c r="CS10" i="32" s="1"/>
  <c r="CM10" i="32"/>
  <c r="CN10" i="32" s="1"/>
  <c r="CH10" i="32"/>
  <c r="CI10" i="32" s="1"/>
  <c r="CF10" i="32"/>
  <c r="CG10" i="32" s="1"/>
  <c r="CA10" i="32"/>
  <c r="CB10" i="32" s="1"/>
  <c r="BV10" i="32"/>
  <c r="BW10" i="32" s="1"/>
  <c r="BR10" i="32"/>
  <c r="BQ10" i="32"/>
  <c r="BO10" i="32"/>
  <c r="BP10" i="32" s="1"/>
  <c r="BJ10" i="32"/>
  <c r="BK10" i="32" s="1"/>
  <c r="BE10" i="32"/>
  <c r="BF10" i="32" s="1"/>
  <c r="AZ10" i="32"/>
  <c r="BA10" i="32" s="1"/>
  <c r="AX10" i="32"/>
  <c r="AY10" i="32" s="1"/>
  <c r="AT10" i="32"/>
  <c r="AS10" i="32"/>
  <c r="AN10" i="32"/>
  <c r="AO10" i="32" s="1"/>
  <c r="AI10" i="32"/>
  <c r="AJ10" i="32" s="1"/>
  <c r="AG10" i="32"/>
  <c r="AH10" i="32" s="1"/>
  <c r="AB10" i="32"/>
  <c r="AC10" i="32" s="1"/>
  <c r="W10" i="32"/>
  <c r="X10" i="32" s="1"/>
  <c r="R10" i="32"/>
  <c r="S10" i="32" s="1"/>
  <c r="P10" i="32"/>
  <c r="Q10" i="32" s="1"/>
  <c r="L10" i="32"/>
  <c r="K10" i="32"/>
  <c r="F10" i="32"/>
  <c r="G10" i="32" s="1"/>
  <c r="SQ9" i="32"/>
  <c r="SR9" i="32" s="1"/>
  <c r="SO9" i="32"/>
  <c r="SP9" i="32" s="1"/>
  <c r="SJ9" i="32"/>
  <c r="SK9" i="32" s="1"/>
  <c r="SE9" i="32"/>
  <c r="SF9" i="32" s="1"/>
  <c r="RX9" i="32"/>
  <c r="RY9" i="32" s="1"/>
  <c r="RT9" i="32"/>
  <c r="RS9" i="32"/>
  <c r="RN9" i="32"/>
  <c r="RO9" i="32" s="1"/>
  <c r="RI9" i="32"/>
  <c r="RJ9" i="32" s="1"/>
  <c r="RG9" i="32"/>
  <c r="RH9" i="32" s="1"/>
  <c r="RB9" i="32"/>
  <c r="RC9" i="32" s="1"/>
  <c r="QW9" i="32"/>
  <c r="QX9" i="32" s="1"/>
  <c r="QP9" i="32"/>
  <c r="QQ9" i="32" s="1"/>
  <c r="QL9" i="32"/>
  <c r="QK9" i="32"/>
  <c r="QF9" i="32"/>
  <c r="QG9" i="32" s="1"/>
  <c r="PY9" i="32"/>
  <c r="PZ9" i="32" s="1"/>
  <c r="PT9" i="32"/>
  <c r="PU9" i="32" s="1"/>
  <c r="PO9" i="32"/>
  <c r="PP9" i="32" s="1"/>
  <c r="PH9" i="32"/>
  <c r="PI9" i="32" s="1"/>
  <c r="PD9" i="32"/>
  <c r="PC9" i="32"/>
  <c r="OX9" i="32"/>
  <c r="OY9" i="32" s="1"/>
  <c r="OQ9" i="32"/>
  <c r="OR9" i="32" s="1"/>
  <c r="OL9" i="32"/>
  <c r="OM9" i="32" s="1"/>
  <c r="OG9" i="32"/>
  <c r="OH9" i="32" s="1"/>
  <c r="NZ9" i="32"/>
  <c r="OA9" i="32" s="1"/>
  <c r="NU9" i="32"/>
  <c r="NV9" i="32" s="1"/>
  <c r="NP9" i="32"/>
  <c r="NQ9" i="32" s="1"/>
  <c r="NI9" i="32"/>
  <c r="NJ9" i="32" s="1"/>
  <c r="ND9" i="32"/>
  <c r="NE9" i="32" s="1"/>
  <c r="MY9" i="32"/>
  <c r="MZ9" i="32" s="1"/>
  <c r="MR9" i="32"/>
  <c r="MS9" i="32" s="1"/>
  <c r="MM9" i="32"/>
  <c r="MN9" i="32" s="1"/>
  <c r="MH9" i="32"/>
  <c r="MI9" i="32" s="1"/>
  <c r="MA9" i="32"/>
  <c r="MB9" i="32" s="1"/>
  <c r="LV9" i="32"/>
  <c r="LW9" i="32" s="1"/>
  <c r="LQ9" i="32"/>
  <c r="LR9" i="32" s="1"/>
  <c r="LJ9" i="32"/>
  <c r="LK9" i="32" s="1"/>
  <c r="LE9" i="32"/>
  <c r="LF9" i="32" s="1"/>
  <c r="KZ9" i="32"/>
  <c r="LA9" i="32" s="1"/>
  <c r="KS9" i="32"/>
  <c r="KT9" i="32" s="1"/>
  <c r="KN9" i="32"/>
  <c r="KO9" i="32" s="1"/>
  <c r="KI9" i="32"/>
  <c r="KJ9" i="32" s="1"/>
  <c r="KB9" i="32"/>
  <c r="KC9" i="32" s="1"/>
  <c r="JX9" i="32"/>
  <c r="JW9" i="32"/>
  <c r="JR9" i="32"/>
  <c r="JS9" i="32" s="1"/>
  <c r="JM9" i="32"/>
  <c r="JN9" i="32" s="1"/>
  <c r="JK9" i="32"/>
  <c r="JL9" i="32" s="1"/>
  <c r="JF9" i="32"/>
  <c r="JG9" i="32" s="1"/>
  <c r="JA9" i="32"/>
  <c r="JB9" i="32" s="1"/>
  <c r="IT9" i="32"/>
  <c r="IU9" i="32" s="1"/>
  <c r="IO9" i="32"/>
  <c r="IP9" i="32" s="1"/>
  <c r="IJ9" i="32"/>
  <c r="IK9" i="32" s="1"/>
  <c r="IC9" i="32"/>
  <c r="ID9" i="32" s="1"/>
  <c r="HX9" i="32"/>
  <c r="HY9" i="32" s="1"/>
  <c r="HS9" i="32"/>
  <c r="HT9" i="32" s="1"/>
  <c r="HL9" i="32"/>
  <c r="HM9" i="32" s="1"/>
  <c r="HG9" i="32"/>
  <c r="HH9" i="32" s="1"/>
  <c r="HB9" i="32"/>
  <c r="HC9" i="32" s="1"/>
  <c r="GU9" i="32"/>
  <c r="GV9" i="32" s="1"/>
  <c r="GP9" i="32"/>
  <c r="GQ9" i="32" s="1"/>
  <c r="GK9" i="32"/>
  <c r="GL9" i="32" s="1"/>
  <c r="GD9" i="32"/>
  <c r="GE9" i="32" s="1"/>
  <c r="FY9" i="32"/>
  <c r="FZ9" i="32" s="1"/>
  <c r="FT9" i="32"/>
  <c r="FU9" i="32" s="1"/>
  <c r="FM9" i="32"/>
  <c r="FN9" i="32" s="1"/>
  <c r="FH9" i="32"/>
  <c r="FI9" i="32" s="1"/>
  <c r="FC9" i="32"/>
  <c r="FD9" i="32" s="1"/>
  <c r="EV9" i="32"/>
  <c r="EW9" i="32" s="1"/>
  <c r="ER9" i="32"/>
  <c r="EQ9" i="32"/>
  <c r="EL9" i="32"/>
  <c r="EM9" i="32" s="1"/>
  <c r="EG9" i="32"/>
  <c r="EH9" i="32" s="1"/>
  <c r="EE9" i="32"/>
  <c r="EF9" i="32" s="1"/>
  <c r="DZ9" i="32"/>
  <c r="EA9" i="32" s="1"/>
  <c r="DU9" i="32"/>
  <c r="DV9" i="32" s="1"/>
  <c r="DN9" i="32"/>
  <c r="DO9" i="32" s="1"/>
  <c r="DI9" i="32"/>
  <c r="DJ9" i="32" s="1"/>
  <c r="DD9" i="32"/>
  <c r="DE9" i="32" s="1"/>
  <c r="CW9" i="32"/>
  <c r="CX9" i="32" s="1"/>
  <c r="CR9" i="32"/>
  <c r="CS9" i="32" s="1"/>
  <c r="CM9" i="32"/>
  <c r="CN9" i="32" s="1"/>
  <c r="CF9" i="32"/>
  <c r="CG9" i="32" s="1"/>
  <c r="CA9" i="32"/>
  <c r="CB9" i="32" s="1"/>
  <c r="BV9" i="32"/>
  <c r="BW9" i="32" s="1"/>
  <c r="BO9" i="32"/>
  <c r="BP9" i="32" s="1"/>
  <c r="BJ9" i="32"/>
  <c r="BK9" i="32" s="1"/>
  <c r="BE9" i="32"/>
  <c r="BF9" i="32" s="1"/>
  <c r="AX9" i="32"/>
  <c r="AY9" i="32" s="1"/>
  <c r="AS9" i="32"/>
  <c r="AT9" i="32" s="1"/>
  <c r="AN9" i="32"/>
  <c r="AG9" i="32"/>
  <c r="AH9" i="32" s="1"/>
  <c r="AB9" i="32"/>
  <c r="AC9" i="32" s="1"/>
  <c r="W9" i="32"/>
  <c r="X9" i="32" s="1"/>
  <c r="P9" i="32"/>
  <c r="Q9" i="32" s="1"/>
  <c r="K9" i="32"/>
  <c r="L9" i="32" s="1"/>
  <c r="F9" i="32"/>
  <c r="G9" i="32" s="1"/>
  <c r="SO8" i="32"/>
  <c r="SP8" i="32" s="1"/>
  <c r="SK8" i="32"/>
  <c r="SJ8" i="32"/>
  <c r="SE8" i="32"/>
  <c r="SF8" i="32" s="1"/>
  <c r="RX8" i="32"/>
  <c r="RY8" i="32" s="1"/>
  <c r="RS8" i="32"/>
  <c r="RT8" i="32" s="1"/>
  <c r="RN8" i="32"/>
  <c r="RO8" i="32" s="1"/>
  <c r="RG8" i="32"/>
  <c r="RH8" i="32" s="1"/>
  <c r="RC8" i="32"/>
  <c r="RB8" i="32"/>
  <c r="QW8" i="32"/>
  <c r="QX8" i="32" s="1"/>
  <c r="QP8" i="32"/>
  <c r="QQ8" i="32" s="1"/>
  <c r="QK8" i="32"/>
  <c r="QL8" i="32" s="1"/>
  <c r="QF8" i="32"/>
  <c r="QG8" i="32" s="1"/>
  <c r="PY8" i="32"/>
  <c r="PZ8" i="32" s="1"/>
  <c r="PT8" i="32"/>
  <c r="PU8" i="32" s="1"/>
  <c r="PO8" i="32"/>
  <c r="PP8" i="32" s="1"/>
  <c r="PH8" i="32"/>
  <c r="PI8" i="32" s="1"/>
  <c r="PC8" i="32"/>
  <c r="PD8" i="32" s="1"/>
  <c r="OX8" i="32"/>
  <c r="OY8" i="32" s="1"/>
  <c r="OQ8" i="32"/>
  <c r="OR8" i="32" s="1"/>
  <c r="OL8" i="32"/>
  <c r="OM8" i="32" s="1"/>
  <c r="OG8" i="32"/>
  <c r="OH8" i="32" s="1"/>
  <c r="NZ8" i="32"/>
  <c r="OA8" i="32" s="1"/>
  <c r="NU8" i="32"/>
  <c r="NV8" i="32" s="1"/>
  <c r="NP8" i="32"/>
  <c r="NQ8" i="32" s="1"/>
  <c r="NI8" i="32"/>
  <c r="NJ8" i="32" s="1"/>
  <c r="NE8" i="32"/>
  <c r="ND8" i="32"/>
  <c r="MY8" i="32"/>
  <c r="MZ8" i="32" s="1"/>
  <c r="MR8" i="32"/>
  <c r="MS8" i="32" s="1"/>
  <c r="MM8" i="32"/>
  <c r="MN8" i="32" s="1"/>
  <c r="MH8" i="32"/>
  <c r="MI8" i="32" s="1"/>
  <c r="MA8" i="32"/>
  <c r="MB8" i="32" s="1"/>
  <c r="LW8" i="32"/>
  <c r="LV8" i="32"/>
  <c r="LQ8" i="32"/>
  <c r="LR8" i="32" s="1"/>
  <c r="LJ8" i="32"/>
  <c r="LK8" i="32" s="1"/>
  <c r="LE8" i="32"/>
  <c r="LF8" i="32" s="1"/>
  <c r="KZ8" i="32"/>
  <c r="LA8" i="32" s="1"/>
  <c r="KS8" i="32"/>
  <c r="KT8" i="32" s="1"/>
  <c r="KN8" i="32"/>
  <c r="KO8" i="32" s="1"/>
  <c r="KI8" i="32"/>
  <c r="KJ8" i="32" s="1"/>
  <c r="KB8" i="32"/>
  <c r="KC8" i="32" s="1"/>
  <c r="JW8" i="32"/>
  <c r="JX8" i="32" s="1"/>
  <c r="JR8" i="32"/>
  <c r="JS8" i="32" s="1"/>
  <c r="JK8" i="32"/>
  <c r="JL8" i="32" s="1"/>
  <c r="JF8" i="32"/>
  <c r="JG8" i="32" s="1"/>
  <c r="JA8" i="32"/>
  <c r="JB8" i="32" s="1"/>
  <c r="IT8" i="32"/>
  <c r="IU8" i="32" s="1"/>
  <c r="IO8" i="32"/>
  <c r="IP8" i="32" s="1"/>
  <c r="IJ8" i="32"/>
  <c r="IK8" i="32" s="1"/>
  <c r="IC8" i="32"/>
  <c r="ID8" i="32" s="1"/>
  <c r="HY8" i="32"/>
  <c r="HX8" i="32"/>
  <c r="HS8" i="32"/>
  <c r="HT8" i="32" s="1"/>
  <c r="HL8" i="32"/>
  <c r="HM8" i="32" s="1"/>
  <c r="HG8" i="32"/>
  <c r="HH8" i="32" s="1"/>
  <c r="HB8" i="32"/>
  <c r="HC8" i="32" s="1"/>
  <c r="GU8" i="32"/>
  <c r="GV8" i="32" s="1"/>
  <c r="GQ8" i="32"/>
  <c r="GP8" i="32"/>
  <c r="GK8" i="32"/>
  <c r="GL8" i="32" s="1"/>
  <c r="GD8" i="32"/>
  <c r="GE8" i="32" s="1"/>
  <c r="FY8" i="32"/>
  <c r="FZ8" i="32" s="1"/>
  <c r="FT8" i="32"/>
  <c r="FU8" i="32" s="1"/>
  <c r="FM8" i="32"/>
  <c r="FN8" i="32" s="1"/>
  <c r="FH8" i="32"/>
  <c r="FI8" i="32" s="1"/>
  <c r="FC8" i="32"/>
  <c r="FD8" i="32" s="1"/>
  <c r="EV8" i="32"/>
  <c r="EW8" i="32" s="1"/>
  <c r="EQ8" i="32"/>
  <c r="ER8" i="32" s="1"/>
  <c r="EL8" i="32"/>
  <c r="EM8" i="32" s="1"/>
  <c r="EE8" i="32"/>
  <c r="EF8" i="32" s="1"/>
  <c r="DZ8" i="32"/>
  <c r="EA8" i="32" s="1"/>
  <c r="DU8" i="32"/>
  <c r="DV8" i="32" s="1"/>
  <c r="DN8" i="32"/>
  <c r="DO8" i="32" s="1"/>
  <c r="DI8" i="32"/>
  <c r="DJ8" i="32" s="1"/>
  <c r="DD8" i="32"/>
  <c r="DE8" i="32" s="1"/>
  <c r="CW8" i="32"/>
  <c r="CX8" i="32" s="1"/>
  <c r="CS8" i="32"/>
  <c r="CR8" i="32"/>
  <c r="CM8" i="32"/>
  <c r="CN8" i="32" s="1"/>
  <c r="CF8" i="32"/>
  <c r="CG8" i="32" s="1"/>
  <c r="CA8" i="32"/>
  <c r="CB8" i="32" s="1"/>
  <c r="BV8" i="32"/>
  <c r="BW8" i="32" s="1"/>
  <c r="BO8" i="32"/>
  <c r="BP8" i="32" s="1"/>
  <c r="BK8" i="32"/>
  <c r="BJ8" i="32"/>
  <c r="BE8" i="32"/>
  <c r="BF8" i="32" s="1"/>
  <c r="AX8" i="32"/>
  <c r="AY8" i="32" s="1"/>
  <c r="AS8" i="32"/>
  <c r="AT8" i="32" s="1"/>
  <c r="AN8" i="32"/>
  <c r="AO8" i="32" s="1"/>
  <c r="AG8" i="32"/>
  <c r="AH8" i="32" s="1"/>
  <c r="AB8" i="32"/>
  <c r="AC8" i="32" s="1"/>
  <c r="W8" i="32"/>
  <c r="X8" i="32" s="1"/>
  <c r="P8" i="32"/>
  <c r="Q8" i="32" s="1"/>
  <c r="K8" i="32"/>
  <c r="L8" i="32" s="1"/>
  <c r="F8" i="32"/>
  <c r="G8" i="32" s="1"/>
  <c r="SO7" i="32"/>
  <c r="SP7" i="32" s="1"/>
  <c r="SJ7" i="32"/>
  <c r="SK7" i="32" s="1"/>
  <c r="SE7" i="32"/>
  <c r="SF7" i="32" s="1"/>
  <c r="RX7" i="32"/>
  <c r="RY7" i="32" s="1"/>
  <c r="RS7" i="32"/>
  <c r="RT7" i="32" s="1"/>
  <c r="RN7" i="32"/>
  <c r="RO7" i="32" s="1"/>
  <c r="RG7" i="32"/>
  <c r="RH7" i="32" s="1"/>
  <c r="RC7" i="32"/>
  <c r="RB7" i="32"/>
  <c r="QW7" i="32"/>
  <c r="QX7" i="32" s="1"/>
  <c r="QP7" i="32"/>
  <c r="QQ7" i="32" s="1"/>
  <c r="QK7" i="32"/>
  <c r="QL7" i="32" s="1"/>
  <c r="QF7" i="32"/>
  <c r="QG7" i="32" s="1"/>
  <c r="PY7" i="32"/>
  <c r="PZ7" i="32" s="1"/>
  <c r="PU7" i="32"/>
  <c r="PT7" i="32"/>
  <c r="PO7" i="32"/>
  <c r="PP7" i="32" s="1"/>
  <c r="PH7" i="32"/>
  <c r="PI7" i="32" s="1"/>
  <c r="PC7" i="32"/>
  <c r="PD7" i="32" s="1"/>
  <c r="OX7" i="32"/>
  <c r="OY7" i="32" s="1"/>
  <c r="OQ7" i="32"/>
  <c r="OR7" i="32" s="1"/>
  <c r="OL7" i="32"/>
  <c r="OM7" i="32" s="1"/>
  <c r="OG7" i="32"/>
  <c r="OH7" i="32" s="1"/>
  <c r="NZ7" i="32"/>
  <c r="OA7" i="32" s="1"/>
  <c r="NU7" i="32"/>
  <c r="NV7" i="32" s="1"/>
  <c r="NP7" i="32"/>
  <c r="NQ7" i="32" s="1"/>
  <c r="NI7" i="32"/>
  <c r="NJ7" i="32" s="1"/>
  <c r="ND7" i="32"/>
  <c r="NE7" i="32" s="1"/>
  <c r="MY7" i="32"/>
  <c r="MZ7" i="32" s="1"/>
  <c r="MR7" i="32"/>
  <c r="MS7" i="32" s="1"/>
  <c r="MM7" i="32"/>
  <c r="MN7" i="32" s="1"/>
  <c r="MH7" i="32"/>
  <c r="MI7" i="32" s="1"/>
  <c r="MA7" i="32"/>
  <c r="MB7" i="32" s="1"/>
  <c r="LW7" i="32"/>
  <c r="LV7" i="32"/>
  <c r="LQ7" i="32"/>
  <c r="LR7" i="32" s="1"/>
  <c r="LJ7" i="32"/>
  <c r="LK7" i="32" s="1"/>
  <c r="LE7" i="32"/>
  <c r="LF7" i="32" s="1"/>
  <c r="KZ7" i="32"/>
  <c r="LA7" i="32" s="1"/>
  <c r="KS7" i="32"/>
  <c r="KT7" i="32" s="1"/>
  <c r="KO7" i="32"/>
  <c r="KN7" i="32"/>
  <c r="KI7" i="32"/>
  <c r="KJ7" i="32" s="1"/>
  <c r="KB7" i="32"/>
  <c r="KC7" i="32" s="1"/>
  <c r="JW7" i="32"/>
  <c r="JX7" i="32" s="1"/>
  <c r="JR7" i="32"/>
  <c r="JS7" i="32" s="1"/>
  <c r="JK7" i="32"/>
  <c r="JL7" i="32" s="1"/>
  <c r="JF7" i="32"/>
  <c r="JG7" i="32" s="1"/>
  <c r="JA7" i="32"/>
  <c r="JB7" i="32" s="1"/>
  <c r="IT7" i="32"/>
  <c r="IU7" i="32" s="1"/>
  <c r="IO7" i="32"/>
  <c r="IP7" i="32" s="1"/>
  <c r="IJ7" i="32"/>
  <c r="IK7" i="32" s="1"/>
  <c r="IC7" i="32"/>
  <c r="ID7" i="32" s="1"/>
  <c r="HX7" i="32"/>
  <c r="HY7" i="32" s="1"/>
  <c r="HS7" i="32"/>
  <c r="HT7" i="32" s="1"/>
  <c r="HL7" i="32"/>
  <c r="HM7" i="32" s="1"/>
  <c r="HG7" i="32"/>
  <c r="HH7" i="32" s="1"/>
  <c r="HB7" i="32"/>
  <c r="HC7" i="32" s="1"/>
  <c r="GU7" i="32"/>
  <c r="GV7" i="32" s="1"/>
  <c r="GQ7" i="32"/>
  <c r="GP7" i="32"/>
  <c r="GK7" i="32"/>
  <c r="GL7" i="32" s="1"/>
  <c r="GD7" i="32"/>
  <c r="GE7" i="32" s="1"/>
  <c r="FY7" i="32"/>
  <c r="FZ7" i="32" s="1"/>
  <c r="FT7" i="32"/>
  <c r="FU7" i="32" s="1"/>
  <c r="FM7" i="32"/>
  <c r="FN7" i="32" s="1"/>
  <c r="FI7" i="32"/>
  <c r="FH7" i="32"/>
  <c r="FC7" i="32"/>
  <c r="FD7" i="32" s="1"/>
  <c r="EV7" i="32"/>
  <c r="EW7" i="32" s="1"/>
  <c r="EQ7" i="32"/>
  <c r="ER7" i="32" s="1"/>
  <c r="EL7" i="32"/>
  <c r="EM7" i="32" s="1"/>
  <c r="EE7" i="32"/>
  <c r="EF7" i="32" s="1"/>
  <c r="DZ7" i="32"/>
  <c r="EA7" i="32" s="1"/>
  <c r="DU7" i="32"/>
  <c r="DV7" i="32" s="1"/>
  <c r="DN7" i="32"/>
  <c r="DO7" i="32" s="1"/>
  <c r="DI7" i="32"/>
  <c r="DJ7" i="32" s="1"/>
  <c r="DD7" i="32"/>
  <c r="DE7" i="32" s="1"/>
  <c r="CW7" i="32"/>
  <c r="CX7" i="32" s="1"/>
  <c r="CR7" i="32"/>
  <c r="CS7" i="32" s="1"/>
  <c r="CM7" i="32"/>
  <c r="CN7" i="32" s="1"/>
  <c r="CF7" i="32"/>
  <c r="CG7" i="32" s="1"/>
  <c r="CA7" i="32"/>
  <c r="CB7" i="32" s="1"/>
  <c r="BV7" i="32"/>
  <c r="BW7" i="32" s="1"/>
  <c r="BO7" i="32"/>
  <c r="BP7" i="32" s="1"/>
  <c r="BK7" i="32"/>
  <c r="BJ7" i="32"/>
  <c r="BE7" i="32"/>
  <c r="BF7" i="32" s="1"/>
  <c r="AX7" i="32"/>
  <c r="AY7" i="32" s="1"/>
  <c r="AS7" i="32"/>
  <c r="AT7" i="32" s="1"/>
  <c r="AN7" i="32"/>
  <c r="AO7" i="32" s="1"/>
  <c r="AG7" i="32"/>
  <c r="AH7" i="32" s="1"/>
  <c r="AC7" i="32"/>
  <c r="AB7" i="32"/>
  <c r="W7" i="32"/>
  <c r="X7" i="32" s="1"/>
  <c r="P7" i="32"/>
  <c r="Q7" i="32" s="1"/>
  <c r="K7" i="32"/>
  <c r="L7" i="32" s="1"/>
  <c r="F7" i="32"/>
  <c r="G7" i="32" s="1"/>
  <c r="SO6" i="32"/>
  <c r="SP6" i="32" s="1"/>
  <c r="SJ6" i="32"/>
  <c r="SK6" i="32" s="1"/>
  <c r="SE6" i="32"/>
  <c r="SF6" i="32" s="1"/>
  <c r="RX6" i="32"/>
  <c r="RY6" i="32" s="1"/>
  <c r="RS6" i="32"/>
  <c r="RT6" i="32" s="1"/>
  <c r="RN6" i="32"/>
  <c r="RO6" i="32" s="1"/>
  <c r="RG6" i="32"/>
  <c r="RH6" i="32" s="1"/>
  <c r="RB6" i="32"/>
  <c r="RC6" i="32" s="1"/>
  <c r="QW6" i="32"/>
  <c r="QX6" i="32" s="1"/>
  <c r="QP6" i="32"/>
  <c r="QQ6" i="32" s="1"/>
  <c r="QK6" i="32"/>
  <c r="QL6" i="32" s="1"/>
  <c r="QF6" i="32"/>
  <c r="QG6" i="32" s="1"/>
  <c r="PY6" i="32"/>
  <c r="PZ6" i="32" s="1"/>
  <c r="PU6" i="32"/>
  <c r="PT6" i="32"/>
  <c r="PO6" i="32"/>
  <c r="PP6" i="32" s="1"/>
  <c r="PH6" i="32"/>
  <c r="PI6" i="32" s="1"/>
  <c r="PC6" i="32"/>
  <c r="PD6" i="32" s="1"/>
  <c r="OX6" i="32"/>
  <c r="OY6" i="32" s="1"/>
  <c r="OQ6" i="32"/>
  <c r="OR6" i="32" s="1"/>
  <c r="OM6" i="32"/>
  <c r="OL6" i="32"/>
  <c r="OG6" i="32"/>
  <c r="OH6" i="32" s="1"/>
  <c r="NZ6" i="32"/>
  <c r="OA6" i="32" s="1"/>
  <c r="NU6" i="32"/>
  <c r="NV6" i="32" s="1"/>
  <c r="NP6" i="32"/>
  <c r="NQ6" i="32" s="1"/>
  <c r="NI6" i="32"/>
  <c r="NJ6" i="32" s="1"/>
  <c r="ND6" i="32"/>
  <c r="NE6" i="32" s="1"/>
  <c r="MY6" i="32"/>
  <c r="MZ6" i="32" s="1"/>
  <c r="MR6" i="32"/>
  <c r="MS6" i="32" s="1"/>
  <c r="MM6" i="32"/>
  <c r="MN6" i="32" s="1"/>
  <c r="MH6" i="32"/>
  <c r="MI6" i="32" s="1"/>
  <c r="MA6" i="32"/>
  <c r="MB6" i="32" s="1"/>
  <c r="LV6" i="32"/>
  <c r="LW6" i="32" s="1"/>
  <c r="LQ6" i="32"/>
  <c r="LR6" i="32" s="1"/>
  <c r="LJ6" i="32"/>
  <c r="LK6" i="32" s="1"/>
  <c r="LE6" i="32"/>
  <c r="LF6" i="32" s="1"/>
  <c r="KZ6" i="32"/>
  <c r="LA6" i="32" s="1"/>
  <c r="KS6" i="32"/>
  <c r="KT6" i="32" s="1"/>
  <c r="KO6" i="32"/>
  <c r="KN6" i="32"/>
  <c r="KI6" i="32"/>
  <c r="KJ6" i="32" s="1"/>
  <c r="KB6" i="32"/>
  <c r="KC6" i="32" s="1"/>
  <c r="JW6" i="32"/>
  <c r="JX6" i="32" s="1"/>
  <c r="JR6" i="32"/>
  <c r="JS6" i="32" s="1"/>
  <c r="JK6" i="32"/>
  <c r="JL6" i="32" s="1"/>
  <c r="JG6" i="32"/>
  <c r="JF6" i="32"/>
  <c r="JA6" i="32"/>
  <c r="JB6" i="32" s="1"/>
  <c r="IT6" i="32"/>
  <c r="IU6" i="32" s="1"/>
  <c r="IO6" i="32"/>
  <c r="IP6" i="32" s="1"/>
  <c r="IJ6" i="32"/>
  <c r="IK6" i="32" s="1"/>
  <c r="IC6" i="32"/>
  <c r="ID6" i="32" s="1"/>
  <c r="HX6" i="32"/>
  <c r="HY6" i="32" s="1"/>
  <c r="HS6" i="32"/>
  <c r="HT6" i="32" s="1"/>
  <c r="HL6" i="32"/>
  <c r="HM6" i="32" s="1"/>
  <c r="HG6" i="32"/>
  <c r="HH6" i="32" s="1"/>
  <c r="HB6" i="32"/>
  <c r="HC6" i="32" s="1"/>
  <c r="GU6" i="32"/>
  <c r="GV6" i="32" s="1"/>
  <c r="GP6" i="32"/>
  <c r="GQ6" i="32" s="1"/>
  <c r="GK6" i="32"/>
  <c r="GL6" i="32" s="1"/>
  <c r="GD6" i="32"/>
  <c r="GE6" i="32" s="1"/>
  <c r="FY6" i="32"/>
  <c r="FZ6" i="32" s="1"/>
  <c r="FT6" i="32"/>
  <c r="FU6" i="32" s="1"/>
  <c r="FM6" i="32"/>
  <c r="FN6" i="32" s="1"/>
  <c r="FI6" i="32"/>
  <c r="FH6" i="32"/>
  <c r="FC6" i="32"/>
  <c r="FD6" i="32" s="1"/>
  <c r="EV6" i="32"/>
  <c r="EW6" i="32" s="1"/>
  <c r="EQ6" i="32"/>
  <c r="ER6" i="32" s="1"/>
  <c r="EL6" i="32"/>
  <c r="EM6" i="32" s="1"/>
  <c r="EE6" i="32"/>
  <c r="EF6" i="32" s="1"/>
  <c r="EA6" i="32"/>
  <c r="DZ6" i="32"/>
  <c r="DU6" i="32"/>
  <c r="DV6" i="32" s="1"/>
  <c r="DN6" i="32"/>
  <c r="DO6" i="32" s="1"/>
  <c r="DI6" i="32"/>
  <c r="DJ6" i="32" s="1"/>
  <c r="DD6" i="32"/>
  <c r="DE6" i="32" s="1"/>
  <c r="CW6" i="32"/>
  <c r="CX6" i="32" s="1"/>
  <c r="CR6" i="32"/>
  <c r="CS6" i="32" s="1"/>
  <c r="CM6" i="32"/>
  <c r="CN6" i="32" s="1"/>
  <c r="CF6" i="32"/>
  <c r="CG6" i="32" s="1"/>
  <c r="CA6" i="32"/>
  <c r="CB6" i="32" s="1"/>
  <c r="BV6" i="32"/>
  <c r="BW6" i="32" s="1"/>
  <c r="BO6" i="32"/>
  <c r="BP6" i="32" s="1"/>
  <c r="BJ6" i="32"/>
  <c r="BK6" i="32" s="1"/>
  <c r="BE6" i="32"/>
  <c r="BF6" i="32" s="1"/>
  <c r="AX6" i="32"/>
  <c r="AY6" i="32" s="1"/>
  <c r="AS6" i="32"/>
  <c r="AT6" i="32" s="1"/>
  <c r="AN6" i="32"/>
  <c r="AO6" i="32" s="1"/>
  <c r="AG6" i="32"/>
  <c r="AH6" i="32" s="1"/>
  <c r="AC6" i="32"/>
  <c r="AB6" i="32"/>
  <c r="W6" i="32"/>
  <c r="X6" i="32" s="1"/>
  <c r="P6" i="32"/>
  <c r="Q6" i="32" s="1"/>
  <c r="K6" i="32"/>
  <c r="L6" i="32" s="1"/>
  <c r="F6" i="32"/>
  <c r="G6" i="32" s="1"/>
  <c r="SO5" i="32"/>
  <c r="SP5" i="32" s="1"/>
  <c r="SK5" i="32"/>
  <c r="SJ5" i="32"/>
  <c r="SE5" i="32"/>
  <c r="SF5" i="32" s="1"/>
  <c r="RX5" i="32"/>
  <c r="RY5" i="32" s="1"/>
  <c r="RS5" i="32"/>
  <c r="RT5" i="32" s="1"/>
  <c r="RN5" i="32"/>
  <c r="RO5" i="32" s="1"/>
  <c r="RG5" i="32"/>
  <c r="RH5" i="32" s="1"/>
  <c r="RB5" i="32"/>
  <c r="RC5" i="32" s="1"/>
  <c r="QW5" i="32"/>
  <c r="QX5" i="32" s="1"/>
  <c r="QP5" i="32"/>
  <c r="QQ5" i="32" s="1"/>
  <c r="QK5" i="32"/>
  <c r="QL5" i="32" s="1"/>
  <c r="QF5" i="32"/>
  <c r="QG5" i="32" s="1"/>
  <c r="PY5" i="32"/>
  <c r="PZ5" i="32" s="1"/>
  <c r="PT5" i="32"/>
  <c r="PU5" i="32" s="1"/>
  <c r="PO5" i="32"/>
  <c r="PP5" i="32" s="1"/>
  <c r="PH5" i="32"/>
  <c r="PI5" i="32" s="1"/>
  <c r="PC5" i="32"/>
  <c r="PD5" i="32" s="1"/>
  <c r="OX5" i="32"/>
  <c r="OY5" i="32" s="1"/>
  <c r="OQ5" i="32"/>
  <c r="OR5" i="32" s="1"/>
  <c r="OM5" i="32"/>
  <c r="OL5" i="32"/>
  <c r="OG5" i="32"/>
  <c r="OH5" i="32" s="1"/>
  <c r="NZ5" i="32"/>
  <c r="OA5" i="32" s="1"/>
  <c r="NU5" i="32"/>
  <c r="NV5" i="32" s="1"/>
  <c r="NP5" i="32"/>
  <c r="NQ5" i="32" s="1"/>
  <c r="NI5" i="32"/>
  <c r="NJ5" i="32" s="1"/>
  <c r="NE5" i="32"/>
  <c r="ND5" i="32"/>
  <c r="MY5" i="32"/>
  <c r="MZ5" i="32" s="1"/>
  <c r="MR5" i="32"/>
  <c r="MS5" i="32" s="1"/>
  <c r="MM5" i="32"/>
  <c r="MN5" i="32" s="1"/>
  <c r="MH5" i="32"/>
  <c r="MI5" i="32" s="1"/>
  <c r="MA5" i="32"/>
  <c r="MB5" i="32" s="1"/>
  <c r="LV5" i="32"/>
  <c r="LW5" i="32" s="1"/>
  <c r="LQ5" i="32"/>
  <c r="LR5" i="32" s="1"/>
  <c r="LJ5" i="32"/>
  <c r="LK5" i="32" s="1"/>
  <c r="LE5" i="32"/>
  <c r="LF5" i="32" s="1"/>
  <c r="KZ5" i="32"/>
  <c r="LA5" i="32" s="1"/>
  <c r="KS5" i="32"/>
  <c r="KT5" i="32" s="1"/>
  <c r="KN5" i="32"/>
  <c r="KO5" i="32" s="1"/>
  <c r="KI5" i="32"/>
  <c r="KJ5" i="32" s="1"/>
  <c r="KB5" i="32"/>
  <c r="KC5" i="32" s="1"/>
  <c r="JW5" i="32"/>
  <c r="JX5" i="32" s="1"/>
  <c r="JR5" i="32"/>
  <c r="JS5" i="32" s="1"/>
  <c r="JK5" i="32"/>
  <c r="JL5" i="32" s="1"/>
  <c r="JG5" i="32"/>
  <c r="JF5" i="32"/>
  <c r="JA5" i="32"/>
  <c r="JB5" i="32" s="1"/>
  <c r="IT5" i="32"/>
  <c r="IU5" i="32" s="1"/>
  <c r="IO5" i="32"/>
  <c r="IP5" i="32" s="1"/>
  <c r="IJ5" i="32"/>
  <c r="IK5" i="32" s="1"/>
  <c r="IC5" i="32"/>
  <c r="ID5" i="32" s="1"/>
  <c r="HY5" i="32"/>
  <c r="HX5" i="32"/>
  <c r="HS5" i="32"/>
  <c r="HT5" i="32" s="1"/>
  <c r="HL5" i="32"/>
  <c r="HM5" i="32" s="1"/>
  <c r="HG5" i="32"/>
  <c r="HH5" i="32" s="1"/>
  <c r="HB5" i="32"/>
  <c r="HC5" i="32" s="1"/>
  <c r="GU5" i="32"/>
  <c r="GV5" i="32" s="1"/>
  <c r="GP5" i="32"/>
  <c r="GQ5" i="32" s="1"/>
  <c r="GK5" i="32"/>
  <c r="GL5" i="32" s="1"/>
  <c r="GD5" i="32"/>
  <c r="GE5" i="32" s="1"/>
  <c r="FY5" i="32"/>
  <c r="FZ5" i="32" s="1"/>
  <c r="FT5" i="32"/>
  <c r="FU5" i="32" s="1"/>
  <c r="FM5" i="32"/>
  <c r="FN5" i="32" s="1"/>
  <c r="FH5" i="32"/>
  <c r="FI5" i="32" s="1"/>
  <c r="FC5" i="32"/>
  <c r="EV5" i="32"/>
  <c r="EW5" i="32" s="1"/>
  <c r="EQ5" i="32"/>
  <c r="EL5" i="32"/>
  <c r="EM5" i="32" s="1"/>
  <c r="EE5" i="32"/>
  <c r="EF5" i="32" s="1"/>
  <c r="DZ5" i="32"/>
  <c r="DU5" i="32"/>
  <c r="DV5" i="32" s="1"/>
  <c r="DN5" i="32"/>
  <c r="DO5" i="32" s="1"/>
  <c r="DI5" i="32"/>
  <c r="DJ5" i="32" s="1"/>
  <c r="DD5" i="32"/>
  <c r="DE5" i="32" s="1"/>
  <c r="CW5" i="32"/>
  <c r="CX5" i="32" s="1"/>
  <c r="CR5" i="32"/>
  <c r="CS5" i="32" s="1"/>
  <c r="CM5" i="32"/>
  <c r="CN5" i="32" s="1"/>
  <c r="CF5" i="32"/>
  <c r="CG5" i="32" s="1"/>
  <c r="CA5" i="32"/>
  <c r="BV5" i="32"/>
  <c r="BW5" i="32" s="1"/>
  <c r="BO5" i="32"/>
  <c r="BP5" i="32" s="1"/>
  <c r="BJ5" i="32"/>
  <c r="BE5" i="32"/>
  <c r="BF5" i="32" s="1"/>
  <c r="AX5" i="32"/>
  <c r="AY5" i="32" s="1"/>
  <c r="AS5" i="32"/>
  <c r="AT5" i="32" s="1"/>
  <c r="AN5" i="32"/>
  <c r="AO5" i="32" s="1"/>
  <c r="AG5" i="32"/>
  <c r="AH5" i="32" s="1"/>
  <c r="AB5" i="32"/>
  <c r="AC5" i="32" s="1"/>
  <c r="W5" i="32"/>
  <c r="X5" i="32" s="1"/>
  <c r="P5" i="32"/>
  <c r="Q5" i="32" s="1"/>
  <c r="K5" i="32"/>
  <c r="F5" i="32"/>
  <c r="G5" i="32" s="1"/>
  <c r="SR4" i="32"/>
  <c r="SQ4" i="32"/>
  <c r="SO4" i="32"/>
  <c r="SP4" i="32" s="1"/>
  <c r="SJ4" i="32"/>
  <c r="SK4" i="32" s="1"/>
  <c r="SE4" i="32"/>
  <c r="SF4" i="32" s="1"/>
  <c r="RZ4" i="32"/>
  <c r="SA4" i="32" s="1"/>
  <c r="RX4" i="32"/>
  <c r="RY4" i="32" s="1"/>
  <c r="RS4" i="32"/>
  <c r="RT4" i="32" s="1"/>
  <c r="RN4" i="32"/>
  <c r="RO4" i="32" s="1"/>
  <c r="RI4" i="32"/>
  <c r="RJ4" i="32" s="1"/>
  <c r="RG4" i="32"/>
  <c r="RH4" i="32" s="1"/>
  <c r="RB4" i="32"/>
  <c r="RC4" i="32" s="1"/>
  <c r="QW4" i="32"/>
  <c r="QX4" i="32" s="1"/>
  <c r="QR4" i="32"/>
  <c r="QS4" i="32" s="1"/>
  <c r="QP4" i="32"/>
  <c r="QQ4" i="32" s="1"/>
  <c r="QK4" i="32"/>
  <c r="QL4" i="32" s="1"/>
  <c r="QF4" i="32"/>
  <c r="QG4" i="32" s="1"/>
  <c r="QA4" i="32"/>
  <c r="QB4" i="32" s="1"/>
  <c r="PY4" i="32"/>
  <c r="PZ4" i="32" s="1"/>
  <c r="PT4" i="32"/>
  <c r="PU4" i="32" s="1"/>
  <c r="PO4" i="32"/>
  <c r="PP4" i="32" s="1"/>
  <c r="PK4" i="32"/>
  <c r="PJ4" i="32"/>
  <c r="PH4" i="32"/>
  <c r="PI4" i="32" s="1"/>
  <c r="PD4" i="32"/>
  <c r="PC4" i="32"/>
  <c r="OX4" i="32"/>
  <c r="OY4" i="32" s="1"/>
  <c r="OS4" i="32"/>
  <c r="OT4" i="32" s="1"/>
  <c r="OQ4" i="32"/>
  <c r="OR4" i="32" s="1"/>
  <c r="OM4" i="32"/>
  <c r="OL4" i="32"/>
  <c r="OG4" i="32"/>
  <c r="OH4" i="32" s="1"/>
  <c r="OB4" i="32"/>
  <c r="OC4" i="32" s="1"/>
  <c r="NZ4" i="32"/>
  <c r="OA4" i="32" s="1"/>
  <c r="NU4" i="32"/>
  <c r="NV4" i="32" s="1"/>
  <c r="NP4" i="32"/>
  <c r="NQ4" i="32" s="1"/>
  <c r="NL4" i="32"/>
  <c r="NK4" i="32"/>
  <c r="NI4" i="32"/>
  <c r="NJ4" i="32" s="1"/>
  <c r="ND4" i="32"/>
  <c r="NE4" i="32" s="1"/>
  <c r="MY4" i="32"/>
  <c r="MZ4" i="32" s="1"/>
  <c r="MT4" i="32"/>
  <c r="MU4" i="32" s="1"/>
  <c r="MR4" i="32"/>
  <c r="MS4" i="32" s="1"/>
  <c r="MN4" i="32"/>
  <c r="MM4" i="32"/>
  <c r="MH4" i="32"/>
  <c r="MI4" i="32" s="1"/>
  <c r="MC4" i="32"/>
  <c r="MD4" i="32" s="1"/>
  <c r="MA4" i="32"/>
  <c r="MB4" i="32" s="1"/>
  <c r="LV4" i="32"/>
  <c r="LW4" i="32" s="1"/>
  <c r="LQ4" i="32"/>
  <c r="LR4" i="32" s="1"/>
  <c r="LL4" i="32"/>
  <c r="LM4" i="32" s="1"/>
  <c r="LJ4" i="32"/>
  <c r="LK4" i="32" s="1"/>
  <c r="LE4" i="32"/>
  <c r="LF4" i="32" s="1"/>
  <c r="KZ4" i="32"/>
  <c r="LA4" i="32" s="1"/>
  <c r="KU4" i="32"/>
  <c r="KV4" i="32" s="1"/>
  <c r="KS4" i="32"/>
  <c r="KT4" i="32" s="1"/>
  <c r="KO4" i="32"/>
  <c r="KN4" i="32"/>
  <c r="KI4" i="32"/>
  <c r="KJ4" i="32" s="1"/>
  <c r="KD4" i="32"/>
  <c r="KE4" i="32" s="1"/>
  <c r="KB4" i="32"/>
  <c r="KC4" i="32" s="1"/>
  <c r="JX4" i="32"/>
  <c r="JW4" i="32"/>
  <c r="JR4" i="32"/>
  <c r="JS4" i="32" s="1"/>
  <c r="JM4" i="32"/>
  <c r="JN4" i="32" s="1"/>
  <c r="JK4" i="32"/>
  <c r="JL4" i="32" s="1"/>
  <c r="JF4" i="32"/>
  <c r="JG4" i="32" s="1"/>
  <c r="JA4" i="32"/>
  <c r="JB4" i="32" s="1"/>
  <c r="IV4" i="32"/>
  <c r="IW4" i="32" s="1"/>
  <c r="IT4" i="32"/>
  <c r="IU4" i="32" s="1"/>
  <c r="IO4" i="32"/>
  <c r="IP4" i="32" s="1"/>
  <c r="IJ4" i="32"/>
  <c r="IK4" i="32" s="1"/>
  <c r="IE4" i="32"/>
  <c r="IF4" i="32" s="1"/>
  <c r="IC4" i="32"/>
  <c r="ID4" i="32" s="1"/>
  <c r="HX4" i="32"/>
  <c r="HY4" i="32" s="1"/>
  <c r="HS4" i="32"/>
  <c r="HT4" i="32" s="1"/>
  <c r="HN4" i="32"/>
  <c r="HO4" i="32" s="1"/>
  <c r="HL4" i="32"/>
  <c r="HM4" i="32" s="1"/>
  <c r="HH4" i="32"/>
  <c r="HG4" i="32"/>
  <c r="HB4" i="32"/>
  <c r="HC4" i="32" s="1"/>
  <c r="GW4" i="32"/>
  <c r="GX4" i="32" s="1"/>
  <c r="GU4" i="32"/>
  <c r="GV4" i="32" s="1"/>
  <c r="GP4" i="32"/>
  <c r="GQ4" i="32" s="1"/>
  <c r="GK4" i="32"/>
  <c r="GL4" i="32" s="1"/>
  <c r="GF4" i="32"/>
  <c r="GG4" i="32" s="1"/>
  <c r="GD4" i="32"/>
  <c r="GE4" i="32" s="1"/>
  <c r="FY4" i="32"/>
  <c r="FZ4" i="32" s="1"/>
  <c r="FT4" i="32"/>
  <c r="FU4" i="32" s="1"/>
  <c r="FO4" i="32"/>
  <c r="FP4" i="32" s="1"/>
  <c r="FM4" i="32"/>
  <c r="FN4" i="32" s="1"/>
  <c r="FI4" i="32"/>
  <c r="FH4" i="32"/>
  <c r="FC4" i="32"/>
  <c r="FD4" i="32" s="1"/>
  <c r="EX4" i="32"/>
  <c r="EY4" i="32" s="1"/>
  <c r="EV4" i="32"/>
  <c r="EW4" i="32" s="1"/>
  <c r="ER4" i="32"/>
  <c r="EQ4" i="32"/>
  <c r="EL4" i="32"/>
  <c r="EM4" i="32" s="1"/>
  <c r="EG4" i="32"/>
  <c r="EH4" i="32" s="1"/>
  <c r="EE4" i="32"/>
  <c r="EF4" i="32" s="1"/>
  <c r="DZ4" i="32"/>
  <c r="EA4" i="32" s="1"/>
  <c r="DU4" i="32"/>
  <c r="DV4" i="32" s="1"/>
  <c r="DP4" i="32"/>
  <c r="DQ4" i="32" s="1"/>
  <c r="DN4" i="32"/>
  <c r="DO4" i="32" s="1"/>
  <c r="DI4" i="32"/>
  <c r="DJ4" i="32" s="1"/>
  <c r="DD4" i="32"/>
  <c r="DE4" i="32" s="1"/>
  <c r="CY4" i="32"/>
  <c r="CZ4" i="32" s="1"/>
  <c r="CW4" i="32"/>
  <c r="CX4" i="32" s="1"/>
  <c r="CR4" i="32"/>
  <c r="CS4" i="32" s="1"/>
  <c r="CM4" i="32"/>
  <c r="CN4" i="32" s="1"/>
  <c r="CH4" i="32"/>
  <c r="CI4" i="32" s="1"/>
  <c r="CF4" i="32"/>
  <c r="CG4" i="32" s="1"/>
  <c r="CA4" i="32"/>
  <c r="CB4" i="32" s="1"/>
  <c r="BV4" i="32"/>
  <c r="BW4" i="32" s="1"/>
  <c r="BQ4" i="32"/>
  <c r="BR4" i="32" s="1"/>
  <c r="BO4" i="32"/>
  <c r="BP4" i="32" s="1"/>
  <c r="BJ4" i="32"/>
  <c r="BK4" i="32" s="1"/>
  <c r="BE4" i="32"/>
  <c r="BF4" i="32" s="1"/>
  <c r="AZ4" i="32"/>
  <c r="BA4" i="32" s="1"/>
  <c r="AX4" i="32"/>
  <c r="AY4" i="32" s="1"/>
  <c r="AS4" i="32"/>
  <c r="AT4" i="32" s="1"/>
  <c r="AN4" i="32"/>
  <c r="AO4" i="32" s="1"/>
  <c r="AI4" i="32"/>
  <c r="AJ4" i="32" s="1"/>
  <c r="AG4" i="32"/>
  <c r="AH4" i="32" s="1"/>
  <c r="AB4" i="32"/>
  <c r="AC4" i="32" s="1"/>
  <c r="W4" i="32"/>
  <c r="X4" i="32" s="1"/>
  <c r="R4" i="32"/>
  <c r="S4" i="32" s="1"/>
  <c r="P4" i="32"/>
  <c r="Q4" i="32" s="1"/>
  <c r="K4" i="32"/>
  <c r="L4" i="32" s="1"/>
  <c r="F4" i="32"/>
  <c r="G4" i="32" s="1"/>
  <c r="AU3" i="32"/>
  <c r="BL3" i="32" s="1"/>
  <c r="CC3" i="32" s="1"/>
  <c r="CT3" i="32" s="1"/>
  <c r="DK3" i="32" s="1"/>
  <c r="EB3" i="32" s="1"/>
  <c r="ES3" i="32" s="1"/>
  <c r="FJ3" i="32" s="1"/>
  <c r="GA3" i="32" s="1"/>
  <c r="GR3" i="32" s="1"/>
  <c r="HI3" i="32" s="1"/>
  <c r="HZ3" i="32" s="1"/>
  <c r="IQ3" i="32" s="1"/>
  <c r="JH3" i="32" s="1"/>
  <c r="JY3" i="32" s="1"/>
  <c r="KP3" i="32" s="1"/>
  <c r="LG3" i="32" s="1"/>
  <c r="LX3" i="32" s="1"/>
  <c r="MO3" i="32" s="1"/>
  <c r="NF3" i="32" s="1"/>
  <c r="NW3" i="32" s="1"/>
  <c r="ON3" i="32" s="1"/>
  <c r="PE3" i="32" s="1"/>
  <c r="PV3" i="32" s="1"/>
  <c r="QM3" i="32" s="1"/>
  <c r="RD3" i="32" s="1"/>
  <c r="RU3" i="32" s="1"/>
  <c r="SL3" i="32" s="1"/>
  <c r="AF3" i="32"/>
  <c r="AW3" i="32" s="1"/>
  <c r="BN3" i="32" s="1"/>
  <c r="CE3" i="32" s="1"/>
  <c r="CV3" i="32" s="1"/>
  <c r="DM3" i="32" s="1"/>
  <c r="ED3" i="32" s="1"/>
  <c r="EU3" i="32" s="1"/>
  <c r="FL3" i="32" s="1"/>
  <c r="GC3" i="32" s="1"/>
  <c r="GT3" i="32" s="1"/>
  <c r="HK3" i="32" s="1"/>
  <c r="IB3" i="32" s="1"/>
  <c r="IS3" i="32" s="1"/>
  <c r="JJ3" i="32" s="1"/>
  <c r="KA3" i="32" s="1"/>
  <c r="KR3" i="32" s="1"/>
  <c r="LI3" i="32" s="1"/>
  <c r="LZ3" i="32" s="1"/>
  <c r="MQ3" i="32" s="1"/>
  <c r="NH3" i="32" s="1"/>
  <c r="NY3" i="32" s="1"/>
  <c r="OP3" i="32" s="1"/>
  <c r="PG3" i="32" s="1"/>
  <c r="PX3" i="32" s="1"/>
  <c r="QO3" i="32" s="1"/>
  <c r="RF3" i="32" s="1"/>
  <c r="RW3" i="32" s="1"/>
  <c r="SN3" i="32" s="1"/>
  <c r="AE3" i="32"/>
  <c r="AV3" i="32" s="1"/>
  <c r="BM3" i="32" s="1"/>
  <c r="CD3" i="32" s="1"/>
  <c r="CU3" i="32" s="1"/>
  <c r="DL3" i="32" s="1"/>
  <c r="EC3" i="32" s="1"/>
  <c r="ET3" i="32" s="1"/>
  <c r="FK3" i="32" s="1"/>
  <c r="GB3" i="32" s="1"/>
  <c r="GS3" i="32" s="1"/>
  <c r="HJ3" i="32" s="1"/>
  <c r="IA3" i="32" s="1"/>
  <c r="IR3" i="32" s="1"/>
  <c r="JI3" i="32" s="1"/>
  <c r="JZ3" i="32" s="1"/>
  <c r="KQ3" i="32" s="1"/>
  <c r="LH3" i="32" s="1"/>
  <c r="LY3" i="32" s="1"/>
  <c r="MP3" i="32" s="1"/>
  <c r="NG3" i="32" s="1"/>
  <c r="NX3" i="32" s="1"/>
  <c r="OO3" i="32" s="1"/>
  <c r="PF3" i="32" s="1"/>
  <c r="PW3" i="32" s="1"/>
  <c r="QN3" i="32" s="1"/>
  <c r="RE3" i="32" s="1"/>
  <c r="RV3" i="32" s="1"/>
  <c r="SM3" i="32" s="1"/>
  <c r="AD3" i="32"/>
  <c r="AA3" i="32"/>
  <c r="AR3" i="32" s="1"/>
  <c r="BI3" i="32" s="1"/>
  <c r="BZ3" i="32" s="1"/>
  <c r="CQ3" i="32" s="1"/>
  <c r="DH3" i="32" s="1"/>
  <c r="DY3" i="32" s="1"/>
  <c r="EP3" i="32" s="1"/>
  <c r="FG3" i="32" s="1"/>
  <c r="FX3" i="32" s="1"/>
  <c r="GO3" i="32" s="1"/>
  <c r="HF3" i="32" s="1"/>
  <c r="HW3" i="32" s="1"/>
  <c r="IN3" i="32" s="1"/>
  <c r="JE3" i="32" s="1"/>
  <c r="JV3" i="32" s="1"/>
  <c r="KM3" i="32" s="1"/>
  <c r="LD3" i="32" s="1"/>
  <c r="LU3" i="32" s="1"/>
  <c r="ML3" i="32" s="1"/>
  <c r="NC3" i="32" s="1"/>
  <c r="NT3" i="32" s="1"/>
  <c r="OK3" i="32" s="1"/>
  <c r="PB3" i="32" s="1"/>
  <c r="PS3" i="32" s="1"/>
  <c r="QJ3" i="32" s="1"/>
  <c r="RA3" i="32" s="1"/>
  <c r="RR3" i="32" s="1"/>
  <c r="SI3" i="32" s="1"/>
  <c r="Z3" i="32"/>
  <c r="AQ3" i="32" s="1"/>
  <c r="BH3" i="32" s="1"/>
  <c r="BY3" i="32" s="1"/>
  <c r="CP3" i="32" s="1"/>
  <c r="DG3" i="32" s="1"/>
  <c r="DX3" i="32" s="1"/>
  <c r="EO3" i="32" s="1"/>
  <c r="FF3" i="32" s="1"/>
  <c r="FW3" i="32" s="1"/>
  <c r="GN3" i="32" s="1"/>
  <c r="HE3" i="32" s="1"/>
  <c r="HV3" i="32" s="1"/>
  <c r="IM3" i="32" s="1"/>
  <c r="JD3" i="32" s="1"/>
  <c r="JU3" i="32" s="1"/>
  <c r="KL3" i="32" s="1"/>
  <c r="LC3" i="32" s="1"/>
  <c r="LT3" i="32" s="1"/>
  <c r="MK3" i="32" s="1"/>
  <c r="NB3" i="32" s="1"/>
  <c r="NS3" i="32" s="1"/>
  <c r="OJ3" i="32" s="1"/>
  <c r="PA3" i="32" s="1"/>
  <c r="PR3" i="32" s="1"/>
  <c r="QI3" i="32" s="1"/>
  <c r="QZ3" i="32" s="1"/>
  <c r="RQ3" i="32" s="1"/>
  <c r="SH3" i="32" s="1"/>
  <c r="Y3" i="32"/>
  <c r="AP3" i="32" s="1"/>
  <c r="BG3" i="32" s="1"/>
  <c r="BX3" i="32" s="1"/>
  <c r="CO3" i="32" s="1"/>
  <c r="DF3" i="32" s="1"/>
  <c r="DW3" i="32" s="1"/>
  <c r="EN3" i="32" s="1"/>
  <c r="FE3" i="32" s="1"/>
  <c r="FV3" i="32" s="1"/>
  <c r="GM3" i="32" s="1"/>
  <c r="HD3" i="32" s="1"/>
  <c r="HU3" i="32" s="1"/>
  <c r="IL3" i="32" s="1"/>
  <c r="JC3" i="32" s="1"/>
  <c r="JT3" i="32" s="1"/>
  <c r="KK3" i="32" s="1"/>
  <c r="LB3" i="32" s="1"/>
  <c r="LS3" i="32" s="1"/>
  <c r="MJ3" i="32" s="1"/>
  <c r="NA3" i="32" s="1"/>
  <c r="NR3" i="32" s="1"/>
  <c r="OI3" i="32" s="1"/>
  <c r="OZ3" i="32" s="1"/>
  <c r="PQ3" i="32" s="1"/>
  <c r="QH3" i="32" s="1"/>
  <c r="QY3" i="32" s="1"/>
  <c r="RP3" i="32" s="1"/>
  <c r="SG3" i="32" s="1"/>
  <c r="V3" i="32"/>
  <c r="AM3" i="32" s="1"/>
  <c r="BD3" i="32" s="1"/>
  <c r="BU3" i="32" s="1"/>
  <c r="CL3" i="32" s="1"/>
  <c r="DC3" i="32" s="1"/>
  <c r="DT3" i="32" s="1"/>
  <c r="EK3" i="32" s="1"/>
  <c r="FB3" i="32" s="1"/>
  <c r="FS3" i="32" s="1"/>
  <c r="GJ3" i="32" s="1"/>
  <c r="HA3" i="32" s="1"/>
  <c r="HR3" i="32" s="1"/>
  <c r="II3" i="32" s="1"/>
  <c r="IZ3" i="32" s="1"/>
  <c r="JQ3" i="32" s="1"/>
  <c r="KH3" i="32" s="1"/>
  <c r="KY3" i="32" s="1"/>
  <c r="LP3" i="32" s="1"/>
  <c r="MG3" i="32" s="1"/>
  <c r="MX3" i="32" s="1"/>
  <c r="NO3" i="32" s="1"/>
  <c r="OF3" i="32" s="1"/>
  <c r="OW3" i="32" s="1"/>
  <c r="PN3" i="32" s="1"/>
  <c r="QE3" i="32" s="1"/>
  <c r="QV3" i="32" s="1"/>
  <c r="RM3" i="32" s="1"/>
  <c r="SD3" i="32" s="1"/>
  <c r="U3" i="32"/>
  <c r="AL3" i="32" s="1"/>
  <c r="BC3" i="32" s="1"/>
  <c r="BT3" i="32" s="1"/>
  <c r="CK3" i="32" s="1"/>
  <c r="DB3" i="32" s="1"/>
  <c r="DS3" i="32" s="1"/>
  <c r="EJ3" i="32" s="1"/>
  <c r="FA3" i="32" s="1"/>
  <c r="FR3" i="32" s="1"/>
  <c r="GI3" i="32" s="1"/>
  <c r="GZ3" i="32" s="1"/>
  <c r="HQ3" i="32" s="1"/>
  <c r="IH3" i="32" s="1"/>
  <c r="IY3" i="32" s="1"/>
  <c r="JP3" i="32" s="1"/>
  <c r="KG3" i="32" s="1"/>
  <c r="KX3" i="32" s="1"/>
  <c r="LO3" i="32" s="1"/>
  <c r="MF3" i="32" s="1"/>
  <c r="MW3" i="32" s="1"/>
  <c r="NN3" i="32" s="1"/>
  <c r="OE3" i="32" s="1"/>
  <c r="OV3" i="32" s="1"/>
  <c r="PM3" i="32" s="1"/>
  <c r="QD3" i="32" s="1"/>
  <c r="QU3" i="32" s="1"/>
  <c r="RL3" i="32" s="1"/>
  <c r="SC3" i="32" s="1"/>
  <c r="T3" i="32"/>
  <c r="AK3" i="32" s="1"/>
  <c r="BB3" i="32" s="1"/>
  <c r="BS3" i="32" s="1"/>
  <c r="CJ3" i="32" s="1"/>
  <c r="DA3" i="32" s="1"/>
  <c r="DR3" i="32" s="1"/>
  <c r="EI3" i="32" s="1"/>
  <c r="EZ3" i="32" s="1"/>
  <c r="FQ3" i="32" s="1"/>
  <c r="GH3" i="32" s="1"/>
  <c r="GY3" i="32" s="1"/>
  <c r="HP3" i="32" s="1"/>
  <c r="IG3" i="32" s="1"/>
  <c r="IX3" i="32" s="1"/>
  <c r="JO3" i="32" s="1"/>
  <c r="KF3" i="32" s="1"/>
  <c r="KW3" i="32" s="1"/>
  <c r="LN3" i="32" s="1"/>
  <c r="ME3" i="32" s="1"/>
  <c r="MV3" i="32" s="1"/>
  <c r="NM3" i="32" s="1"/>
  <c r="OD3" i="32" s="1"/>
  <c r="OU3" i="32" s="1"/>
  <c r="PL3" i="32" s="1"/>
  <c r="QC3" i="32" s="1"/>
  <c r="QT3" i="32" s="1"/>
  <c r="RK3" i="32" s="1"/>
  <c r="SB3" i="32" s="1"/>
  <c r="T1" i="32"/>
  <c r="AK1" i="32" s="1"/>
  <c r="R24" i="30"/>
  <c r="SN22" i="30"/>
  <c r="SM22" i="30"/>
  <c r="SL22" i="30"/>
  <c r="SI22" i="30"/>
  <c r="SH22" i="30"/>
  <c r="SG22" i="30"/>
  <c r="SD22" i="30"/>
  <c r="SC22" i="30"/>
  <c r="SB22" i="30"/>
  <c r="RW22" i="30"/>
  <c r="RV22" i="30"/>
  <c r="RU22" i="30"/>
  <c r="RR22" i="30"/>
  <c r="RQ22" i="30"/>
  <c r="RP22" i="30"/>
  <c r="RM22" i="30"/>
  <c r="RL22" i="30"/>
  <c r="RK22" i="30"/>
  <c r="RF22" i="30"/>
  <c r="RE22" i="30"/>
  <c r="RD22" i="30"/>
  <c r="RA22" i="30"/>
  <c r="QZ22" i="30"/>
  <c r="QY22" i="30"/>
  <c r="QV22" i="30"/>
  <c r="QU22" i="30"/>
  <c r="QT22" i="30"/>
  <c r="QO22" i="30"/>
  <c r="QN22" i="30"/>
  <c r="QM22" i="30"/>
  <c r="QJ22" i="30"/>
  <c r="QI22" i="30"/>
  <c r="QH22" i="30"/>
  <c r="QE22" i="30"/>
  <c r="QD22" i="30"/>
  <c r="QC22" i="30"/>
  <c r="PX22" i="30"/>
  <c r="PW22" i="30"/>
  <c r="PV22" i="30"/>
  <c r="PS22" i="30"/>
  <c r="PR22" i="30"/>
  <c r="PQ22" i="30"/>
  <c r="PN22" i="30"/>
  <c r="PM22" i="30"/>
  <c r="PL22" i="30"/>
  <c r="PG22" i="30"/>
  <c r="PF22" i="30"/>
  <c r="PE22" i="30"/>
  <c r="PB22" i="30"/>
  <c r="PA22" i="30"/>
  <c r="OZ22" i="30"/>
  <c r="OW22" i="30"/>
  <c r="OV22" i="30"/>
  <c r="OU22" i="30"/>
  <c r="OP22" i="30"/>
  <c r="OO22" i="30"/>
  <c r="ON22" i="30"/>
  <c r="OK22" i="30"/>
  <c r="OJ22" i="30"/>
  <c r="OI22" i="30"/>
  <c r="OF22" i="30"/>
  <c r="OE22" i="30"/>
  <c r="OD22" i="30"/>
  <c r="NY22" i="30"/>
  <c r="NX22" i="30"/>
  <c r="NW22" i="30"/>
  <c r="NT22" i="30"/>
  <c r="NS22" i="30"/>
  <c r="NR22" i="30"/>
  <c r="NO22" i="30"/>
  <c r="NN22" i="30"/>
  <c r="NM22" i="30"/>
  <c r="NH22" i="30"/>
  <c r="NG22" i="30"/>
  <c r="NF22" i="30"/>
  <c r="NC22" i="30"/>
  <c r="NB22" i="30"/>
  <c r="NA22" i="30"/>
  <c r="MX22" i="30"/>
  <c r="MW22" i="30"/>
  <c r="MV22" i="30"/>
  <c r="MQ22" i="30"/>
  <c r="MP22" i="30"/>
  <c r="MO22" i="30"/>
  <c r="ML22" i="30"/>
  <c r="MK22" i="30"/>
  <c r="MJ22" i="30"/>
  <c r="MG22" i="30"/>
  <c r="MF22" i="30"/>
  <c r="ME22" i="30"/>
  <c r="LZ22" i="30"/>
  <c r="LY22" i="30"/>
  <c r="LX22" i="30"/>
  <c r="LU22" i="30"/>
  <c r="LT22" i="30"/>
  <c r="LS22" i="30"/>
  <c r="LP22" i="30"/>
  <c r="LO22" i="30"/>
  <c r="LN22" i="30"/>
  <c r="LI22" i="30"/>
  <c r="LH22" i="30"/>
  <c r="LG22" i="30"/>
  <c r="LD22" i="30"/>
  <c r="LC22" i="30"/>
  <c r="LB22" i="30"/>
  <c r="KY22" i="30"/>
  <c r="KX22" i="30"/>
  <c r="KW22" i="30"/>
  <c r="KR22" i="30"/>
  <c r="KQ22" i="30"/>
  <c r="KP22" i="30"/>
  <c r="KM22" i="30"/>
  <c r="KL22" i="30"/>
  <c r="KK22" i="30"/>
  <c r="KH22" i="30"/>
  <c r="KG22" i="30"/>
  <c r="KF22" i="30"/>
  <c r="KA22" i="30"/>
  <c r="JZ22" i="30"/>
  <c r="JY22" i="30"/>
  <c r="JV22" i="30"/>
  <c r="JU22" i="30"/>
  <c r="JT22" i="30"/>
  <c r="JQ22" i="30"/>
  <c r="JP22" i="30"/>
  <c r="JO22" i="30"/>
  <c r="JJ22" i="30"/>
  <c r="JI22" i="30"/>
  <c r="JH22" i="30"/>
  <c r="JE22" i="30"/>
  <c r="JD22" i="30"/>
  <c r="JC22" i="30"/>
  <c r="IZ22" i="30"/>
  <c r="IY22" i="30"/>
  <c r="IX22" i="30"/>
  <c r="IS22" i="30"/>
  <c r="IR22" i="30"/>
  <c r="IQ22" i="30"/>
  <c r="IN22" i="30"/>
  <c r="IM22" i="30"/>
  <c r="IL22" i="30"/>
  <c r="II22" i="30"/>
  <c r="IH22" i="30"/>
  <c r="IG22" i="30"/>
  <c r="IB22" i="30"/>
  <c r="IA22" i="30"/>
  <c r="HZ22" i="30"/>
  <c r="HW22" i="30"/>
  <c r="HV22" i="30"/>
  <c r="HU22" i="30"/>
  <c r="HR22" i="30"/>
  <c r="HQ22" i="30"/>
  <c r="HP22" i="30"/>
  <c r="HK22" i="30"/>
  <c r="HJ22" i="30"/>
  <c r="HI22" i="30"/>
  <c r="HF22" i="30"/>
  <c r="HE22" i="30"/>
  <c r="HD22" i="30"/>
  <c r="HA22" i="30"/>
  <c r="GZ22" i="30"/>
  <c r="GY22" i="30"/>
  <c r="GT22" i="30"/>
  <c r="GS22" i="30"/>
  <c r="GR22" i="30"/>
  <c r="GO22" i="30"/>
  <c r="GN22" i="30"/>
  <c r="GM22" i="30"/>
  <c r="GJ22" i="30"/>
  <c r="GI22" i="30"/>
  <c r="GH22" i="30"/>
  <c r="GC22" i="30"/>
  <c r="GB22" i="30"/>
  <c r="GA22" i="30"/>
  <c r="FX22" i="30"/>
  <c r="FW22" i="30"/>
  <c r="FV22" i="30"/>
  <c r="FS22" i="30"/>
  <c r="FR22" i="30"/>
  <c r="FQ22" i="30"/>
  <c r="FL22" i="30"/>
  <c r="FK22" i="30"/>
  <c r="FJ22" i="30"/>
  <c r="FG22" i="30"/>
  <c r="FF22" i="30"/>
  <c r="FE22" i="30"/>
  <c r="FB22" i="30"/>
  <c r="FA22" i="30"/>
  <c r="EZ22" i="30"/>
  <c r="EU22" i="30"/>
  <c r="ET22" i="30"/>
  <c r="ES22" i="30"/>
  <c r="EP22" i="30"/>
  <c r="EO22" i="30"/>
  <c r="EN22" i="30"/>
  <c r="EK22" i="30"/>
  <c r="EJ22" i="30"/>
  <c r="EI22" i="30"/>
  <c r="ED22" i="30"/>
  <c r="EC22" i="30"/>
  <c r="EB22" i="30"/>
  <c r="DY22" i="30"/>
  <c r="DX22" i="30"/>
  <c r="DW22" i="30"/>
  <c r="DT22" i="30"/>
  <c r="DS22" i="30"/>
  <c r="DR22" i="30"/>
  <c r="DM22" i="30"/>
  <c r="DL22" i="30"/>
  <c r="DK22" i="30"/>
  <c r="DH22" i="30"/>
  <c r="DG22" i="30"/>
  <c r="DF22" i="30"/>
  <c r="DC22" i="30"/>
  <c r="DB22" i="30"/>
  <c r="DA22" i="30"/>
  <c r="CV22" i="30"/>
  <c r="CU22" i="30"/>
  <c r="CT22" i="30"/>
  <c r="CQ22" i="30"/>
  <c r="CP22" i="30"/>
  <c r="CO22" i="30"/>
  <c r="CL22" i="30"/>
  <c r="CK22" i="30"/>
  <c r="CJ22" i="30"/>
  <c r="CE22" i="30"/>
  <c r="CD22" i="30"/>
  <c r="CC22" i="30"/>
  <c r="BZ22" i="30"/>
  <c r="BY22" i="30"/>
  <c r="BX22" i="30"/>
  <c r="BU22" i="30"/>
  <c r="BT22" i="30"/>
  <c r="BS22" i="30"/>
  <c r="BN22" i="30"/>
  <c r="BM22" i="30"/>
  <c r="BL22" i="30"/>
  <c r="BI22" i="30"/>
  <c r="BH22" i="30"/>
  <c r="BG22" i="30"/>
  <c r="BD22" i="30"/>
  <c r="BC22" i="30"/>
  <c r="BB22" i="30"/>
  <c r="AW22" i="30"/>
  <c r="AV22" i="30"/>
  <c r="AU22" i="30"/>
  <c r="AR22" i="30"/>
  <c r="AQ22" i="30"/>
  <c r="AP22" i="30"/>
  <c r="AM22" i="30"/>
  <c r="AL22" i="30"/>
  <c r="AK22" i="30"/>
  <c r="AF22" i="30"/>
  <c r="AE22" i="30"/>
  <c r="AD22" i="30"/>
  <c r="AA22" i="30"/>
  <c r="Z22" i="30"/>
  <c r="Y22" i="30"/>
  <c r="V22" i="30"/>
  <c r="U22" i="30"/>
  <c r="T22" i="30"/>
  <c r="O22" i="30"/>
  <c r="N22" i="30"/>
  <c r="M22" i="30"/>
  <c r="J22" i="30"/>
  <c r="I22" i="30"/>
  <c r="H22" i="30"/>
  <c r="E22" i="30"/>
  <c r="D22" i="30"/>
  <c r="C22" i="30"/>
  <c r="SO21" i="30"/>
  <c r="SP21" i="30" s="1"/>
  <c r="SJ21" i="30"/>
  <c r="SK21" i="30" s="1"/>
  <c r="SE21" i="30"/>
  <c r="RX21" i="30"/>
  <c r="RY21" i="30" s="1"/>
  <c r="RS21" i="30"/>
  <c r="RT21" i="30" s="1"/>
  <c r="RN21" i="30"/>
  <c r="RG21" i="30"/>
  <c r="RH21" i="30" s="1"/>
  <c r="RB21" i="30"/>
  <c r="RC21" i="30" s="1"/>
  <c r="QW21" i="30"/>
  <c r="QP21" i="30"/>
  <c r="QQ21" i="30" s="1"/>
  <c r="QK21" i="30"/>
  <c r="QL21" i="30" s="1"/>
  <c r="QF21" i="30"/>
  <c r="QR21" i="30" s="1"/>
  <c r="QS21" i="30" s="1"/>
  <c r="PY21" i="30"/>
  <c r="PZ21" i="30" s="1"/>
  <c r="PT21" i="30"/>
  <c r="PU21" i="30" s="1"/>
  <c r="PO21" i="30"/>
  <c r="PH21" i="30"/>
  <c r="PI21" i="30" s="1"/>
  <c r="PC21" i="30"/>
  <c r="PD21" i="30" s="1"/>
  <c r="OX21" i="30"/>
  <c r="PJ21" i="30" s="1"/>
  <c r="PK21" i="30" s="1"/>
  <c r="OR21" i="30"/>
  <c r="OQ21" i="30"/>
  <c r="OL21" i="30"/>
  <c r="OM21" i="30" s="1"/>
  <c r="OG21" i="30"/>
  <c r="OS21" i="30" s="1"/>
  <c r="OT21" i="30" s="1"/>
  <c r="NZ21" i="30"/>
  <c r="OA21" i="30" s="1"/>
  <c r="NU21" i="30"/>
  <c r="NV21" i="30" s="1"/>
  <c r="NP21" i="30"/>
  <c r="NI21" i="30"/>
  <c r="NJ21" i="30" s="1"/>
  <c r="ND21" i="30"/>
  <c r="NE21" i="30" s="1"/>
  <c r="MY21" i="30"/>
  <c r="MR21" i="30"/>
  <c r="MS21" i="30" s="1"/>
  <c r="MM21" i="30"/>
  <c r="MN21" i="30" s="1"/>
  <c r="MH21" i="30"/>
  <c r="MI21" i="30" s="1"/>
  <c r="MA21" i="30"/>
  <c r="MB21" i="30" s="1"/>
  <c r="LV21" i="30"/>
  <c r="LW21" i="30" s="1"/>
  <c r="LQ21" i="30"/>
  <c r="LJ21" i="30"/>
  <c r="LK21" i="30" s="1"/>
  <c r="LE21" i="30"/>
  <c r="LF21" i="30" s="1"/>
  <c r="KZ21" i="30"/>
  <c r="KS21" i="30"/>
  <c r="KT21" i="30" s="1"/>
  <c r="KN21" i="30"/>
  <c r="KO21" i="30" s="1"/>
  <c r="KI21" i="30"/>
  <c r="KD21" i="30"/>
  <c r="KE21" i="30" s="1"/>
  <c r="KC21" i="30"/>
  <c r="KB21" i="30"/>
  <c r="JW21" i="30"/>
  <c r="JX21" i="30" s="1"/>
  <c r="JS21" i="30"/>
  <c r="JR21" i="30"/>
  <c r="JK21" i="30"/>
  <c r="JL21" i="30" s="1"/>
  <c r="JF21" i="30"/>
  <c r="JG21" i="30" s="1"/>
  <c r="JA21" i="30"/>
  <c r="IT21" i="30"/>
  <c r="IU21" i="30" s="1"/>
  <c r="IO21" i="30"/>
  <c r="IP21" i="30" s="1"/>
  <c r="IK21" i="30"/>
  <c r="IJ21" i="30"/>
  <c r="IC21" i="30"/>
  <c r="ID21" i="30" s="1"/>
  <c r="HX21" i="30"/>
  <c r="HY21" i="30" s="1"/>
  <c r="HS21" i="30"/>
  <c r="IE21" i="30" s="1"/>
  <c r="IF21" i="30" s="1"/>
  <c r="HL21" i="30"/>
  <c r="HM21" i="30" s="1"/>
  <c r="HG21" i="30"/>
  <c r="HH21" i="30" s="1"/>
  <c r="HB21" i="30"/>
  <c r="HN21" i="30" s="1"/>
  <c r="HO21" i="30" s="1"/>
  <c r="GU21" i="30"/>
  <c r="GV21" i="30" s="1"/>
  <c r="GP21" i="30"/>
  <c r="GQ21" i="30" s="1"/>
  <c r="GK21" i="30"/>
  <c r="GD21" i="30"/>
  <c r="GE21" i="30" s="1"/>
  <c r="FY21" i="30"/>
  <c r="FZ21" i="30" s="1"/>
  <c r="FT21" i="30"/>
  <c r="FM21" i="30"/>
  <c r="FN21" i="30" s="1"/>
  <c r="FH21" i="30"/>
  <c r="FI21" i="30" s="1"/>
  <c r="FC21" i="30"/>
  <c r="EV21" i="30"/>
  <c r="EW21" i="30" s="1"/>
  <c r="EQ21" i="30"/>
  <c r="ER21" i="30" s="1"/>
  <c r="EL21" i="30"/>
  <c r="EM21" i="30" s="1"/>
  <c r="EE21" i="30"/>
  <c r="EF21" i="30" s="1"/>
  <c r="DZ21" i="30"/>
  <c r="EA21" i="30" s="1"/>
  <c r="DU21" i="30"/>
  <c r="DN21" i="30"/>
  <c r="DO21" i="30" s="1"/>
  <c r="DI21" i="30"/>
  <c r="DJ21" i="30" s="1"/>
  <c r="DD21" i="30"/>
  <c r="DE21" i="30" s="1"/>
  <c r="CW21" i="30"/>
  <c r="CX21" i="30" s="1"/>
  <c r="CR21" i="30"/>
  <c r="CS21" i="30" s="1"/>
  <c r="CM21" i="30"/>
  <c r="CG21" i="30"/>
  <c r="CF21" i="30"/>
  <c r="CA21" i="30"/>
  <c r="CB21" i="30" s="1"/>
  <c r="BV21" i="30"/>
  <c r="BW21" i="30" s="1"/>
  <c r="BO21" i="30"/>
  <c r="BP21" i="30" s="1"/>
  <c r="BJ21" i="30"/>
  <c r="BK21" i="30" s="1"/>
  <c r="BE21" i="30"/>
  <c r="AX21" i="30"/>
  <c r="AY21" i="30" s="1"/>
  <c r="AS21" i="30"/>
  <c r="AT21" i="30" s="1"/>
  <c r="AN21" i="30"/>
  <c r="AO21" i="30" s="1"/>
  <c r="AG21" i="30"/>
  <c r="AH21" i="30" s="1"/>
  <c r="AB21" i="30"/>
  <c r="AC21" i="30" s="1"/>
  <c r="W21" i="30"/>
  <c r="P21" i="30"/>
  <c r="Q21" i="30" s="1"/>
  <c r="K21" i="30"/>
  <c r="F21" i="30"/>
  <c r="G21" i="30" s="1"/>
  <c r="SQ20" i="30"/>
  <c r="SR20" i="30" s="1"/>
  <c r="SP20" i="30"/>
  <c r="SO20" i="30"/>
  <c r="SJ20" i="30"/>
  <c r="SK20" i="30" s="1"/>
  <c r="SE20" i="30"/>
  <c r="SF20" i="30" s="1"/>
  <c r="RZ20" i="30"/>
  <c r="SA20" i="30" s="1"/>
  <c r="RX20" i="30"/>
  <c r="RY20" i="30" s="1"/>
  <c r="RS20" i="30"/>
  <c r="RT20" i="30" s="1"/>
  <c r="RN20" i="30"/>
  <c r="RO20" i="30" s="1"/>
  <c r="RI20" i="30"/>
  <c r="RJ20" i="30" s="1"/>
  <c r="RG20" i="30"/>
  <c r="RH20" i="30" s="1"/>
  <c r="RB20" i="30"/>
  <c r="RC20" i="30" s="1"/>
  <c r="QW20" i="30"/>
  <c r="QX20" i="30" s="1"/>
  <c r="QR20" i="30"/>
  <c r="QS20" i="30" s="1"/>
  <c r="QP20" i="30"/>
  <c r="QQ20" i="30" s="1"/>
  <c r="QK20" i="30"/>
  <c r="QL20" i="30" s="1"/>
  <c r="QF20" i="30"/>
  <c r="QG20" i="30" s="1"/>
  <c r="QA20" i="30"/>
  <c r="QB20" i="30" s="1"/>
  <c r="PY20" i="30"/>
  <c r="PZ20" i="30" s="1"/>
  <c r="PU20" i="30"/>
  <c r="PT20" i="30"/>
  <c r="PO20" i="30"/>
  <c r="PP20" i="30" s="1"/>
  <c r="PJ20" i="30"/>
  <c r="PK20" i="30" s="1"/>
  <c r="PH20" i="30"/>
  <c r="PI20" i="30" s="1"/>
  <c r="PD20" i="30"/>
  <c r="PC20" i="30"/>
  <c r="OX20" i="30"/>
  <c r="OY20" i="30" s="1"/>
  <c r="OS20" i="30"/>
  <c r="OT20" i="30" s="1"/>
  <c r="OQ20" i="30"/>
  <c r="OR20" i="30" s="1"/>
  <c r="OL20" i="30"/>
  <c r="OM20" i="30" s="1"/>
  <c r="OG20" i="30"/>
  <c r="OH20" i="30" s="1"/>
  <c r="OB20" i="30"/>
  <c r="OC20" i="30" s="1"/>
  <c r="NZ20" i="30"/>
  <c r="OA20" i="30" s="1"/>
  <c r="NU20" i="30"/>
  <c r="NV20" i="30" s="1"/>
  <c r="NP20" i="30"/>
  <c r="NQ20" i="30" s="1"/>
  <c r="NK20" i="30"/>
  <c r="NL20" i="30" s="1"/>
  <c r="NI20" i="30"/>
  <c r="NJ20" i="30" s="1"/>
  <c r="ND20" i="30"/>
  <c r="NE20" i="30" s="1"/>
  <c r="MY20" i="30"/>
  <c r="MZ20" i="30" s="1"/>
  <c r="MT20" i="30"/>
  <c r="MU20" i="30" s="1"/>
  <c r="MR20" i="30"/>
  <c r="MS20" i="30" s="1"/>
  <c r="MN20" i="30"/>
  <c r="MM20" i="30"/>
  <c r="MH20" i="30"/>
  <c r="MI20" i="30" s="1"/>
  <c r="MC20" i="30"/>
  <c r="MD20" i="30" s="1"/>
  <c r="MA20" i="30"/>
  <c r="MB20" i="30" s="1"/>
  <c r="LV20" i="30"/>
  <c r="LW20" i="30" s="1"/>
  <c r="LQ20" i="30"/>
  <c r="LR20" i="30" s="1"/>
  <c r="LL20" i="30"/>
  <c r="LM20" i="30" s="1"/>
  <c r="LJ20" i="30"/>
  <c r="LK20" i="30" s="1"/>
  <c r="LE20" i="30"/>
  <c r="LF20" i="30" s="1"/>
  <c r="KZ20" i="30"/>
  <c r="LA20" i="30" s="1"/>
  <c r="KU20" i="30"/>
  <c r="KV20" i="30" s="1"/>
  <c r="KS20" i="30"/>
  <c r="KT20" i="30" s="1"/>
  <c r="KO20" i="30"/>
  <c r="KN20" i="30"/>
  <c r="KI20" i="30"/>
  <c r="KJ20" i="30" s="1"/>
  <c r="KD20" i="30"/>
  <c r="KE20" i="30" s="1"/>
  <c r="KB20" i="30"/>
  <c r="KC20" i="30" s="1"/>
  <c r="JX20" i="30"/>
  <c r="JW20" i="30"/>
  <c r="JR20" i="30"/>
  <c r="JS20" i="30" s="1"/>
  <c r="JM20" i="30"/>
  <c r="JN20" i="30" s="1"/>
  <c r="JK20" i="30"/>
  <c r="JL20" i="30" s="1"/>
  <c r="JF20" i="30"/>
  <c r="JG20" i="30" s="1"/>
  <c r="JA20" i="30"/>
  <c r="JB20" i="30" s="1"/>
  <c r="IV20" i="30"/>
  <c r="IW20" i="30" s="1"/>
  <c r="IT20" i="30"/>
  <c r="IU20" i="30" s="1"/>
  <c r="IO20" i="30"/>
  <c r="IP20" i="30" s="1"/>
  <c r="IJ20" i="30"/>
  <c r="IK20" i="30" s="1"/>
  <c r="IE20" i="30"/>
  <c r="IF20" i="30" s="1"/>
  <c r="IC20" i="30"/>
  <c r="ID20" i="30" s="1"/>
  <c r="HX20" i="30"/>
  <c r="HY20" i="30" s="1"/>
  <c r="HS20" i="30"/>
  <c r="HT20" i="30" s="1"/>
  <c r="HN20" i="30"/>
  <c r="HO20" i="30" s="1"/>
  <c r="HL20" i="30"/>
  <c r="HM20" i="30" s="1"/>
  <c r="HH20" i="30"/>
  <c r="HG20" i="30"/>
  <c r="HB20" i="30"/>
  <c r="HC20" i="30" s="1"/>
  <c r="GW20" i="30"/>
  <c r="GX20" i="30" s="1"/>
  <c r="GU20" i="30"/>
  <c r="GV20" i="30" s="1"/>
  <c r="GP20" i="30"/>
  <c r="GQ20" i="30" s="1"/>
  <c r="GK20" i="30"/>
  <c r="GL20" i="30" s="1"/>
  <c r="GF20" i="30"/>
  <c r="GG20" i="30" s="1"/>
  <c r="GD20" i="30"/>
  <c r="GE20" i="30" s="1"/>
  <c r="FY20" i="30"/>
  <c r="FZ20" i="30" s="1"/>
  <c r="FT20" i="30"/>
  <c r="FU20" i="30" s="1"/>
  <c r="FO20" i="30"/>
  <c r="FP20" i="30" s="1"/>
  <c r="FM20" i="30"/>
  <c r="FN20" i="30" s="1"/>
  <c r="FI20" i="30"/>
  <c r="FH20" i="30"/>
  <c r="FC20" i="30"/>
  <c r="FD20" i="30" s="1"/>
  <c r="EX20" i="30"/>
  <c r="EY20" i="30" s="1"/>
  <c r="EV20" i="30"/>
  <c r="EW20" i="30" s="1"/>
  <c r="ER20" i="30"/>
  <c r="EQ20" i="30"/>
  <c r="EL20" i="30"/>
  <c r="EM20" i="30" s="1"/>
  <c r="EG20" i="30"/>
  <c r="EH20" i="30" s="1"/>
  <c r="EE20" i="30"/>
  <c r="EF20" i="30" s="1"/>
  <c r="DZ20" i="30"/>
  <c r="EA20" i="30" s="1"/>
  <c r="DU20" i="30"/>
  <c r="DV20" i="30" s="1"/>
  <c r="DP20" i="30"/>
  <c r="DQ20" i="30" s="1"/>
  <c r="DN20" i="30"/>
  <c r="DO20" i="30" s="1"/>
  <c r="DI20" i="30"/>
  <c r="DJ20" i="30" s="1"/>
  <c r="DD20" i="30"/>
  <c r="DE20" i="30" s="1"/>
  <c r="CY20" i="30"/>
  <c r="CZ20" i="30" s="1"/>
  <c r="CW20" i="30"/>
  <c r="CX20" i="30" s="1"/>
  <c r="CR20" i="30"/>
  <c r="CS20" i="30" s="1"/>
  <c r="CM20" i="30"/>
  <c r="CN20" i="30" s="1"/>
  <c r="CH20" i="30"/>
  <c r="CI20" i="30" s="1"/>
  <c r="CF20" i="30"/>
  <c r="CG20" i="30" s="1"/>
  <c r="CB20" i="30"/>
  <c r="CA20" i="30"/>
  <c r="BV20" i="30"/>
  <c r="BW20" i="30" s="1"/>
  <c r="BQ20" i="30"/>
  <c r="BR20" i="30" s="1"/>
  <c r="BO20" i="30"/>
  <c r="BP20" i="30" s="1"/>
  <c r="BJ20" i="30"/>
  <c r="BK20" i="30" s="1"/>
  <c r="BE20" i="30"/>
  <c r="BF20" i="30" s="1"/>
  <c r="AZ20" i="30"/>
  <c r="BA20" i="30" s="1"/>
  <c r="AX20" i="30"/>
  <c r="AY20" i="30" s="1"/>
  <c r="AS20" i="30"/>
  <c r="AT20" i="30" s="1"/>
  <c r="AN20" i="30"/>
  <c r="AO20" i="30" s="1"/>
  <c r="AI20" i="30"/>
  <c r="AJ20" i="30" s="1"/>
  <c r="AG20" i="30"/>
  <c r="AH20" i="30" s="1"/>
  <c r="AC20" i="30"/>
  <c r="AB20" i="30"/>
  <c r="W20" i="30"/>
  <c r="X20" i="30" s="1"/>
  <c r="R20" i="30"/>
  <c r="S20" i="30" s="1"/>
  <c r="P20" i="30"/>
  <c r="Q20" i="30" s="1"/>
  <c r="L20" i="30"/>
  <c r="K20" i="30"/>
  <c r="F20" i="30"/>
  <c r="G20" i="30" s="1"/>
  <c r="SO19" i="30"/>
  <c r="SP19" i="30" s="1"/>
  <c r="SK19" i="30"/>
  <c r="SJ19" i="30"/>
  <c r="SE19" i="30"/>
  <c r="SF19" i="30" s="1"/>
  <c r="RX19" i="30"/>
  <c r="RY19" i="30" s="1"/>
  <c r="RT19" i="30"/>
  <c r="RS19" i="30"/>
  <c r="RN19" i="30"/>
  <c r="RO19" i="30" s="1"/>
  <c r="RG19" i="30"/>
  <c r="RH19" i="30" s="1"/>
  <c r="RC19" i="30"/>
  <c r="RB19" i="30"/>
  <c r="QW19" i="30"/>
  <c r="QX19" i="30" s="1"/>
  <c r="QP19" i="30"/>
  <c r="QQ19" i="30" s="1"/>
  <c r="QL19" i="30"/>
  <c r="QK19" i="30"/>
  <c r="QF19" i="30"/>
  <c r="QG19" i="30" s="1"/>
  <c r="PY19" i="30"/>
  <c r="PZ19" i="30" s="1"/>
  <c r="PU19" i="30"/>
  <c r="PT19" i="30"/>
  <c r="PO19" i="30"/>
  <c r="PP19" i="30" s="1"/>
  <c r="PH19" i="30"/>
  <c r="PI19" i="30" s="1"/>
  <c r="PD19" i="30"/>
  <c r="PC19" i="30"/>
  <c r="OX19" i="30"/>
  <c r="OY19" i="30" s="1"/>
  <c r="OQ19" i="30"/>
  <c r="OR19" i="30" s="1"/>
  <c r="OM19" i="30"/>
  <c r="OL19" i="30"/>
  <c r="OG19" i="30"/>
  <c r="OH19" i="30" s="1"/>
  <c r="NZ19" i="30"/>
  <c r="OA19" i="30" s="1"/>
  <c r="NV19" i="30"/>
  <c r="NU19" i="30"/>
  <c r="NP19" i="30"/>
  <c r="NQ19" i="30" s="1"/>
  <c r="NI19" i="30"/>
  <c r="NJ19" i="30" s="1"/>
  <c r="NE19" i="30"/>
  <c r="ND19" i="30"/>
  <c r="MY19" i="30"/>
  <c r="MZ19" i="30" s="1"/>
  <c r="MR19" i="30"/>
  <c r="MS19" i="30" s="1"/>
  <c r="MN19" i="30"/>
  <c r="MM19" i="30"/>
  <c r="MH19" i="30"/>
  <c r="MI19" i="30" s="1"/>
  <c r="MA19" i="30"/>
  <c r="MB19" i="30" s="1"/>
  <c r="LW19" i="30"/>
  <c r="LV19" i="30"/>
  <c r="LQ19" i="30"/>
  <c r="LR19" i="30" s="1"/>
  <c r="LJ19" i="30"/>
  <c r="LK19" i="30" s="1"/>
  <c r="LF19" i="30"/>
  <c r="LE19" i="30"/>
  <c r="KZ19" i="30"/>
  <c r="LA19" i="30" s="1"/>
  <c r="KS19" i="30"/>
  <c r="KT19" i="30" s="1"/>
  <c r="KO19" i="30"/>
  <c r="KN19" i="30"/>
  <c r="KI19" i="30"/>
  <c r="KJ19" i="30" s="1"/>
  <c r="KD19" i="30"/>
  <c r="KE19" i="30" s="1"/>
  <c r="KB19" i="30"/>
  <c r="KC19" i="30" s="1"/>
  <c r="JW19" i="30"/>
  <c r="JX19" i="30" s="1"/>
  <c r="JR19" i="30"/>
  <c r="JS19" i="30" s="1"/>
  <c r="JK19" i="30"/>
  <c r="JL19" i="30" s="1"/>
  <c r="JG19" i="30"/>
  <c r="JF19" i="30"/>
  <c r="JA19" i="30"/>
  <c r="JB19" i="30" s="1"/>
  <c r="IV19" i="30"/>
  <c r="IW19" i="30" s="1"/>
  <c r="IT19" i="30"/>
  <c r="IU19" i="30" s="1"/>
  <c r="IO19" i="30"/>
  <c r="IP19" i="30" s="1"/>
  <c r="IJ19" i="30"/>
  <c r="IK19" i="30" s="1"/>
  <c r="IC19" i="30"/>
  <c r="ID19" i="30" s="1"/>
  <c r="HY19" i="30"/>
  <c r="HX19" i="30"/>
  <c r="HS19" i="30"/>
  <c r="HT19" i="30" s="1"/>
  <c r="HL19" i="30"/>
  <c r="HM19" i="30" s="1"/>
  <c r="HG19" i="30"/>
  <c r="HH19" i="30" s="1"/>
  <c r="HB19" i="30"/>
  <c r="GU19" i="30"/>
  <c r="GV19" i="30" s="1"/>
  <c r="GQ19" i="30"/>
  <c r="GP19" i="30"/>
  <c r="GK19" i="30"/>
  <c r="GL19" i="30" s="1"/>
  <c r="GD19" i="30"/>
  <c r="GE19" i="30" s="1"/>
  <c r="FY19" i="30"/>
  <c r="FZ19" i="30" s="1"/>
  <c r="FT19" i="30"/>
  <c r="FU19" i="30" s="1"/>
  <c r="FM19" i="30"/>
  <c r="FN19" i="30" s="1"/>
  <c r="FH19" i="30"/>
  <c r="FI19" i="30" s="1"/>
  <c r="FC19" i="30"/>
  <c r="FD19" i="30" s="1"/>
  <c r="EV19" i="30"/>
  <c r="EW19" i="30" s="1"/>
  <c r="EQ19" i="30"/>
  <c r="ER19" i="30" s="1"/>
  <c r="EL19" i="30"/>
  <c r="EE19" i="30"/>
  <c r="EF19" i="30" s="1"/>
  <c r="DZ19" i="30"/>
  <c r="EA19" i="30" s="1"/>
  <c r="DU19" i="30"/>
  <c r="DV19" i="30" s="1"/>
  <c r="DN19" i="30"/>
  <c r="DO19" i="30" s="1"/>
  <c r="DI19" i="30"/>
  <c r="DJ19" i="30" s="1"/>
  <c r="DD19" i="30"/>
  <c r="CW19" i="30"/>
  <c r="CX19" i="30" s="1"/>
  <c r="CR19" i="30"/>
  <c r="CS19" i="30" s="1"/>
  <c r="CM19" i="30"/>
  <c r="CN19" i="30" s="1"/>
  <c r="CF19" i="30"/>
  <c r="CG19" i="30" s="1"/>
  <c r="CA19" i="30"/>
  <c r="CB19" i="30" s="1"/>
  <c r="BV19" i="30"/>
  <c r="BO19" i="30"/>
  <c r="BP19" i="30" s="1"/>
  <c r="BJ19" i="30"/>
  <c r="BK19" i="30" s="1"/>
  <c r="BE19" i="30"/>
  <c r="BF19" i="30" s="1"/>
  <c r="AX19" i="30"/>
  <c r="AY19" i="30" s="1"/>
  <c r="AS19" i="30"/>
  <c r="AT19" i="30" s="1"/>
  <c r="AN19" i="30"/>
  <c r="AO19" i="30" s="1"/>
  <c r="AG19" i="30"/>
  <c r="AH19" i="30" s="1"/>
  <c r="AC19" i="30"/>
  <c r="AB19" i="30"/>
  <c r="W19" i="30"/>
  <c r="X19" i="30" s="1"/>
  <c r="R19" i="30"/>
  <c r="S19" i="30" s="1"/>
  <c r="P19" i="30"/>
  <c r="Q19" i="30" s="1"/>
  <c r="K19" i="30"/>
  <c r="L19" i="30" s="1"/>
  <c r="F19" i="30"/>
  <c r="G19" i="30" s="1"/>
  <c r="SO18" i="30"/>
  <c r="SP18" i="30" s="1"/>
  <c r="SK18" i="30"/>
  <c r="SJ18" i="30"/>
  <c r="SE18" i="30"/>
  <c r="SF18" i="30" s="1"/>
  <c r="RZ18" i="30"/>
  <c r="SA18" i="30" s="1"/>
  <c r="RX18" i="30"/>
  <c r="RY18" i="30" s="1"/>
  <c r="RS18" i="30"/>
  <c r="RT18" i="30" s="1"/>
  <c r="RN18" i="30"/>
  <c r="RO18" i="30" s="1"/>
  <c r="RG18" i="30"/>
  <c r="RH18" i="30" s="1"/>
  <c r="RC18" i="30"/>
  <c r="RB18" i="30"/>
  <c r="QW18" i="30"/>
  <c r="QX18" i="30" s="1"/>
  <c r="QP18" i="30"/>
  <c r="QQ18" i="30" s="1"/>
  <c r="QK18" i="30"/>
  <c r="QL18" i="30" s="1"/>
  <c r="QF18" i="30"/>
  <c r="PY18" i="30"/>
  <c r="PZ18" i="30" s="1"/>
  <c r="PU18" i="30"/>
  <c r="PT18" i="30"/>
  <c r="PO18" i="30"/>
  <c r="PP18" i="30" s="1"/>
  <c r="PH18" i="30"/>
  <c r="PI18" i="30" s="1"/>
  <c r="PC18" i="30"/>
  <c r="PD18" i="30" s="1"/>
  <c r="OX18" i="30"/>
  <c r="OY18" i="30" s="1"/>
  <c r="OQ18" i="30"/>
  <c r="OR18" i="30" s="1"/>
  <c r="OL18" i="30"/>
  <c r="OM18" i="30" s="1"/>
  <c r="OG18" i="30"/>
  <c r="OH18" i="30" s="1"/>
  <c r="NZ18" i="30"/>
  <c r="OA18" i="30" s="1"/>
  <c r="NU18" i="30"/>
  <c r="NV18" i="30" s="1"/>
  <c r="NP18" i="30"/>
  <c r="NI18" i="30"/>
  <c r="NJ18" i="30" s="1"/>
  <c r="NE18" i="30"/>
  <c r="ND18" i="30"/>
  <c r="MY18" i="30"/>
  <c r="MZ18" i="30" s="1"/>
  <c r="MR18" i="30"/>
  <c r="MS18" i="30" s="1"/>
  <c r="MM18" i="30"/>
  <c r="MN18" i="30" s="1"/>
  <c r="MH18" i="30"/>
  <c r="MA18" i="30"/>
  <c r="MB18" i="30" s="1"/>
  <c r="LV18" i="30"/>
  <c r="LW18" i="30" s="1"/>
  <c r="LQ18" i="30"/>
  <c r="LR18" i="30" s="1"/>
  <c r="LJ18" i="30"/>
  <c r="LK18" i="30" s="1"/>
  <c r="LE18" i="30"/>
  <c r="LF18" i="30" s="1"/>
  <c r="KZ18" i="30"/>
  <c r="KS18" i="30"/>
  <c r="KT18" i="30" s="1"/>
  <c r="KN18" i="30"/>
  <c r="KO18" i="30" s="1"/>
  <c r="KI18" i="30"/>
  <c r="KJ18" i="30" s="1"/>
  <c r="KB18" i="30"/>
  <c r="KC18" i="30" s="1"/>
  <c r="JW18" i="30"/>
  <c r="JX18" i="30" s="1"/>
  <c r="JR18" i="30"/>
  <c r="JS18" i="30" s="1"/>
  <c r="JK18" i="30"/>
  <c r="JL18" i="30" s="1"/>
  <c r="JG18" i="30"/>
  <c r="JF18" i="30"/>
  <c r="JA18" i="30"/>
  <c r="JB18" i="30" s="1"/>
  <c r="IT18" i="30"/>
  <c r="IU18" i="30" s="1"/>
  <c r="IO18" i="30"/>
  <c r="IP18" i="30" s="1"/>
  <c r="IJ18" i="30"/>
  <c r="IK18" i="30" s="1"/>
  <c r="IC18" i="30"/>
  <c r="ID18" i="30" s="1"/>
  <c r="HY18" i="30"/>
  <c r="HX18" i="30"/>
  <c r="HS18" i="30"/>
  <c r="HT18" i="30" s="1"/>
  <c r="HL18" i="30"/>
  <c r="HM18" i="30" s="1"/>
  <c r="HG18" i="30"/>
  <c r="HH18" i="30" s="1"/>
  <c r="HB18" i="30"/>
  <c r="HC18" i="30" s="1"/>
  <c r="GU18" i="30"/>
  <c r="GV18" i="30" s="1"/>
  <c r="GQ18" i="30"/>
  <c r="GP18" i="30"/>
  <c r="GK18" i="30"/>
  <c r="GL18" i="30" s="1"/>
  <c r="GD18" i="30"/>
  <c r="GE18" i="30" s="1"/>
  <c r="FY18" i="30"/>
  <c r="FZ18" i="30" s="1"/>
  <c r="FT18" i="30"/>
  <c r="FU18" i="30" s="1"/>
  <c r="FM18" i="30"/>
  <c r="FN18" i="30" s="1"/>
  <c r="FH18" i="30"/>
  <c r="FI18" i="30" s="1"/>
  <c r="FC18" i="30"/>
  <c r="FD18" i="30" s="1"/>
  <c r="EV18" i="30"/>
  <c r="EW18" i="30" s="1"/>
  <c r="EQ18" i="30"/>
  <c r="ER18" i="30" s="1"/>
  <c r="EL18" i="30"/>
  <c r="EM18" i="30" s="1"/>
  <c r="EE18" i="30"/>
  <c r="EF18" i="30" s="1"/>
  <c r="EA18" i="30"/>
  <c r="DZ18" i="30"/>
  <c r="DU18" i="30"/>
  <c r="DV18" i="30" s="1"/>
  <c r="DN18" i="30"/>
  <c r="DO18" i="30" s="1"/>
  <c r="DJ18" i="30"/>
  <c r="DI18" i="30"/>
  <c r="DD18" i="30"/>
  <c r="DE18" i="30" s="1"/>
  <c r="CW18" i="30"/>
  <c r="CX18" i="30" s="1"/>
  <c r="CR18" i="30"/>
  <c r="CS18" i="30" s="1"/>
  <c r="CM18" i="30"/>
  <c r="CF18" i="30"/>
  <c r="CG18" i="30" s="1"/>
  <c r="CA18" i="30"/>
  <c r="CB18" i="30" s="1"/>
  <c r="BV18" i="30"/>
  <c r="BQ18" i="30"/>
  <c r="BR18" i="30" s="1"/>
  <c r="BO18" i="30"/>
  <c r="BP18" i="30" s="1"/>
  <c r="BJ18" i="30"/>
  <c r="BK18" i="30" s="1"/>
  <c r="BF18" i="30"/>
  <c r="BE18" i="30"/>
  <c r="AX18" i="30"/>
  <c r="AY18" i="30" s="1"/>
  <c r="AS18" i="30"/>
  <c r="AT18" i="30" s="1"/>
  <c r="AN18" i="30"/>
  <c r="AH18" i="30"/>
  <c r="AG18" i="30"/>
  <c r="AB18" i="30"/>
  <c r="AC18" i="30" s="1"/>
  <c r="W18" i="30"/>
  <c r="AI18" i="30" s="1"/>
  <c r="AJ18" i="30" s="1"/>
  <c r="P18" i="30"/>
  <c r="Q18" i="30" s="1"/>
  <c r="K18" i="30"/>
  <c r="L18" i="30" s="1"/>
  <c r="F18" i="30"/>
  <c r="SP17" i="30"/>
  <c r="SO17" i="30"/>
  <c r="SJ17" i="30"/>
  <c r="SK17" i="30" s="1"/>
  <c r="SE17" i="30"/>
  <c r="SF17" i="30" s="1"/>
  <c r="RX17" i="30"/>
  <c r="RY17" i="30" s="1"/>
  <c r="RS17" i="30"/>
  <c r="RT17" i="30" s="1"/>
  <c r="RN17" i="30"/>
  <c r="RG17" i="30"/>
  <c r="RH17" i="30" s="1"/>
  <c r="RB17" i="30"/>
  <c r="RC17" i="30" s="1"/>
  <c r="QX17" i="30"/>
  <c r="QW17" i="30"/>
  <c r="QP17" i="30"/>
  <c r="QQ17" i="30" s="1"/>
  <c r="QK17" i="30"/>
  <c r="QL17" i="30" s="1"/>
  <c r="QF17" i="30"/>
  <c r="PY17" i="30"/>
  <c r="PZ17" i="30" s="1"/>
  <c r="PT17" i="30"/>
  <c r="PU17" i="30" s="1"/>
  <c r="PP17" i="30"/>
  <c r="PO17" i="30"/>
  <c r="PH17" i="30"/>
  <c r="PI17" i="30" s="1"/>
  <c r="PC17" i="30"/>
  <c r="PD17" i="30" s="1"/>
  <c r="OX17" i="30"/>
  <c r="OQ17" i="30"/>
  <c r="OR17" i="30" s="1"/>
  <c r="OL17" i="30"/>
  <c r="OM17" i="30" s="1"/>
  <c r="OG17" i="30"/>
  <c r="NZ17" i="30"/>
  <c r="OA17" i="30" s="1"/>
  <c r="NU17" i="30"/>
  <c r="NV17" i="30" s="1"/>
  <c r="NP17" i="30"/>
  <c r="NJ17" i="30"/>
  <c r="NI17" i="30"/>
  <c r="ND17" i="30"/>
  <c r="MY17" i="30"/>
  <c r="MZ17" i="30" s="1"/>
  <c r="MR17" i="30"/>
  <c r="MS17" i="30" s="1"/>
  <c r="MM17" i="30"/>
  <c r="MN17" i="30" s="1"/>
  <c r="MH17" i="30"/>
  <c r="MB17" i="30"/>
  <c r="MA17" i="30"/>
  <c r="LV17" i="30"/>
  <c r="LW17" i="30" s="1"/>
  <c r="LQ17" i="30"/>
  <c r="MC17" i="30" s="1"/>
  <c r="MD17" i="30" s="1"/>
  <c r="LJ17" i="30"/>
  <c r="LK17" i="30" s="1"/>
  <c r="LE17" i="30"/>
  <c r="LF17" i="30" s="1"/>
  <c r="KZ17" i="30"/>
  <c r="KT17" i="30"/>
  <c r="KS17" i="30"/>
  <c r="KN17" i="30"/>
  <c r="KI17" i="30"/>
  <c r="KJ17" i="30" s="1"/>
  <c r="KB17" i="30"/>
  <c r="KC17" i="30" s="1"/>
  <c r="JW17" i="30"/>
  <c r="JX17" i="30" s="1"/>
  <c r="JR17" i="30"/>
  <c r="JK17" i="30"/>
  <c r="JL17" i="30" s="1"/>
  <c r="JF17" i="30"/>
  <c r="JG17" i="30" s="1"/>
  <c r="JA17" i="30"/>
  <c r="IT17" i="30"/>
  <c r="IU17" i="30" s="1"/>
  <c r="IO17" i="30"/>
  <c r="IP17" i="30" s="1"/>
  <c r="IJ17" i="30"/>
  <c r="IC17" i="30"/>
  <c r="ID17" i="30" s="1"/>
  <c r="HX17" i="30"/>
  <c r="HY17" i="30" s="1"/>
  <c r="HS17" i="30"/>
  <c r="IE17" i="30" s="1"/>
  <c r="IF17" i="30" s="1"/>
  <c r="HL17" i="30"/>
  <c r="HM17" i="30" s="1"/>
  <c r="HG17" i="30"/>
  <c r="HH17" i="30" s="1"/>
  <c r="HB17" i="30"/>
  <c r="GU17" i="30"/>
  <c r="GV17" i="30" s="1"/>
  <c r="GP17" i="30"/>
  <c r="GQ17" i="30" s="1"/>
  <c r="GK17" i="30"/>
  <c r="GD17" i="30"/>
  <c r="GE17" i="30" s="1"/>
  <c r="FY17" i="30"/>
  <c r="FZ17" i="30" s="1"/>
  <c r="FT17" i="30"/>
  <c r="FM17" i="30"/>
  <c r="FN17" i="30" s="1"/>
  <c r="FH17" i="30"/>
  <c r="FI17" i="30" s="1"/>
  <c r="FC17" i="30"/>
  <c r="FO17" i="30" s="1"/>
  <c r="FP17" i="30" s="1"/>
  <c r="EV17" i="30"/>
  <c r="EW17" i="30" s="1"/>
  <c r="EQ17" i="30"/>
  <c r="ER17" i="30" s="1"/>
  <c r="EL17" i="30"/>
  <c r="EE17" i="30"/>
  <c r="EF17" i="30" s="1"/>
  <c r="DZ17" i="30"/>
  <c r="EA17" i="30" s="1"/>
  <c r="DU17" i="30"/>
  <c r="DN17" i="30"/>
  <c r="DO17" i="30" s="1"/>
  <c r="DJ17" i="30"/>
  <c r="DI17" i="30"/>
  <c r="DD17" i="30"/>
  <c r="CW17" i="30"/>
  <c r="CX17" i="30" s="1"/>
  <c r="CS17" i="30"/>
  <c r="CR17" i="30"/>
  <c r="CM17" i="30"/>
  <c r="CY17" i="30" s="1"/>
  <c r="CZ17" i="30" s="1"/>
  <c r="CF17" i="30"/>
  <c r="CG17" i="30" s="1"/>
  <c r="CB17" i="30"/>
  <c r="CA17" i="30"/>
  <c r="BV17" i="30"/>
  <c r="BO17" i="30"/>
  <c r="BP17" i="30" s="1"/>
  <c r="BK17" i="30"/>
  <c r="BJ17" i="30"/>
  <c r="BE17" i="30"/>
  <c r="BQ17" i="30" s="1"/>
  <c r="BR17" i="30" s="1"/>
  <c r="AX17" i="30"/>
  <c r="AY17" i="30" s="1"/>
  <c r="AT17" i="30"/>
  <c r="AS17" i="30"/>
  <c r="AN17" i="30"/>
  <c r="AG17" i="30"/>
  <c r="AH17" i="30" s="1"/>
  <c r="AC17" i="30"/>
  <c r="AB17" i="30"/>
  <c r="W17" i="30"/>
  <c r="AI17" i="30" s="1"/>
  <c r="AJ17" i="30" s="1"/>
  <c r="P17" i="30"/>
  <c r="Q17" i="30" s="1"/>
  <c r="L17" i="30"/>
  <c r="K17" i="30"/>
  <c r="F17" i="30"/>
  <c r="SQ16" i="30"/>
  <c r="SR16" i="30" s="1"/>
  <c r="SO16" i="30"/>
  <c r="SP16" i="30" s="1"/>
  <c r="SK16" i="30"/>
  <c r="SJ16" i="30"/>
  <c r="SE16" i="30"/>
  <c r="SF16" i="30" s="1"/>
  <c r="RZ16" i="30"/>
  <c r="SA16" i="30" s="1"/>
  <c r="RX16" i="30"/>
  <c r="RY16" i="30" s="1"/>
  <c r="RT16" i="30"/>
  <c r="RS16" i="30"/>
  <c r="RN16" i="30"/>
  <c r="RO16" i="30" s="1"/>
  <c r="RI16" i="30"/>
  <c r="RJ16" i="30" s="1"/>
  <c r="RH16" i="30"/>
  <c r="RG16" i="30"/>
  <c r="RB16" i="30"/>
  <c r="RC16" i="30" s="1"/>
  <c r="QW16" i="30"/>
  <c r="QX16" i="30" s="1"/>
  <c r="QR16" i="30"/>
  <c r="QS16" i="30" s="1"/>
  <c r="QP16" i="30"/>
  <c r="QQ16" i="30" s="1"/>
  <c r="QK16" i="30"/>
  <c r="QL16" i="30" s="1"/>
  <c r="QF16" i="30"/>
  <c r="QG16" i="30" s="1"/>
  <c r="QA16" i="30"/>
  <c r="QB16" i="30" s="1"/>
  <c r="PZ16" i="30"/>
  <c r="PY16" i="30"/>
  <c r="PT16" i="30"/>
  <c r="PU16" i="30" s="1"/>
  <c r="PO16" i="30"/>
  <c r="PP16" i="30" s="1"/>
  <c r="PJ16" i="30"/>
  <c r="PK16" i="30" s="1"/>
  <c r="PH16" i="30"/>
  <c r="PI16" i="30" s="1"/>
  <c r="PC16" i="30"/>
  <c r="PD16" i="30" s="1"/>
  <c r="OX16" i="30"/>
  <c r="OY16" i="30" s="1"/>
  <c r="OS16" i="30"/>
  <c r="OT16" i="30" s="1"/>
  <c r="OQ16" i="30"/>
  <c r="OR16" i="30" s="1"/>
  <c r="OL16" i="30"/>
  <c r="OM16" i="30" s="1"/>
  <c r="OG16" i="30"/>
  <c r="OH16" i="30" s="1"/>
  <c r="OB16" i="30"/>
  <c r="OC16" i="30" s="1"/>
  <c r="OA16" i="30"/>
  <c r="NZ16" i="30"/>
  <c r="NU16" i="30"/>
  <c r="NV16" i="30" s="1"/>
  <c r="NP16" i="30"/>
  <c r="NQ16" i="30" s="1"/>
  <c r="NK16" i="30"/>
  <c r="NL16" i="30" s="1"/>
  <c r="NI16" i="30"/>
  <c r="NJ16" i="30" s="1"/>
  <c r="ND16" i="30"/>
  <c r="NE16" i="30" s="1"/>
  <c r="MY16" i="30"/>
  <c r="MZ16" i="30" s="1"/>
  <c r="MT16" i="30"/>
  <c r="MU16" i="30" s="1"/>
  <c r="MR16" i="30"/>
  <c r="MS16" i="30" s="1"/>
  <c r="MM16" i="30"/>
  <c r="MN16" i="30" s="1"/>
  <c r="MH16" i="30"/>
  <c r="MI16" i="30" s="1"/>
  <c r="MC16" i="30"/>
  <c r="MD16" i="30" s="1"/>
  <c r="MA16" i="30"/>
  <c r="MB16" i="30" s="1"/>
  <c r="LV16" i="30"/>
  <c r="LW16" i="30" s="1"/>
  <c r="LQ16" i="30"/>
  <c r="LR16" i="30" s="1"/>
  <c r="LL16" i="30"/>
  <c r="LM16" i="30" s="1"/>
  <c r="LK16" i="30"/>
  <c r="LJ16" i="30"/>
  <c r="LE16" i="30"/>
  <c r="LF16" i="30" s="1"/>
  <c r="KZ16" i="30"/>
  <c r="LA16" i="30" s="1"/>
  <c r="KU16" i="30"/>
  <c r="KV16" i="30" s="1"/>
  <c r="KS16" i="30"/>
  <c r="KT16" i="30" s="1"/>
  <c r="KN16" i="30"/>
  <c r="KO16" i="30" s="1"/>
  <c r="KI16" i="30"/>
  <c r="KJ16" i="30" s="1"/>
  <c r="KD16" i="30"/>
  <c r="KE16" i="30" s="1"/>
  <c r="KB16" i="30"/>
  <c r="KC16" i="30" s="1"/>
  <c r="JW16" i="30"/>
  <c r="JX16" i="30" s="1"/>
  <c r="JR16" i="30"/>
  <c r="JS16" i="30" s="1"/>
  <c r="JM16" i="30"/>
  <c r="JN16" i="30" s="1"/>
  <c r="JK16" i="30"/>
  <c r="JL16" i="30" s="1"/>
  <c r="JF16" i="30"/>
  <c r="JG16" i="30" s="1"/>
  <c r="JA16" i="30"/>
  <c r="JB16" i="30" s="1"/>
  <c r="IV16" i="30"/>
  <c r="IW16" i="30" s="1"/>
  <c r="IU16" i="30"/>
  <c r="IT16" i="30"/>
  <c r="IO16" i="30"/>
  <c r="IP16" i="30" s="1"/>
  <c r="IJ16" i="30"/>
  <c r="IK16" i="30" s="1"/>
  <c r="IE16" i="30"/>
  <c r="IF16" i="30" s="1"/>
  <c r="IC16" i="30"/>
  <c r="ID16" i="30" s="1"/>
  <c r="HX16" i="30"/>
  <c r="HY16" i="30" s="1"/>
  <c r="HS16" i="30"/>
  <c r="HT16" i="30" s="1"/>
  <c r="HN16" i="30"/>
  <c r="HO16" i="30" s="1"/>
  <c r="HL16" i="30"/>
  <c r="HM16" i="30" s="1"/>
  <c r="HG16" i="30"/>
  <c r="HH16" i="30" s="1"/>
  <c r="HB16" i="30"/>
  <c r="HC16" i="30" s="1"/>
  <c r="GW16" i="30"/>
  <c r="GX16" i="30" s="1"/>
  <c r="GU16" i="30"/>
  <c r="GV16" i="30" s="1"/>
  <c r="GP16" i="30"/>
  <c r="GQ16" i="30" s="1"/>
  <c r="GK16" i="30"/>
  <c r="GL16" i="30" s="1"/>
  <c r="GF16" i="30"/>
  <c r="GG16" i="30" s="1"/>
  <c r="GE16" i="30"/>
  <c r="GD16" i="30"/>
  <c r="FY16" i="30"/>
  <c r="FZ16" i="30" s="1"/>
  <c r="FT16" i="30"/>
  <c r="FU16" i="30" s="1"/>
  <c r="FO16" i="30"/>
  <c r="FP16" i="30" s="1"/>
  <c r="FM16" i="30"/>
  <c r="FN16" i="30" s="1"/>
  <c r="FH16" i="30"/>
  <c r="FI16" i="30" s="1"/>
  <c r="FC16" i="30"/>
  <c r="FD16" i="30" s="1"/>
  <c r="EX16" i="30"/>
  <c r="EY16" i="30" s="1"/>
  <c r="EV16" i="30"/>
  <c r="EW16" i="30" s="1"/>
  <c r="EQ16" i="30"/>
  <c r="ER16" i="30" s="1"/>
  <c r="EL16" i="30"/>
  <c r="EM16" i="30" s="1"/>
  <c r="EG16" i="30"/>
  <c r="EH16" i="30" s="1"/>
  <c r="EE16" i="30"/>
  <c r="EF16" i="30" s="1"/>
  <c r="DZ16" i="30"/>
  <c r="EA16" i="30" s="1"/>
  <c r="DU16" i="30"/>
  <c r="DV16" i="30" s="1"/>
  <c r="DP16" i="30"/>
  <c r="DQ16" i="30" s="1"/>
  <c r="DO16" i="30"/>
  <c r="DN16" i="30"/>
  <c r="DI16" i="30"/>
  <c r="DJ16" i="30" s="1"/>
  <c r="DD16" i="30"/>
  <c r="DE16" i="30" s="1"/>
  <c r="CY16" i="30"/>
  <c r="CZ16" i="30" s="1"/>
  <c r="CW16" i="30"/>
  <c r="CX16" i="30" s="1"/>
  <c r="CR16" i="30"/>
  <c r="CS16" i="30" s="1"/>
  <c r="CM16" i="30"/>
  <c r="CN16" i="30" s="1"/>
  <c r="CH16" i="30"/>
  <c r="CI16" i="30" s="1"/>
  <c r="CF16" i="30"/>
  <c r="CG16" i="30" s="1"/>
  <c r="CA16" i="30"/>
  <c r="CB16" i="30" s="1"/>
  <c r="BV16" i="30"/>
  <c r="BW16" i="30" s="1"/>
  <c r="BQ16" i="30"/>
  <c r="BR16" i="30" s="1"/>
  <c r="BO16" i="30"/>
  <c r="BP16" i="30" s="1"/>
  <c r="BJ16" i="30"/>
  <c r="BK16" i="30" s="1"/>
  <c r="BE16" i="30"/>
  <c r="BF16" i="30" s="1"/>
  <c r="AZ16" i="30"/>
  <c r="BA16" i="30" s="1"/>
  <c r="AY16" i="30"/>
  <c r="AX16" i="30"/>
  <c r="AS16" i="30"/>
  <c r="AT16" i="30" s="1"/>
  <c r="AN16" i="30"/>
  <c r="AO16" i="30" s="1"/>
  <c r="AI16" i="30"/>
  <c r="AJ16" i="30" s="1"/>
  <c r="AG16" i="30"/>
  <c r="AH16" i="30" s="1"/>
  <c r="AB16" i="30"/>
  <c r="AC16" i="30" s="1"/>
  <c r="W16" i="30"/>
  <c r="X16" i="30" s="1"/>
  <c r="R16" i="30"/>
  <c r="S16" i="30" s="1"/>
  <c r="P16" i="30"/>
  <c r="Q16" i="30" s="1"/>
  <c r="K16" i="30"/>
  <c r="L16" i="30" s="1"/>
  <c r="F16" i="30"/>
  <c r="G16" i="30" s="1"/>
  <c r="SO15" i="30"/>
  <c r="SP15" i="30" s="1"/>
  <c r="SJ15" i="30"/>
  <c r="SK15" i="30" s="1"/>
  <c r="SE15" i="30"/>
  <c r="RX15" i="30"/>
  <c r="RZ15" i="30" s="1"/>
  <c r="SA15" i="30" s="1"/>
  <c r="RS15" i="30"/>
  <c r="RT15" i="30" s="1"/>
  <c r="RO15" i="30"/>
  <c r="RN15" i="30"/>
  <c r="RG15" i="30"/>
  <c r="RH15" i="30" s="1"/>
  <c r="RB15" i="30"/>
  <c r="QX15" i="30"/>
  <c r="QW15" i="30"/>
  <c r="QQ15" i="30"/>
  <c r="QP15" i="30"/>
  <c r="QK15" i="30"/>
  <c r="QL15" i="30" s="1"/>
  <c r="QF15" i="30"/>
  <c r="PY15" i="30"/>
  <c r="PZ15" i="30" s="1"/>
  <c r="PT15" i="30"/>
  <c r="PP15" i="30"/>
  <c r="PO15" i="30"/>
  <c r="PJ15" i="30"/>
  <c r="PK15" i="30" s="1"/>
  <c r="PH15" i="30"/>
  <c r="PI15" i="30" s="1"/>
  <c r="PC15" i="30"/>
  <c r="PD15" i="30" s="1"/>
  <c r="OY15" i="30"/>
  <c r="OX15" i="30"/>
  <c r="OQ15" i="30"/>
  <c r="OR15" i="30" s="1"/>
  <c r="OL15" i="30"/>
  <c r="OH15" i="30"/>
  <c r="OG15" i="30"/>
  <c r="OA15" i="30"/>
  <c r="NZ15" i="30"/>
  <c r="NU15" i="30"/>
  <c r="NV15" i="30" s="1"/>
  <c r="NP15" i="30"/>
  <c r="NI15" i="30"/>
  <c r="NJ15" i="30" s="1"/>
  <c r="ND15" i="30"/>
  <c r="MZ15" i="30"/>
  <c r="MY15" i="30"/>
  <c r="MR15" i="30"/>
  <c r="MT15" i="30" s="1"/>
  <c r="MU15" i="30" s="1"/>
  <c r="MM15" i="30"/>
  <c r="MN15" i="30" s="1"/>
  <c r="MI15" i="30"/>
  <c r="MH15" i="30"/>
  <c r="MA15" i="30"/>
  <c r="MB15" i="30" s="1"/>
  <c r="LV15" i="30"/>
  <c r="LR15" i="30"/>
  <c r="LQ15" i="30"/>
  <c r="LK15" i="30"/>
  <c r="LJ15" i="30"/>
  <c r="LE15" i="30"/>
  <c r="LF15" i="30" s="1"/>
  <c r="KZ15" i="30"/>
  <c r="KS15" i="30"/>
  <c r="KT15" i="30" s="1"/>
  <c r="KN15" i="30"/>
  <c r="KJ15" i="30"/>
  <c r="KI15" i="30"/>
  <c r="KD15" i="30"/>
  <c r="KE15" i="30" s="1"/>
  <c r="KB15" i="30"/>
  <c r="KC15" i="30" s="1"/>
  <c r="JW15" i="30"/>
  <c r="JX15" i="30" s="1"/>
  <c r="JS15" i="30"/>
  <c r="JR15" i="30"/>
  <c r="JK15" i="30"/>
  <c r="JL15" i="30" s="1"/>
  <c r="JF15" i="30"/>
  <c r="JB15" i="30"/>
  <c r="JA15" i="30"/>
  <c r="IT15" i="30"/>
  <c r="IU15" i="30" s="1"/>
  <c r="IO15" i="30"/>
  <c r="IP15" i="30" s="1"/>
  <c r="IJ15" i="30"/>
  <c r="IC15" i="30"/>
  <c r="ID15" i="30" s="1"/>
  <c r="HX15" i="30"/>
  <c r="HT15" i="30"/>
  <c r="HS15" i="30"/>
  <c r="HL15" i="30"/>
  <c r="HM15" i="30" s="1"/>
  <c r="HG15" i="30"/>
  <c r="HH15" i="30" s="1"/>
  <c r="HB15" i="30"/>
  <c r="HN15" i="30" s="1"/>
  <c r="HO15" i="30" s="1"/>
  <c r="GU15" i="30"/>
  <c r="GV15" i="30" s="1"/>
  <c r="GP15" i="30"/>
  <c r="GK15" i="30"/>
  <c r="GL15" i="30" s="1"/>
  <c r="GE15" i="30"/>
  <c r="GD15" i="30"/>
  <c r="FY15" i="30"/>
  <c r="FZ15" i="30" s="1"/>
  <c r="FT15" i="30"/>
  <c r="GF15" i="30" s="1"/>
  <c r="GG15" i="30" s="1"/>
  <c r="FN15" i="30"/>
  <c r="FM15" i="30"/>
  <c r="FH15" i="30"/>
  <c r="FI15" i="30" s="1"/>
  <c r="FC15" i="30"/>
  <c r="EX15" i="30"/>
  <c r="EY15" i="30" s="1"/>
  <c r="EV15" i="30"/>
  <c r="EW15" i="30" s="1"/>
  <c r="EQ15" i="30"/>
  <c r="ER15" i="30" s="1"/>
  <c r="EM15" i="30"/>
  <c r="EL15" i="30"/>
  <c r="EE15" i="30"/>
  <c r="EF15" i="30" s="1"/>
  <c r="DZ15" i="30"/>
  <c r="EA15" i="30" s="1"/>
  <c r="DU15" i="30"/>
  <c r="DN15" i="30"/>
  <c r="DO15" i="30" s="1"/>
  <c r="DI15" i="30"/>
  <c r="DJ15" i="30" s="1"/>
  <c r="DD15" i="30"/>
  <c r="DP15" i="30" s="1"/>
  <c r="DQ15" i="30" s="1"/>
  <c r="CW15" i="30"/>
  <c r="CX15" i="30" s="1"/>
  <c r="CR15" i="30"/>
  <c r="CS15" i="30" s="1"/>
  <c r="CM15" i="30"/>
  <c r="CF15" i="30"/>
  <c r="CG15" i="30" s="1"/>
  <c r="CA15" i="30"/>
  <c r="CB15" i="30" s="1"/>
  <c r="BV15" i="30"/>
  <c r="CH15" i="30" s="1"/>
  <c r="CI15" i="30" s="1"/>
  <c r="BO15" i="30"/>
  <c r="BP15" i="30" s="1"/>
  <c r="BJ15" i="30"/>
  <c r="BK15" i="30" s="1"/>
  <c r="BE15" i="30"/>
  <c r="AX15" i="30"/>
  <c r="AY15" i="30" s="1"/>
  <c r="AS15" i="30"/>
  <c r="AT15" i="30" s="1"/>
  <c r="AN15" i="30"/>
  <c r="AG15" i="30"/>
  <c r="AH15" i="30" s="1"/>
  <c r="AB15" i="30"/>
  <c r="AC15" i="30" s="1"/>
  <c r="W15" i="30"/>
  <c r="P15" i="30"/>
  <c r="Q15" i="30" s="1"/>
  <c r="K15" i="30"/>
  <c r="L15" i="30" s="1"/>
  <c r="F15" i="30"/>
  <c r="R15" i="30" s="1"/>
  <c r="S15" i="30" s="1"/>
  <c r="SO14" i="30"/>
  <c r="SP14" i="30" s="1"/>
  <c r="SJ14" i="30"/>
  <c r="SK14" i="30" s="1"/>
  <c r="SE14" i="30"/>
  <c r="RX14" i="30"/>
  <c r="RY14" i="30" s="1"/>
  <c r="RS14" i="30"/>
  <c r="RT14" i="30" s="1"/>
  <c r="RN14" i="30"/>
  <c r="RG14" i="30"/>
  <c r="RH14" i="30" s="1"/>
  <c r="RB14" i="30"/>
  <c r="RC14" i="30" s="1"/>
  <c r="QW14" i="30"/>
  <c r="QQ14" i="30"/>
  <c r="QP14" i="30"/>
  <c r="QK14" i="30"/>
  <c r="QL14" i="30" s="1"/>
  <c r="QF14" i="30"/>
  <c r="QR14" i="30" s="1"/>
  <c r="QS14" i="30" s="1"/>
  <c r="PY14" i="30"/>
  <c r="PZ14" i="30" s="1"/>
  <c r="PT14" i="30"/>
  <c r="PU14" i="30" s="1"/>
  <c r="PO14" i="30"/>
  <c r="PI14" i="30"/>
  <c r="PH14" i="30"/>
  <c r="PC14" i="30"/>
  <c r="PD14" i="30" s="1"/>
  <c r="OX14" i="30"/>
  <c r="PJ14" i="30" s="1"/>
  <c r="PK14" i="30" s="1"/>
  <c r="OR14" i="30"/>
  <c r="OQ14" i="30"/>
  <c r="OL14" i="30"/>
  <c r="OM14" i="30" s="1"/>
  <c r="OG14" i="30"/>
  <c r="OB14" i="30"/>
  <c r="OC14" i="30" s="1"/>
  <c r="NZ14" i="30"/>
  <c r="OA14" i="30" s="1"/>
  <c r="NU14" i="30"/>
  <c r="NV14" i="30" s="1"/>
  <c r="NQ14" i="30"/>
  <c r="NP14" i="30"/>
  <c r="NI14" i="30"/>
  <c r="NJ14" i="30" s="1"/>
  <c r="ND14" i="30"/>
  <c r="NE14" i="30" s="1"/>
  <c r="MY14" i="30"/>
  <c r="MR14" i="30"/>
  <c r="MS14" i="30" s="1"/>
  <c r="MM14" i="30"/>
  <c r="MN14" i="30" s="1"/>
  <c r="MH14" i="30"/>
  <c r="MT14" i="30" s="1"/>
  <c r="MU14" i="30" s="1"/>
  <c r="MA14" i="30"/>
  <c r="MB14" i="30" s="1"/>
  <c r="LV14" i="30"/>
  <c r="LW14" i="30" s="1"/>
  <c r="LQ14" i="30"/>
  <c r="LJ14" i="30"/>
  <c r="LK14" i="30" s="1"/>
  <c r="LE14" i="30"/>
  <c r="LF14" i="30" s="1"/>
  <c r="KZ14" i="30"/>
  <c r="LL14" i="30" s="1"/>
  <c r="LM14" i="30" s="1"/>
  <c r="KS14" i="30"/>
  <c r="KT14" i="30" s="1"/>
  <c r="KN14" i="30"/>
  <c r="KO14" i="30" s="1"/>
  <c r="KI14" i="30"/>
  <c r="KB14" i="30"/>
  <c r="KC14" i="30" s="1"/>
  <c r="JW14" i="30"/>
  <c r="JX14" i="30" s="1"/>
  <c r="JR14" i="30"/>
  <c r="JS14" i="30" s="1"/>
  <c r="JK14" i="30"/>
  <c r="JL14" i="30" s="1"/>
  <c r="JF14" i="30"/>
  <c r="JG14" i="30" s="1"/>
  <c r="JA14" i="30"/>
  <c r="JB14" i="30" s="1"/>
  <c r="IT14" i="30"/>
  <c r="IU14" i="30" s="1"/>
  <c r="IO14" i="30"/>
  <c r="IP14" i="30" s="1"/>
  <c r="IJ14" i="30"/>
  <c r="IK14" i="30" s="1"/>
  <c r="IC14" i="30"/>
  <c r="ID14" i="30" s="1"/>
  <c r="HX14" i="30"/>
  <c r="HY14" i="30" s="1"/>
  <c r="HS14" i="30"/>
  <c r="HT14" i="30" s="1"/>
  <c r="HL14" i="30"/>
  <c r="HM14" i="30" s="1"/>
  <c r="HG14" i="30"/>
  <c r="HH14" i="30" s="1"/>
  <c r="HB14" i="30"/>
  <c r="HC14" i="30" s="1"/>
  <c r="GU14" i="30"/>
  <c r="GV14" i="30" s="1"/>
  <c r="GP14" i="30"/>
  <c r="GQ14" i="30" s="1"/>
  <c r="GK14" i="30"/>
  <c r="GL14" i="30" s="1"/>
  <c r="GD14" i="30"/>
  <c r="GE14" i="30" s="1"/>
  <c r="FZ14" i="30"/>
  <c r="FY14" i="30"/>
  <c r="FT14" i="30"/>
  <c r="FU14" i="30" s="1"/>
  <c r="FM14" i="30"/>
  <c r="FN14" i="30" s="1"/>
  <c r="FH14" i="30"/>
  <c r="FI14" i="30" s="1"/>
  <c r="FC14" i="30"/>
  <c r="FD14" i="30" s="1"/>
  <c r="EV14" i="30"/>
  <c r="EW14" i="30" s="1"/>
  <c r="EQ14" i="30"/>
  <c r="ER14" i="30" s="1"/>
  <c r="EL14" i="30"/>
  <c r="EM14" i="30" s="1"/>
  <c r="EE14" i="30"/>
  <c r="EF14" i="30" s="1"/>
  <c r="DZ14" i="30"/>
  <c r="EA14" i="30" s="1"/>
  <c r="DU14" i="30"/>
  <c r="DV14" i="30" s="1"/>
  <c r="DN14" i="30"/>
  <c r="DO14" i="30" s="1"/>
  <c r="DI14" i="30"/>
  <c r="DJ14" i="30" s="1"/>
  <c r="DD14" i="30"/>
  <c r="DE14" i="30" s="1"/>
  <c r="CW14" i="30"/>
  <c r="CX14" i="30" s="1"/>
  <c r="CR14" i="30"/>
  <c r="CS14" i="30" s="1"/>
  <c r="CM14" i="30"/>
  <c r="CN14" i="30" s="1"/>
  <c r="CF14" i="30"/>
  <c r="CG14" i="30" s="1"/>
  <c r="CA14" i="30"/>
  <c r="CB14" i="30" s="1"/>
  <c r="BV14" i="30"/>
  <c r="BW14" i="30" s="1"/>
  <c r="BO14" i="30"/>
  <c r="BP14" i="30" s="1"/>
  <c r="BJ14" i="30"/>
  <c r="BK14" i="30" s="1"/>
  <c r="BE14" i="30"/>
  <c r="BF14" i="30" s="1"/>
  <c r="AX14" i="30"/>
  <c r="AY14" i="30" s="1"/>
  <c r="AT14" i="30"/>
  <c r="AS14" i="30"/>
  <c r="AN14" i="30"/>
  <c r="AO14" i="30" s="1"/>
  <c r="AG14" i="30"/>
  <c r="AH14" i="30" s="1"/>
  <c r="AB14" i="30"/>
  <c r="AC14" i="30" s="1"/>
  <c r="W14" i="30"/>
  <c r="X14" i="30" s="1"/>
  <c r="P14" i="30"/>
  <c r="Q14" i="30" s="1"/>
  <c r="K14" i="30"/>
  <c r="L14" i="30" s="1"/>
  <c r="F14" i="30"/>
  <c r="G14" i="30" s="1"/>
  <c r="SQ13" i="30"/>
  <c r="SR13" i="30" s="1"/>
  <c r="SO13" i="30"/>
  <c r="SP13" i="30" s="1"/>
  <c r="SJ13" i="30"/>
  <c r="SK13" i="30" s="1"/>
  <c r="SE13" i="30"/>
  <c r="SF13" i="30" s="1"/>
  <c r="RZ13" i="30"/>
  <c r="SA13" i="30" s="1"/>
  <c r="RX13" i="30"/>
  <c r="RY13" i="30" s="1"/>
  <c r="RS13" i="30"/>
  <c r="RT13" i="30" s="1"/>
  <c r="RN13" i="30"/>
  <c r="RO13" i="30" s="1"/>
  <c r="RJ13" i="30"/>
  <c r="RI13" i="30"/>
  <c r="RG13" i="30"/>
  <c r="RH13" i="30" s="1"/>
  <c r="RB13" i="30"/>
  <c r="RC13" i="30" s="1"/>
  <c r="QW13" i="30"/>
  <c r="QX13" i="30" s="1"/>
  <c r="QR13" i="30"/>
  <c r="QS13" i="30" s="1"/>
  <c r="QP13" i="30"/>
  <c r="QQ13" i="30" s="1"/>
  <c r="QK13" i="30"/>
  <c r="QL13" i="30" s="1"/>
  <c r="QF13" i="30"/>
  <c r="QG13" i="30" s="1"/>
  <c r="QA13" i="30"/>
  <c r="QB13" i="30" s="1"/>
  <c r="PY13" i="30"/>
  <c r="PZ13" i="30" s="1"/>
  <c r="PT13" i="30"/>
  <c r="PU13" i="30" s="1"/>
  <c r="PO13" i="30"/>
  <c r="PP13" i="30" s="1"/>
  <c r="PJ13" i="30"/>
  <c r="PK13" i="30" s="1"/>
  <c r="PH13" i="30"/>
  <c r="PI13" i="30" s="1"/>
  <c r="PC13" i="30"/>
  <c r="PD13" i="30" s="1"/>
  <c r="OX13" i="30"/>
  <c r="OY13" i="30" s="1"/>
  <c r="OT13" i="30"/>
  <c r="OS13" i="30"/>
  <c r="OQ13" i="30"/>
  <c r="OR13" i="30" s="1"/>
  <c r="OL13" i="30"/>
  <c r="OM13" i="30" s="1"/>
  <c r="OG13" i="30"/>
  <c r="OH13" i="30" s="1"/>
  <c r="OB13" i="30"/>
  <c r="OC13" i="30" s="1"/>
  <c r="NZ13" i="30"/>
  <c r="OA13" i="30" s="1"/>
  <c r="NU13" i="30"/>
  <c r="NV13" i="30" s="1"/>
  <c r="NP13" i="30"/>
  <c r="NQ13" i="30" s="1"/>
  <c r="NK13" i="30"/>
  <c r="NL13" i="30" s="1"/>
  <c r="NI13" i="30"/>
  <c r="NJ13" i="30" s="1"/>
  <c r="ND13" i="30"/>
  <c r="NE13" i="30" s="1"/>
  <c r="MY13" i="30"/>
  <c r="MZ13" i="30" s="1"/>
  <c r="MT13" i="30"/>
  <c r="MU13" i="30" s="1"/>
  <c r="MR13" i="30"/>
  <c r="MS13" i="30" s="1"/>
  <c r="MM13" i="30"/>
  <c r="MN13" i="30" s="1"/>
  <c r="MH13" i="30"/>
  <c r="MI13" i="30" s="1"/>
  <c r="MD13" i="30"/>
  <c r="MC13" i="30"/>
  <c r="MA13" i="30"/>
  <c r="MB13" i="30" s="1"/>
  <c r="LV13" i="30"/>
  <c r="LW13" i="30" s="1"/>
  <c r="LQ13" i="30"/>
  <c r="LR13" i="30" s="1"/>
  <c r="LL13" i="30"/>
  <c r="LM13" i="30" s="1"/>
  <c r="LJ13" i="30"/>
  <c r="LK13" i="30" s="1"/>
  <c r="LE13" i="30"/>
  <c r="LF13" i="30" s="1"/>
  <c r="KZ13" i="30"/>
  <c r="LA13" i="30" s="1"/>
  <c r="KU13" i="30"/>
  <c r="KV13" i="30" s="1"/>
  <c r="KS13" i="30"/>
  <c r="KT13" i="30" s="1"/>
  <c r="KN13" i="30"/>
  <c r="KO13" i="30" s="1"/>
  <c r="KI13" i="30"/>
  <c r="KJ13" i="30" s="1"/>
  <c r="KD13" i="30"/>
  <c r="KE13" i="30" s="1"/>
  <c r="KB13" i="30"/>
  <c r="KC13" i="30" s="1"/>
  <c r="JW13" i="30"/>
  <c r="JX13" i="30" s="1"/>
  <c r="JR13" i="30"/>
  <c r="JS13" i="30" s="1"/>
  <c r="JN13" i="30"/>
  <c r="JM13" i="30"/>
  <c r="JK13" i="30"/>
  <c r="JL13" i="30" s="1"/>
  <c r="JF13" i="30"/>
  <c r="JG13" i="30" s="1"/>
  <c r="JA13" i="30"/>
  <c r="JB13" i="30" s="1"/>
  <c r="IV13" i="30"/>
  <c r="IW13" i="30" s="1"/>
  <c r="IT13" i="30"/>
  <c r="IU13" i="30" s="1"/>
  <c r="IO13" i="30"/>
  <c r="IP13" i="30" s="1"/>
  <c r="IJ13" i="30"/>
  <c r="IK13" i="30" s="1"/>
  <c r="IE13" i="30"/>
  <c r="IF13" i="30" s="1"/>
  <c r="IC13" i="30"/>
  <c r="ID13" i="30" s="1"/>
  <c r="HX13" i="30"/>
  <c r="HY13" i="30" s="1"/>
  <c r="HS13" i="30"/>
  <c r="HT13" i="30" s="1"/>
  <c r="HN13" i="30"/>
  <c r="HO13" i="30" s="1"/>
  <c r="HL13" i="30"/>
  <c r="HM13" i="30" s="1"/>
  <c r="HG13" i="30"/>
  <c r="HH13" i="30" s="1"/>
  <c r="HB13" i="30"/>
  <c r="HC13" i="30" s="1"/>
  <c r="GX13" i="30"/>
  <c r="GW13" i="30"/>
  <c r="GU13" i="30"/>
  <c r="GV13" i="30" s="1"/>
  <c r="GP13" i="30"/>
  <c r="GQ13" i="30" s="1"/>
  <c r="GK13" i="30"/>
  <c r="GL13" i="30" s="1"/>
  <c r="GF13" i="30"/>
  <c r="GG13" i="30" s="1"/>
  <c r="GD13" i="30"/>
  <c r="GE13" i="30" s="1"/>
  <c r="FY13" i="30"/>
  <c r="FZ13" i="30" s="1"/>
  <c r="FT13" i="30"/>
  <c r="FU13" i="30" s="1"/>
  <c r="FO13" i="30"/>
  <c r="FP13" i="30" s="1"/>
  <c r="FM13" i="30"/>
  <c r="FN13" i="30" s="1"/>
  <c r="FH13" i="30"/>
  <c r="FI13" i="30" s="1"/>
  <c r="FC13" i="30"/>
  <c r="FD13" i="30" s="1"/>
  <c r="EX13" i="30"/>
  <c r="EY13" i="30" s="1"/>
  <c r="EV13" i="30"/>
  <c r="EW13" i="30" s="1"/>
  <c r="EQ13" i="30"/>
  <c r="ER13" i="30" s="1"/>
  <c r="EL13" i="30"/>
  <c r="EM13" i="30" s="1"/>
  <c r="EH13" i="30"/>
  <c r="EG13" i="30"/>
  <c r="EE13" i="30"/>
  <c r="EF13" i="30" s="1"/>
  <c r="DZ13" i="30"/>
  <c r="EA13" i="30" s="1"/>
  <c r="DU13" i="30"/>
  <c r="DV13" i="30" s="1"/>
  <c r="DP13" i="30"/>
  <c r="DQ13" i="30" s="1"/>
  <c r="DN13" i="30"/>
  <c r="DO13" i="30" s="1"/>
  <c r="DI13" i="30"/>
  <c r="DJ13" i="30" s="1"/>
  <c r="DD13" i="30"/>
  <c r="DE13" i="30" s="1"/>
  <c r="CY13" i="30"/>
  <c r="CZ13" i="30" s="1"/>
  <c r="CW13" i="30"/>
  <c r="CX13" i="30" s="1"/>
  <c r="CR13" i="30"/>
  <c r="CS13" i="30" s="1"/>
  <c r="CM13" i="30"/>
  <c r="CN13" i="30" s="1"/>
  <c r="CH13" i="30"/>
  <c r="CI13" i="30" s="1"/>
  <c r="CF13" i="30"/>
  <c r="CG13" i="30" s="1"/>
  <c r="CA13" i="30"/>
  <c r="CB13" i="30" s="1"/>
  <c r="BV13" i="30"/>
  <c r="BW13" i="30" s="1"/>
  <c r="BR13" i="30"/>
  <c r="BQ13" i="30"/>
  <c r="BO13" i="30"/>
  <c r="BP13" i="30" s="1"/>
  <c r="BJ13" i="30"/>
  <c r="BK13" i="30" s="1"/>
  <c r="BE13" i="30"/>
  <c r="BF13" i="30" s="1"/>
  <c r="AZ13" i="30"/>
  <c r="BA13" i="30" s="1"/>
  <c r="AX13" i="30"/>
  <c r="AY13" i="30" s="1"/>
  <c r="AS13" i="30"/>
  <c r="AT13" i="30" s="1"/>
  <c r="AN13" i="30"/>
  <c r="AO13" i="30" s="1"/>
  <c r="AI13" i="30"/>
  <c r="AJ13" i="30" s="1"/>
  <c r="AG13" i="30"/>
  <c r="AH13" i="30" s="1"/>
  <c r="AB13" i="30"/>
  <c r="AC13" i="30" s="1"/>
  <c r="W13" i="30"/>
  <c r="X13" i="30" s="1"/>
  <c r="R13" i="30"/>
  <c r="S13" i="30" s="1"/>
  <c r="P13" i="30"/>
  <c r="Q13" i="30" s="1"/>
  <c r="K13" i="30"/>
  <c r="L13" i="30" s="1"/>
  <c r="F13" i="30"/>
  <c r="G13" i="30" s="1"/>
  <c r="SO12" i="30"/>
  <c r="SP12" i="30" s="1"/>
  <c r="SJ12" i="30"/>
  <c r="SK12" i="30" s="1"/>
  <c r="SE12" i="30"/>
  <c r="SF12" i="30" s="1"/>
  <c r="RX12" i="30"/>
  <c r="RY12" i="30" s="1"/>
  <c r="RT12" i="30"/>
  <c r="RS12" i="30"/>
  <c r="RN12" i="30"/>
  <c r="RO12" i="30" s="1"/>
  <c r="RG12" i="30"/>
  <c r="RH12" i="30" s="1"/>
  <c r="RB12" i="30"/>
  <c r="RC12" i="30" s="1"/>
  <c r="QW12" i="30"/>
  <c r="QX12" i="30" s="1"/>
  <c r="QP12" i="30"/>
  <c r="QQ12" i="30" s="1"/>
  <c r="QK12" i="30"/>
  <c r="QL12" i="30" s="1"/>
  <c r="QF12" i="30"/>
  <c r="QG12" i="30" s="1"/>
  <c r="PY12" i="30"/>
  <c r="PZ12" i="30" s="1"/>
  <c r="PT12" i="30"/>
  <c r="PU12" i="30" s="1"/>
  <c r="PO12" i="30"/>
  <c r="PP12" i="30" s="1"/>
  <c r="PH12" i="30"/>
  <c r="PI12" i="30" s="1"/>
  <c r="PC12" i="30"/>
  <c r="PD12" i="30" s="1"/>
  <c r="OX12" i="30"/>
  <c r="OY12" i="30" s="1"/>
  <c r="OQ12" i="30"/>
  <c r="OR12" i="30" s="1"/>
  <c r="OL12" i="30"/>
  <c r="OM12" i="30" s="1"/>
  <c r="OG12" i="30"/>
  <c r="OH12" i="30" s="1"/>
  <c r="NZ12" i="30"/>
  <c r="OA12" i="30" s="1"/>
  <c r="NU12" i="30"/>
  <c r="NV12" i="30" s="1"/>
  <c r="NP12" i="30"/>
  <c r="NQ12" i="30" s="1"/>
  <c r="NI12" i="30"/>
  <c r="NJ12" i="30" s="1"/>
  <c r="ND12" i="30"/>
  <c r="NE12" i="30" s="1"/>
  <c r="MY12" i="30"/>
  <c r="MZ12" i="30" s="1"/>
  <c r="MR12" i="30"/>
  <c r="MS12" i="30" s="1"/>
  <c r="MN12" i="30"/>
  <c r="MM12" i="30"/>
  <c r="MH12" i="30"/>
  <c r="MI12" i="30" s="1"/>
  <c r="MA12" i="30"/>
  <c r="MB12" i="30" s="1"/>
  <c r="LV12" i="30"/>
  <c r="LW12" i="30" s="1"/>
  <c r="LQ12" i="30"/>
  <c r="LR12" i="30" s="1"/>
  <c r="LJ12" i="30"/>
  <c r="LK12" i="30" s="1"/>
  <c r="LE12" i="30"/>
  <c r="LF12" i="30" s="1"/>
  <c r="KZ12" i="30"/>
  <c r="LA12" i="30" s="1"/>
  <c r="KS12" i="30"/>
  <c r="KT12" i="30" s="1"/>
  <c r="KN12" i="30"/>
  <c r="KO12" i="30" s="1"/>
  <c r="KI12" i="30"/>
  <c r="KJ12" i="30" s="1"/>
  <c r="KB12" i="30"/>
  <c r="KC12" i="30" s="1"/>
  <c r="JW12" i="30"/>
  <c r="JX12" i="30" s="1"/>
  <c r="JR12" i="30"/>
  <c r="JS12" i="30" s="1"/>
  <c r="JK12" i="30"/>
  <c r="JL12" i="30" s="1"/>
  <c r="JF12" i="30"/>
  <c r="JG12" i="30" s="1"/>
  <c r="JA12" i="30"/>
  <c r="JB12" i="30" s="1"/>
  <c r="IT12" i="30"/>
  <c r="IU12" i="30" s="1"/>
  <c r="IO12" i="30"/>
  <c r="IP12" i="30" s="1"/>
  <c r="IJ12" i="30"/>
  <c r="IK12" i="30" s="1"/>
  <c r="IC12" i="30"/>
  <c r="ID12" i="30" s="1"/>
  <c r="HX12" i="30"/>
  <c r="HY12" i="30" s="1"/>
  <c r="HS12" i="30"/>
  <c r="HT12" i="30" s="1"/>
  <c r="HL12" i="30"/>
  <c r="HM12" i="30" s="1"/>
  <c r="HH12" i="30"/>
  <c r="HG12" i="30"/>
  <c r="HB12" i="30"/>
  <c r="HC12" i="30" s="1"/>
  <c r="GU12" i="30"/>
  <c r="GV12" i="30" s="1"/>
  <c r="GP12" i="30"/>
  <c r="GQ12" i="30" s="1"/>
  <c r="GK12" i="30"/>
  <c r="GL12" i="30" s="1"/>
  <c r="GD12" i="30"/>
  <c r="GE12" i="30" s="1"/>
  <c r="FY12" i="30"/>
  <c r="FZ12" i="30" s="1"/>
  <c r="FT12" i="30"/>
  <c r="FU12" i="30" s="1"/>
  <c r="FM12" i="30"/>
  <c r="FN12" i="30" s="1"/>
  <c r="FH12" i="30"/>
  <c r="FI12" i="30" s="1"/>
  <c r="FC12" i="30"/>
  <c r="FD12" i="30" s="1"/>
  <c r="EV12" i="30"/>
  <c r="EW12" i="30" s="1"/>
  <c r="EQ12" i="30"/>
  <c r="ER12" i="30" s="1"/>
  <c r="EL12" i="30"/>
  <c r="EM12" i="30" s="1"/>
  <c r="EE12" i="30"/>
  <c r="EF12" i="30" s="1"/>
  <c r="DZ12" i="30"/>
  <c r="EA12" i="30" s="1"/>
  <c r="DU12" i="30"/>
  <c r="DV12" i="30" s="1"/>
  <c r="DN12" i="30"/>
  <c r="DO12" i="30" s="1"/>
  <c r="DI12" i="30"/>
  <c r="DJ12" i="30" s="1"/>
  <c r="DD12" i="30"/>
  <c r="DE12" i="30" s="1"/>
  <c r="CW12" i="30"/>
  <c r="CX12" i="30" s="1"/>
  <c r="CR12" i="30"/>
  <c r="CS12" i="30" s="1"/>
  <c r="CM12" i="30"/>
  <c r="CN12" i="30" s="1"/>
  <c r="CF12" i="30"/>
  <c r="CG12" i="30" s="1"/>
  <c r="CB12" i="30"/>
  <c r="CA12" i="30"/>
  <c r="BV12" i="30"/>
  <c r="BW12" i="30" s="1"/>
  <c r="BO12" i="30"/>
  <c r="BP12" i="30" s="1"/>
  <c r="BJ12" i="30"/>
  <c r="BK12" i="30" s="1"/>
  <c r="BE12" i="30"/>
  <c r="BF12" i="30" s="1"/>
  <c r="AX12" i="30"/>
  <c r="AY12" i="30" s="1"/>
  <c r="AS12" i="30"/>
  <c r="AT12" i="30" s="1"/>
  <c r="AN12" i="30"/>
  <c r="AO12" i="30" s="1"/>
  <c r="AG12" i="30"/>
  <c r="AH12" i="30" s="1"/>
  <c r="AB12" i="30"/>
  <c r="AC12" i="30" s="1"/>
  <c r="W12" i="30"/>
  <c r="X12" i="30" s="1"/>
  <c r="P12" i="30"/>
  <c r="Q12" i="30" s="1"/>
  <c r="K12" i="30"/>
  <c r="L12" i="30" s="1"/>
  <c r="F12" i="30"/>
  <c r="G12" i="30" s="1"/>
  <c r="SO11" i="30"/>
  <c r="SP11" i="30" s="1"/>
  <c r="SJ11" i="30"/>
  <c r="SK11" i="30" s="1"/>
  <c r="SE11" i="30"/>
  <c r="SF11" i="30" s="1"/>
  <c r="RX11" i="30"/>
  <c r="RY11" i="30" s="1"/>
  <c r="RS11" i="30"/>
  <c r="RT11" i="30" s="1"/>
  <c r="RN11" i="30"/>
  <c r="RO11" i="30" s="1"/>
  <c r="RG11" i="30"/>
  <c r="RH11" i="30" s="1"/>
  <c r="RB11" i="30"/>
  <c r="RC11" i="30" s="1"/>
  <c r="QW11" i="30"/>
  <c r="QX11" i="30" s="1"/>
  <c r="QP11" i="30"/>
  <c r="QQ11" i="30" s="1"/>
  <c r="QL11" i="30"/>
  <c r="QK11" i="30"/>
  <c r="QF11" i="30"/>
  <c r="QG11" i="30" s="1"/>
  <c r="PY11" i="30"/>
  <c r="PZ11" i="30" s="1"/>
  <c r="PT11" i="30"/>
  <c r="PU11" i="30" s="1"/>
  <c r="PO11" i="30"/>
  <c r="PP11" i="30" s="1"/>
  <c r="PH11" i="30"/>
  <c r="PI11" i="30" s="1"/>
  <c r="PC11" i="30"/>
  <c r="PD11" i="30" s="1"/>
  <c r="OX11" i="30"/>
  <c r="OY11" i="30" s="1"/>
  <c r="OQ11" i="30"/>
  <c r="OR11" i="30" s="1"/>
  <c r="OL11" i="30"/>
  <c r="OM11" i="30" s="1"/>
  <c r="OG11" i="30"/>
  <c r="OH11" i="30" s="1"/>
  <c r="NZ11" i="30"/>
  <c r="OA11" i="30" s="1"/>
  <c r="NU11" i="30"/>
  <c r="NV11" i="30" s="1"/>
  <c r="NP11" i="30"/>
  <c r="NQ11" i="30" s="1"/>
  <c r="NI11" i="30"/>
  <c r="NJ11" i="30" s="1"/>
  <c r="ND11" i="30"/>
  <c r="NE11" i="30" s="1"/>
  <c r="MY11" i="30"/>
  <c r="MZ11" i="30" s="1"/>
  <c r="MR11" i="30"/>
  <c r="MS11" i="30" s="1"/>
  <c r="MM11" i="30"/>
  <c r="MN11" i="30" s="1"/>
  <c r="MH11" i="30"/>
  <c r="MI11" i="30" s="1"/>
  <c r="MA11" i="30"/>
  <c r="MB11" i="30" s="1"/>
  <c r="LV11" i="30"/>
  <c r="LW11" i="30" s="1"/>
  <c r="LQ11" i="30"/>
  <c r="LR11" i="30" s="1"/>
  <c r="LJ11" i="30"/>
  <c r="LK11" i="30" s="1"/>
  <c r="LF11" i="30"/>
  <c r="LE11" i="30"/>
  <c r="KZ11" i="30"/>
  <c r="LA11" i="30" s="1"/>
  <c r="KS11" i="30"/>
  <c r="KT11" i="30" s="1"/>
  <c r="KN11" i="30"/>
  <c r="KO11" i="30" s="1"/>
  <c r="KI11" i="30"/>
  <c r="KJ11" i="30" s="1"/>
  <c r="KB11" i="30"/>
  <c r="KC11" i="30" s="1"/>
  <c r="JW11" i="30"/>
  <c r="JX11" i="30" s="1"/>
  <c r="JR11" i="30"/>
  <c r="JS11" i="30" s="1"/>
  <c r="JK11" i="30"/>
  <c r="JL11" i="30" s="1"/>
  <c r="JF11" i="30"/>
  <c r="JG11" i="30" s="1"/>
  <c r="JA11" i="30"/>
  <c r="JB11" i="30" s="1"/>
  <c r="IT11" i="30"/>
  <c r="IU11" i="30" s="1"/>
  <c r="IO11" i="30"/>
  <c r="IP11" i="30" s="1"/>
  <c r="IJ11" i="30"/>
  <c r="IK11" i="30" s="1"/>
  <c r="IC11" i="30"/>
  <c r="ID11" i="30" s="1"/>
  <c r="HX11" i="30"/>
  <c r="HY11" i="30" s="1"/>
  <c r="HS11" i="30"/>
  <c r="HT11" i="30" s="1"/>
  <c r="HL11" i="30"/>
  <c r="HM11" i="30" s="1"/>
  <c r="HG11" i="30"/>
  <c r="HH11" i="30" s="1"/>
  <c r="HB11" i="30"/>
  <c r="HC11" i="30" s="1"/>
  <c r="GU11" i="30"/>
  <c r="GV11" i="30" s="1"/>
  <c r="GP11" i="30"/>
  <c r="GQ11" i="30" s="1"/>
  <c r="GK11" i="30"/>
  <c r="GL11" i="30" s="1"/>
  <c r="GD11" i="30"/>
  <c r="GE11" i="30" s="1"/>
  <c r="FY11" i="30"/>
  <c r="FZ11" i="30" s="1"/>
  <c r="FT11" i="30"/>
  <c r="FU11" i="30" s="1"/>
  <c r="FM11" i="30"/>
  <c r="FN11" i="30" s="1"/>
  <c r="FH11" i="30"/>
  <c r="FI11" i="30" s="1"/>
  <c r="FC11" i="30"/>
  <c r="FD11" i="30" s="1"/>
  <c r="EV11" i="30"/>
  <c r="EW11" i="30" s="1"/>
  <c r="EQ11" i="30"/>
  <c r="ER11" i="30" s="1"/>
  <c r="EL11" i="30"/>
  <c r="EM11" i="30" s="1"/>
  <c r="EE11" i="30"/>
  <c r="EF11" i="30" s="1"/>
  <c r="DZ11" i="30"/>
  <c r="EA11" i="30" s="1"/>
  <c r="DU11" i="30"/>
  <c r="DV11" i="30" s="1"/>
  <c r="DN11" i="30"/>
  <c r="DO11" i="30" s="1"/>
  <c r="DI11" i="30"/>
  <c r="DJ11" i="30" s="1"/>
  <c r="DD11" i="30"/>
  <c r="DE11" i="30" s="1"/>
  <c r="CW11" i="30"/>
  <c r="CX11" i="30" s="1"/>
  <c r="CR11" i="30"/>
  <c r="CS11" i="30" s="1"/>
  <c r="CM11" i="30"/>
  <c r="CN11" i="30" s="1"/>
  <c r="CF11" i="30"/>
  <c r="CG11" i="30" s="1"/>
  <c r="CA11" i="30"/>
  <c r="CB11" i="30" s="1"/>
  <c r="BV11" i="30"/>
  <c r="BW11" i="30" s="1"/>
  <c r="BO11" i="30"/>
  <c r="BP11" i="30" s="1"/>
  <c r="BJ11" i="30"/>
  <c r="BK11" i="30" s="1"/>
  <c r="BE11" i="30"/>
  <c r="BF11" i="30" s="1"/>
  <c r="AX11" i="30"/>
  <c r="AY11" i="30" s="1"/>
  <c r="AS11" i="30"/>
  <c r="AT11" i="30" s="1"/>
  <c r="AN11" i="30"/>
  <c r="AO11" i="30" s="1"/>
  <c r="AG11" i="30"/>
  <c r="AH11" i="30" s="1"/>
  <c r="AB11" i="30"/>
  <c r="AC11" i="30" s="1"/>
  <c r="W11" i="30"/>
  <c r="X11" i="30" s="1"/>
  <c r="P11" i="30"/>
  <c r="Q11" i="30" s="1"/>
  <c r="K11" i="30"/>
  <c r="L11" i="30" s="1"/>
  <c r="F11" i="30"/>
  <c r="G11" i="30" s="1"/>
  <c r="SQ10" i="30"/>
  <c r="SR10" i="30" s="1"/>
  <c r="SO10" i="30"/>
  <c r="SP10" i="30" s="1"/>
  <c r="SJ10" i="30"/>
  <c r="SK10" i="30" s="1"/>
  <c r="SE10" i="30"/>
  <c r="SF10" i="30" s="1"/>
  <c r="RZ10" i="30"/>
  <c r="SA10" i="30" s="1"/>
  <c r="RX10" i="30"/>
  <c r="RY10" i="30" s="1"/>
  <c r="RS10" i="30"/>
  <c r="RT10" i="30" s="1"/>
  <c r="RN10" i="30"/>
  <c r="RO10" i="30" s="1"/>
  <c r="RI10" i="30"/>
  <c r="RJ10" i="30" s="1"/>
  <c r="RG10" i="30"/>
  <c r="RH10" i="30" s="1"/>
  <c r="RB10" i="30"/>
  <c r="RC10" i="30" s="1"/>
  <c r="QW10" i="30"/>
  <c r="QX10" i="30" s="1"/>
  <c r="QR10" i="30"/>
  <c r="QS10" i="30" s="1"/>
  <c r="QP10" i="30"/>
  <c r="QQ10" i="30" s="1"/>
  <c r="QK10" i="30"/>
  <c r="QL10" i="30" s="1"/>
  <c r="QF10" i="30"/>
  <c r="QG10" i="30" s="1"/>
  <c r="QA10" i="30"/>
  <c r="QB10" i="30" s="1"/>
  <c r="PY10" i="30"/>
  <c r="PZ10" i="30" s="1"/>
  <c r="PT10" i="30"/>
  <c r="PU10" i="30" s="1"/>
  <c r="PO10" i="30"/>
  <c r="PP10" i="30" s="1"/>
  <c r="PJ10" i="30"/>
  <c r="PK10" i="30" s="1"/>
  <c r="PH10" i="30"/>
  <c r="PI10" i="30" s="1"/>
  <c r="PC10" i="30"/>
  <c r="PD10" i="30" s="1"/>
  <c r="OX10" i="30"/>
  <c r="OY10" i="30" s="1"/>
  <c r="OS10" i="30"/>
  <c r="OT10" i="30" s="1"/>
  <c r="OQ10" i="30"/>
  <c r="OR10" i="30" s="1"/>
  <c r="OL10" i="30"/>
  <c r="OM10" i="30" s="1"/>
  <c r="OG10" i="30"/>
  <c r="OH10" i="30" s="1"/>
  <c r="OC10" i="30"/>
  <c r="OB10" i="30"/>
  <c r="NZ10" i="30"/>
  <c r="OA10" i="30" s="1"/>
  <c r="NU10" i="30"/>
  <c r="NV10" i="30" s="1"/>
  <c r="NP10" i="30"/>
  <c r="NQ10" i="30" s="1"/>
  <c r="NK10" i="30"/>
  <c r="NL10" i="30" s="1"/>
  <c r="NI10" i="30"/>
  <c r="NJ10" i="30" s="1"/>
  <c r="ND10" i="30"/>
  <c r="NE10" i="30" s="1"/>
  <c r="MY10" i="30"/>
  <c r="MZ10" i="30" s="1"/>
  <c r="MT10" i="30"/>
  <c r="MU10" i="30" s="1"/>
  <c r="MR10" i="30"/>
  <c r="MS10" i="30" s="1"/>
  <c r="MM10" i="30"/>
  <c r="MN10" i="30" s="1"/>
  <c r="MH10" i="30"/>
  <c r="MI10" i="30" s="1"/>
  <c r="MC10" i="30"/>
  <c r="MD10" i="30" s="1"/>
  <c r="MA10" i="30"/>
  <c r="MB10" i="30" s="1"/>
  <c r="LV10" i="30"/>
  <c r="LW10" i="30" s="1"/>
  <c r="LQ10" i="30"/>
  <c r="LR10" i="30" s="1"/>
  <c r="LM10" i="30"/>
  <c r="LL10" i="30"/>
  <c r="LJ10" i="30"/>
  <c r="LK10" i="30" s="1"/>
  <c r="LE10" i="30"/>
  <c r="LF10" i="30" s="1"/>
  <c r="KZ10" i="30"/>
  <c r="LA10" i="30" s="1"/>
  <c r="KU10" i="30"/>
  <c r="KV10" i="30" s="1"/>
  <c r="KS10" i="30"/>
  <c r="KT10" i="30" s="1"/>
  <c r="KN10" i="30"/>
  <c r="KO10" i="30" s="1"/>
  <c r="KI10" i="30"/>
  <c r="KJ10" i="30" s="1"/>
  <c r="KD10" i="30"/>
  <c r="KE10" i="30" s="1"/>
  <c r="KB10" i="30"/>
  <c r="KC10" i="30" s="1"/>
  <c r="JW10" i="30"/>
  <c r="JX10" i="30" s="1"/>
  <c r="JR10" i="30"/>
  <c r="JS10" i="30" s="1"/>
  <c r="JM10" i="30"/>
  <c r="JN10" i="30" s="1"/>
  <c r="JK10" i="30"/>
  <c r="JL10" i="30" s="1"/>
  <c r="JF10" i="30"/>
  <c r="JG10" i="30" s="1"/>
  <c r="JA10" i="30"/>
  <c r="JB10" i="30" s="1"/>
  <c r="IW10" i="30"/>
  <c r="IV10" i="30"/>
  <c r="IT10" i="30"/>
  <c r="IU10" i="30" s="1"/>
  <c r="IO10" i="30"/>
  <c r="IP10" i="30" s="1"/>
  <c r="IJ10" i="30"/>
  <c r="IK10" i="30" s="1"/>
  <c r="IE10" i="30"/>
  <c r="IF10" i="30" s="1"/>
  <c r="IC10" i="30"/>
  <c r="ID10" i="30" s="1"/>
  <c r="HX10" i="30"/>
  <c r="HY10" i="30" s="1"/>
  <c r="HS10" i="30"/>
  <c r="HT10" i="30" s="1"/>
  <c r="HN10" i="30"/>
  <c r="HO10" i="30" s="1"/>
  <c r="HL10" i="30"/>
  <c r="HM10" i="30" s="1"/>
  <c r="HG10" i="30"/>
  <c r="HH10" i="30" s="1"/>
  <c r="HB10" i="30"/>
  <c r="HC10" i="30" s="1"/>
  <c r="GW10" i="30"/>
  <c r="GX10" i="30" s="1"/>
  <c r="GU10" i="30"/>
  <c r="GV10" i="30" s="1"/>
  <c r="GP10" i="30"/>
  <c r="GQ10" i="30" s="1"/>
  <c r="GK10" i="30"/>
  <c r="GL10" i="30" s="1"/>
  <c r="GG10" i="30"/>
  <c r="GF10" i="30"/>
  <c r="GD10" i="30"/>
  <c r="GE10" i="30" s="1"/>
  <c r="FY10" i="30"/>
  <c r="FZ10" i="30" s="1"/>
  <c r="FT10" i="30"/>
  <c r="FU10" i="30" s="1"/>
  <c r="FO10" i="30"/>
  <c r="FP10" i="30" s="1"/>
  <c r="FM10" i="30"/>
  <c r="FN10" i="30" s="1"/>
  <c r="FH10" i="30"/>
  <c r="FI10" i="30" s="1"/>
  <c r="FC10" i="30"/>
  <c r="FD10" i="30" s="1"/>
  <c r="EX10" i="30"/>
  <c r="EY10" i="30" s="1"/>
  <c r="EV10" i="30"/>
  <c r="EW10" i="30" s="1"/>
  <c r="EQ10" i="30"/>
  <c r="ER10" i="30" s="1"/>
  <c r="EL10" i="30"/>
  <c r="EM10" i="30" s="1"/>
  <c r="EG10" i="30"/>
  <c r="EH10" i="30" s="1"/>
  <c r="EE10" i="30"/>
  <c r="EF10" i="30" s="1"/>
  <c r="DZ10" i="30"/>
  <c r="EA10" i="30" s="1"/>
  <c r="DU10" i="30"/>
  <c r="DV10" i="30" s="1"/>
  <c r="DQ10" i="30"/>
  <c r="DP10" i="30"/>
  <c r="DN10" i="30"/>
  <c r="DO10" i="30" s="1"/>
  <c r="DI10" i="30"/>
  <c r="DJ10" i="30" s="1"/>
  <c r="DD10" i="30"/>
  <c r="DE10" i="30" s="1"/>
  <c r="CY10" i="30"/>
  <c r="CZ10" i="30" s="1"/>
  <c r="CW10" i="30"/>
  <c r="CX10" i="30" s="1"/>
  <c r="CR10" i="30"/>
  <c r="CS10" i="30" s="1"/>
  <c r="CM10" i="30"/>
  <c r="CN10" i="30" s="1"/>
  <c r="CH10" i="30"/>
  <c r="CI10" i="30" s="1"/>
  <c r="CG10" i="30"/>
  <c r="CF10" i="30"/>
  <c r="CA10" i="30"/>
  <c r="CB10" i="30" s="1"/>
  <c r="BW10" i="30"/>
  <c r="BV10" i="30"/>
  <c r="BQ10" i="30"/>
  <c r="BR10" i="30" s="1"/>
  <c r="BP10" i="30"/>
  <c r="BO10" i="30"/>
  <c r="BJ10" i="30"/>
  <c r="BK10" i="30" s="1"/>
  <c r="BF10" i="30"/>
  <c r="BE10" i="30"/>
  <c r="AZ10" i="30"/>
  <c r="BA10" i="30" s="1"/>
  <c r="AX10" i="30"/>
  <c r="AY10" i="30" s="1"/>
  <c r="AS10" i="30"/>
  <c r="AT10" i="30" s="1"/>
  <c r="AN10" i="30"/>
  <c r="AO10" i="30" s="1"/>
  <c r="AI10" i="30"/>
  <c r="AJ10" i="30" s="1"/>
  <c r="AH10" i="30"/>
  <c r="AG10" i="30"/>
  <c r="AB10" i="30"/>
  <c r="AC10" i="30" s="1"/>
  <c r="X10" i="30"/>
  <c r="W10" i="30"/>
  <c r="R10" i="30"/>
  <c r="S10" i="30" s="1"/>
  <c r="P10" i="30"/>
  <c r="Q10" i="30" s="1"/>
  <c r="K10" i="30"/>
  <c r="L10" i="30" s="1"/>
  <c r="G10" i="30"/>
  <c r="F10" i="30"/>
  <c r="SO9" i="30"/>
  <c r="SP9" i="30" s="1"/>
  <c r="SJ9" i="30"/>
  <c r="SE9" i="30"/>
  <c r="SF9" i="30" s="1"/>
  <c r="RY9" i="30"/>
  <c r="RX9" i="30"/>
  <c r="RS9" i="30"/>
  <c r="RN9" i="30"/>
  <c r="RO9" i="30" s="1"/>
  <c r="RG9" i="30"/>
  <c r="RH9" i="30" s="1"/>
  <c r="RC9" i="30"/>
  <c r="RB9" i="30"/>
  <c r="QW9" i="30"/>
  <c r="QX9" i="30" s="1"/>
  <c r="QP9" i="30"/>
  <c r="QQ9" i="30" s="1"/>
  <c r="QK9" i="30"/>
  <c r="QG9" i="30"/>
  <c r="QF9" i="30"/>
  <c r="PY9" i="30"/>
  <c r="PZ9" i="30" s="1"/>
  <c r="PT9" i="30"/>
  <c r="QA9" i="30" s="1"/>
  <c r="QB9" i="30" s="1"/>
  <c r="PO9" i="30"/>
  <c r="PP9" i="30" s="1"/>
  <c r="PI9" i="30"/>
  <c r="PH9" i="30"/>
  <c r="PC9" i="30"/>
  <c r="OX9" i="30"/>
  <c r="OY9" i="30" s="1"/>
  <c r="OQ9" i="30"/>
  <c r="OR9" i="30" s="1"/>
  <c r="OM9" i="30"/>
  <c r="OL9" i="30"/>
  <c r="OG9" i="30"/>
  <c r="OH9" i="30" s="1"/>
  <c r="NZ9" i="30"/>
  <c r="OA9" i="30" s="1"/>
  <c r="NU9" i="30"/>
  <c r="NQ9" i="30"/>
  <c r="NP9" i="30"/>
  <c r="NI9" i="30"/>
  <c r="NJ9" i="30" s="1"/>
  <c r="ND9" i="30"/>
  <c r="MY9" i="30"/>
  <c r="MZ9" i="30" s="1"/>
  <c r="MS9" i="30"/>
  <c r="MR9" i="30"/>
  <c r="MM9" i="30"/>
  <c r="MH9" i="30"/>
  <c r="MI9" i="30" s="1"/>
  <c r="MA9" i="30"/>
  <c r="MB9" i="30" s="1"/>
  <c r="LW9" i="30"/>
  <c r="LV9" i="30"/>
  <c r="LQ9" i="30"/>
  <c r="LR9" i="30" s="1"/>
  <c r="LJ9" i="30"/>
  <c r="LK9" i="30" s="1"/>
  <c r="LE9" i="30"/>
  <c r="LA9" i="30"/>
  <c r="KZ9" i="30"/>
  <c r="KS9" i="30"/>
  <c r="KT9" i="30" s="1"/>
  <c r="KN9" i="30"/>
  <c r="KU9" i="30" s="1"/>
  <c r="KV9" i="30" s="1"/>
  <c r="KI9" i="30"/>
  <c r="KJ9" i="30" s="1"/>
  <c r="KC9" i="30"/>
  <c r="KB9" i="30"/>
  <c r="JW9" i="30"/>
  <c r="JR9" i="30"/>
  <c r="JS9" i="30" s="1"/>
  <c r="JK9" i="30"/>
  <c r="JL9" i="30" s="1"/>
  <c r="JG9" i="30"/>
  <c r="JF9" i="30"/>
  <c r="JA9" i="30"/>
  <c r="JB9" i="30" s="1"/>
  <c r="IT9" i="30"/>
  <c r="IU9" i="30" s="1"/>
  <c r="IO9" i="30"/>
  <c r="IK9" i="30"/>
  <c r="IJ9" i="30"/>
  <c r="IC9" i="30"/>
  <c r="ID9" i="30" s="1"/>
  <c r="HX9" i="30"/>
  <c r="HS9" i="30"/>
  <c r="HT9" i="30" s="1"/>
  <c r="HL9" i="30"/>
  <c r="HM9" i="30" s="1"/>
  <c r="HG9" i="30"/>
  <c r="HN9" i="30" s="1"/>
  <c r="HO9" i="30" s="1"/>
  <c r="HB9" i="30"/>
  <c r="HC9" i="30" s="1"/>
  <c r="GU9" i="30"/>
  <c r="GV9" i="30" s="1"/>
  <c r="GP9" i="30"/>
  <c r="GK9" i="30"/>
  <c r="GL9" i="30" s="1"/>
  <c r="GD9" i="30"/>
  <c r="GE9" i="30" s="1"/>
  <c r="FY9" i="30"/>
  <c r="FZ9" i="30" s="1"/>
  <c r="FT9" i="30"/>
  <c r="FU9" i="30" s="1"/>
  <c r="FM9" i="30"/>
  <c r="FN9" i="30" s="1"/>
  <c r="FH9" i="30"/>
  <c r="FI9" i="30" s="1"/>
  <c r="FC9" i="30"/>
  <c r="FD9" i="30" s="1"/>
  <c r="EV9" i="30"/>
  <c r="EW9" i="30" s="1"/>
  <c r="EQ9" i="30"/>
  <c r="ER9" i="30" s="1"/>
  <c r="EL9" i="30"/>
  <c r="EM9" i="30" s="1"/>
  <c r="EE9" i="30"/>
  <c r="EF9" i="30" s="1"/>
  <c r="DZ9" i="30"/>
  <c r="EA9" i="30" s="1"/>
  <c r="DU9" i="30"/>
  <c r="DV9" i="30" s="1"/>
  <c r="DN9" i="30"/>
  <c r="DO9" i="30" s="1"/>
  <c r="DI9" i="30"/>
  <c r="DJ9" i="30" s="1"/>
  <c r="DD9" i="30"/>
  <c r="DE9" i="30" s="1"/>
  <c r="CW9" i="30"/>
  <c r="CX9" i="30" s="1"/>
  <c r="CR9" i="30"/>
  <c r="CS9" i="30" s="1"/>
  <c r="CM9" i="30"/>
  <c r="CN9" i="30" s="1"/>
  <c r="CF9" i="30"/>
  <c r="CG9" i="30" s="1"/>
  <c r="CA9" i="30"/>
  <c r="CB9" i="30" s="1"/>
  <c r="BV9" i="30"/>
  <c r="BW9" i="30" s="1"/>
  <c r="BO9" i="30"/>
  <c r="BP9" i="30" s="1"/>
  <c r="BJ9" i="30"/>
  <c r="BK9" i="30" s="1"/>
  <c r="BE9" i="30"/>
  <c r="BF9" i="30" s="1"/>
  <c r="AX9" i="30"/>
  <c r="AY9" i="30" s="1"/>
  <c r="AS9" i="30"/>
  <c r="AT9" i="30" s="1"/>
  <c r="AN9" i="30"/>
  <c r="AO9" i="30" s="1"/>
  <c r="AG9" i="30"/>
  <c r="AH9" i="30" s="1"/>
  <c r="AB9" i="30"/>
  <c r="AC9" i="30" s="1"/>
  <c r="W9" i="30"/>
  <c r="X9" i="30" s="1"/>
  <c r="P9" i="30"/>
  <c r="Q9" i="30" s="1"/>
  <c r="K9" i="30"/>
  <c r="L9" i="30" s="1"/>
  <c r="F9" i="30"/>
  <c r="G9" i="30" s="1"/>
  <c r="SO8" i="30"/>
  <c r="SP8" i="30" s="1"/>
  <c r="SJ8" i="30"/>
  <c r="SK8" i="30" s="1"/>
  <c r="SE8" i="30"/>
  <c r="SF8" i="30" s="1"/>
  <c r="RX8" i="30"/>
  <c r="RY8" i="30" s="1"/>
  <c r="RS8" i="30"/>
  <c r="RT8" i="30" s="1"/>
  <c r="RN8" i="30"/>
  <c r="RO8" i="30" s="1"/>
  <c r="RG8" i="30"/>
  <c r="RH8" i="30" s="1"/>
  <c r="RB8" i="30"/>
  <c r="RC8" i="30" s="1"/>
  <c r="QW8" i="30"/>
  <c r="QX8" i="30" s="1"/>
  <c r="QP8" i="30"/>
  <c r="QQ8" i="30" s="1"/>
  <c r="QK8" i="30"/>
  <c r="QL8" i="30" s="1"/>
  <c r="QF8" i="30"/>
  <c r="QG8" i="30" s="1"/>
  <c r="PY8" i="30"/>
  <c r="PZ8" i="30" s="1"/>
  <c r="PT8" i="30"/>
  <c r="PU8" i="30" s="1"/>
  <c r="PO8" i="30"/>
  <c r="PP8" i="30" s="1"/>
  <c r="PH8" i="30"/>
  <c r="PI8" i="30" s="1"/>
  <c r="PC8" i="30"/>
  <c r="PD8" i="30" s="1"/>
  <c r="OX8" i="30"/>
  <c r="OY8" i="30" s="1"/>
  <c r="OQ8" i="30"/>
  <c r="OR8" i="30" s="1"/>
  <c r="OL8" i="30"/>
  <c r="OM8" i="30" s="1"/>
  <c r="OG8" i="30"/>
  <c r="OH8" i="30" s="1"/>
  <c r="NZ8" i="30"/>
  <c r="OA8" i="30" s="1"/>
  <c r="NU8" i="30"/>
  <c r="NV8" i="30" s="1"/>
  <c r="NP8" i="30"/>
  <c r="NQ8" i="30" s="1"/>
  <c r="NI8" i="30"/>
  <c r="NJ8" i="30" s="1"/>
  <c r="ND8" i="30"/>
  <c r="NE8" i="30" s="1"/>
  <c r="MY8" i="30"/>
  <c r="MZ8" i="30" s="1"/>
  <c r="MR8" i="30"/>
  <c r="MS8" i="30" s="1"/>
  <c r="MM8" i="30"/>
  <c r="MN8" i="30" s="1"/>
  <c r="MH8" i="30"/>
  <c r="MI8" i="30" s="1"/>
  <c r="MA8" i="30"/>
  <c r="MB8" i="30" s="1"/>
  <c r="LV8" i="30"/>
  <c r="LW8" i="30" s="1"/>
  <c r="LQ8" i="30"/>
  <c r="LR8" i="30" s="1"/>
  <c r="LJ8" i="30"/>
  <c r="LK8" i="30" s="1"/>
  <c r="LE8" i="30"/>
  <c r="LF8" i="30" s="1"/>
  <c r="KZ8" i="30"/>
  <c r="LA8" i="30" s="1"/>
  <c r="KS8" i="30"/>
  <c r="KT8" i="30" s="1"/>
  <c r="KN8" i="30"/>
  <c r="KO8" i="30" s="1"/>
  <c r="KI8" i="30"/>
  <c r="KJ8" i="30" s="1"/>
  <c r="KB8" i="30"/>
  <c r="KC8" i="30" s="1"/>
  <c r="JW8" i="30"/>
  <c r="JX8" i="30" s="1"/>
  <c r="JR8" i="30"/>
  <c r="JS8" i="30" s="1"/>
  <c r="JK8" i="30"/>
  <c r="JL8" i="30" s="1"/>
  <c r="JF8" i="30"/>
  <c r="JG8" i="30" s="1"/>
  <c r="JA8" i="30"/>
  <c r="JB8" i="30" s="1"/>
  <c r="IT8" i="30"/>
  <c r="IU8" i="30" s="1"/>
  <c r="IO8" i="30"/>
  <c r="IP8" i="30" s="1"/>
  <c r="IJ8" i="30"/>
  <c r="IK8" i="30" s="1"/>
  <c r="IC8" i="30"/>
  <c r="ID8" i="30" s="1"/>
  <c r="HX8" i="30"/>
  <c r="HY8" i="30" s="1"/>
  <c r="HS8" i="30"/>
  <c r="HT8" i="30" s="1"/>
  <c r="HL8" i="30"/>
  <c r="HM8" i="30" s="1"/>
  <c r="HG8" i="30"/>
  <c r="HH8" i="30" s="1"/>
  <c r="HB8" i="30"/>
  <c r="HC8" i="30" s="1"/>
  <c r="GU8" i="30"/>
  <c r="GV8" i="30" s="1"/>
  <c r="GP8" i="30"/>
  <c r="GQ8" i="30" s="1"/>
  <c r="GK8" i="30"/>
  <c r="GL8" i="30" s="1"/>
  <c r="GD8" i="30"/>
  <c r="GE8" i="30" s="1"/>
  <c r="FY8" i="30"/>
  <c r="FZ8" i="30" s="1"/>
  <c r="FT8" i="30"/>
  <c r="FU8" i="30" s="1"/>
  <c r="FM8" i="30"/>
  <c r="FN8" i="30" s="1"/>
  <c r="FH8" i="30"/>
  <c r="FI8" i="30" s="1"/>
  <c r="FC8" i="30"/>
  <c r="FD8" i="30" s="1"/>
  <c r="EV8" i="30"/>
  <c r="EW8" i="30" s="1"/>
  <c r="EQ8" i="30"/>
  <c r="ER8" i="30" s="1"/>
  <c r="EL8" i="30"/>
  <c r="EM8" i="30" s="1"/>
  <c r="EE8" i="30"/>
  <c r="EF8" i="30" s="1"/>
  <c r="DZ8" i="30"/>
  <c r="EA8" i="30" s="1"/>
  <c r="DU8" i="30"/>
  <c r="DV8" i="30" s="1"/>
  <c r="DN8" i="30"/>
  <c r="DO8" i="30" s="1"/>
  <c r="DI8" i="30"/>
  <c r="DJ8" i="30" s="1"/>
  <c r="DD8" i="30"/>
  <c r="DE8" i="30" s="1"/>
  <c r="CW8" i="30"/>
  <c r="CX8" i="30" s="1"/>
  <c r="CR8" i="30"/>
  <c r="CS8" i="30" s="1"/>
  <c r="CM8" i="30"/>
  <c r="CN8" i="30" s="1"/>
  <c r="CF8" i="30"/>
  <c r="CG8" i="30" s="1"/>
  <c r="CA8" i="30"/>
  <c r="CB8" i="30" s="1"/>
  <c r="BV8" i="30"/>
  <c r="BW8" i="30" s="1"/>
  <c r="BO8" i="30"/>
  <c r="BP8" i="30" s="1"/>
  <c r="BJ8" i="30"/>
  <c r="BK8" i="30" s="1"/>
  <c r="BE8" i="30"/>
  <c r="BF8" i="30" s="1"/>
  <c r="AX8" i="30"/>
  <c r="AY8" i="30" s="1"/>
  <c r="AS8" i="30"/>
  <c r="AT8" i="30" s="1"/>
  <c r="AN8" i="30"/>
  <c r="AO8" i="30" s="1"/>
  <c r="AG8" i="30"/>
  <c r="AH8" i="30" s="1"/>
  <c r="AB8" i="30"/>
  <c r="AC8" i="30" s="1"/>
  <c r="W8" i="30"/>
  <c r="X8" i="30" s="1"/>
  <c r="P8" i="30"/>
  <c r="Q8" i="30" s="1"/>
  <c r="K8" i="30"/>
  <c r="L8" i="30" s="1"/>
  <c r="F8" i="30"/>
  <c r="G8" i="30" s="1"/>
  <c r="SO7" i="30"/>
  <c r="SP7" i="30" s="1"/>
  <c r="SJ7" i="30"/>
  <c r="SK7" i="30" s="1"/>
  <c r="SE7" i="30"/>
  <c r="SF7" i="30" s="1"/>
  <c r="RX7" i="30"/>
  <c r="RY7" i="30" s="1"/>
  <c r="RS7" i="30"/>
  <c r="RT7" i="30" s="1"/>
  <c r="RN7" i="30"/>
  <c r="RO7" i="30" s="1"/>
  <c r="RG7" i="30"/>
  <c r="RH7" i="30" s="1"/>
  <c r="RB7" i="30"/>
  <c r="RC7" i="30" s="1"/>
  <c r="QW7" i="30"/>
  <c r="QX7" i="30" s="1"/>
  <c r="QP7" i="30"/>
  <c r="QQ7" i="30" s="1"/>
  <c r="QK7" i="30"/>
  <c r="QL7" i="30" s="1"/>
  <c r="QF7" i="30"/>
  <c r="QG7" i="30" s="1"/>
  <c r="PY7" i="30"/>
  <c r="PZ7" i="30" s="1"/>
  <c r="PT7" i="30"/>
  <c r="PU7" i="30" s="1"/>
  <c r="PO7" i="30"/>
  <c r="PP7" i="30" s="1"/>
  <c r="PH7" i="30"/>
  <c r="PI7" i="30" s="1"/>
  <c r="PC7" i="30"/>
  <c r="PD7" i="30" s="1"/>
  <c r="OX7" i="30"/>
  <c r="OY7" i="30" s="1"/>
  <c r="OQ7" i="30"/>
  <c r="OR7" i="30" s="1"/>
  <c r="OL7" i="30"/>
  <c r="OM7" i="30" s="1"/>
  <c r="OG7" i="30"/>
  <c r="OH7" i="30" s="1"/>
  <c r="NZ7" i="30"/>
  <c r="OA7" i="30" s="1"/>
  <c r="NU7" i="30"/>
  <c r="NV7" i="30" s="1"/>
  <c r="NP7" i="30"/>
  <c r="NQ7" i="30" s="1"/>
  <c r="NI7" i="30"/>
  <c r="NJ7" i="30" s="1"/>
  <c r="ND7" i="30"/>
  <c r="NE7" i="30" s="1"/>
  <c r="MY7" i="30"/>
  <c r="MZ7" i="30" s="1"/>
  <c r="MR7" i="30"/>
  <c r="MS7" i="30" s="1"/>
  <c r="MM7" i="30"/>
  <c r="MN7" i="30" s="1"/>
  <c r="MH7" i="30"/>
  <c r="MI7" i="30" s="1"/>
  <c r="MA7" i="30"/>
  <c r="MB7" i="30" s="1"/>
  <c r="LV7" i="30"/>
  <c r="LW7" i="30" s="1"/>
  <c r="LQ7" i="30"/>
  <c r="LR7" i="30" s="1"/>
  <c r="LJ7" i="30"/>
  <c r="LK7" i="30" s="1"/>
  <c r="LE7" i="30"/>
  <c r="LF7" i="30" s="1"/>
  <c r="KZ7" i="30"/>
  <c r="LA7" i="30" s="1"/>
  <c r="KS7" i="30"/>
  <c r="KT7" i="30" s="1"/>
  <c r="KN7" i="30"/>
  <c r="KO7" i="30" s="1"/>
  <c r="KI7" i="30"/>
  <c r="KJ7" i="30" s="1"/>
  <c r="KB7" i="30"/>
  <c r="KC7" i="30" s="1"/>
  <c r="JW7" i="30"/>
  <c r="JX7" i="30" s="1"/>
  <c r="JR7" i="30"/>
  <c r="JS7" i="30" s="1"/>
  <c r="JK7" i="30"/>
  <c r="JL7" i="30" s="1"/>
  <c r="JF7" i="30"/>
  <c r="JG7" i="30" s="1"/>
  <c r="JA7" i="30"/>
  <c r="JB7" i="30" s="1"/>
  <c r="IT7" i="30"/>
  <c r="IU7" i="30" s="1"/>
  <c r="IO7" i="30"/>
  <c r="IP7" i="30" s="1"/>
  <c r="IJ7" i="30"/>
  <c r="IK7" i="30" s="1"/>
  <c r="IC7" i="30"/>
  <c r="ID7" i="30" s="1"/>
  <c r="HX7" i="30"/>
  <c r="HY7" i="30" s="1"/>
  <c r="HS7" i="30"/>
  <c r="HT7" i="30" s="1"/>
  <c r="HL7" i="30"/>
  <c r="HM7" i="30" s="1"/>
  <c r="HG7" i="30"/>
  <c r="HH7" i="30" s="1"/>
  <c r="HB7" i="30"/>
  <c r="HC7" i="30" s="1"/>
  <c r="GU7" i="30"/>
  <c r="GV7" i="30" s="1"/>
  <c r="GP7" i="30"/>
  <c r="GQ7" i="30" s="1"/>
  <c r="GK7" i="30"/>
  <c r="GL7" i="30" s="1"/>
  <c r="GD7" i="30"/>
  <c r="GE7" i="30" s="1"/>
  <c r="FY7" i="30"/>
  <c r="FZ7" i="30" s="1"/>
  <c r="FT7" i="30"/>
  <c r="FU7" i="30" s="1"/>
  <c r="FM7" i="30"/>
  <c r="FN7" i="30" s="1"/>
  <c r="FH7" i="30"/>
  <c r="FI7" i="30" s="1"/>
  <c r="FC7" i="30"/>
  <c r="FD7" i="30" s="1"/>
  <c r="EV7" i="30"/>
  <c r="EW7" i="30" s="1"/>
  <c r="EQ7" i="30"/>
  <c r="ER7" i="30" s="1"/>
  <c r="EL7" i="30"/>
  <c r="EM7" i="30" s="1"/>
  <c r="EE7" i="30"/>
  <c r="EF7" i="30" s="1"/>
  <c r="DZ7" i="30"/>
  <c r="EA7" i="30" s="1"/>
  <c r="DU7" i="30"/>
  <c r="DV7" i="30" s="1"/>
  <c r="DN7" i="30"/>
  <c r="DO7" i="30" s="1"/>
  <c r="DI7" i="30"/>
  <c r="DJ7" i="30" s="1"/>
  <c r="DD7" i="30"/>
  <c r="DE7" i="30" s="1"/>
  <c r="CW7" i="30"/>
  <c r="CX7" i="30" s="1"/>
  <c r="CR7" i="30"/>
  <c r="CS7" i="30" s="1"/>
  <c r="CM7" i="30"/>
  <c r="CN7" i="30" s="1"/>
  <c r="CF7" i="30"/>
  <c r="CG7" i="30" s="1"/>
  <c r="CA7" i="30"/>
  <c r="CB7" i="30" s="1"/>
  <c r="BV7" i="30"/>
  <c r="BW7" i="30" s="1"/>
  <c r="BO7" i="30"/>
  <c r="BP7" i="30" s="1"/>
  <c r="BJ7" i="30"/>
  <c r="BK7" i="30" s="1"/>
  <c r="BE7" i="30"/>
  <c r="BF7" i="30" s="1"/>
  <c r="AX7" i="30"/>
  <c r="AY7" i="30" s="1"/>
  <c r="AS7" i="30"/>
  <c r="AT7" i="30" s="1"/>
  <c r="AN7" i="30"/>
  <c r="AO7" i="30" s="1"/>
  <c r="AG7" i="30"/>
  <c r="AH7" i="30" s="1"/>
  <c r="AB7" i="30"/>
  <c r="AC7" i="30" s="1"/>
  <c r="W7" i="30"/>
  <c r="X7" i="30" s="1"/>
  <c r="P7" i="30"/>
  <c r="Q7" i="30" s="1"/>
  <c r="K7" i="30"/>
  <c r="L7" i="30" s="1"/>
  <c r="F7" i="30"/>
  <c r="G7" i="30" s="1"/>
  <c r="SO6" i="30"/>
  <c r="SP6" i="30" s="1"/>
  <c r="SJ6" i="30"/>
  <c r="SK6" i="30" s="1"/>
  <c r="SE6" i="30"/>
  <c r="SF6" i="30" s="1"/>
  <c r="RX6" i="30"/>
  <c r="RY6" i="30" s="1"/>
  <c r="RS6" i="30"/>
  <c r="RT6" i="30" s="1"/>
  <c r="RN6" i="30"/>
  <c r="RO6" i="30" s="1"/>
  <c r="RG6" i="30"/>
  <c r="RH6" i="30" s="1"/>
  <c r="RB6" i="30"/>
  <c r="RC6" i="30" s="1"/>
  <c r="QW6" i="30"/>
  <c r="QX6" i="30" s="1"/>
  <c r="QP6" i="30"/>
  <c r="QQ6" i="30" s="1"/>
  <c r="QK6" i="30"/>
  <c r="QL6" i="30" s="1"/>
  <c r="QF6" i="30"/>
  <c r="QG6" i="30" s="1"/>
  <c r="PY6" i="30"/>
  <c r="PZ6" i="30" s="1"/>
  <c r="PT6" i="30"/>
  <c r="PU6" i="30" s="1"/>
  <c r="PO6" i="30"/>
  <c r="PP6" i="30" s="1"/>
  <c r="PH6" i="30"/>
  <c r="PI6" i="30" s="1"/>
  <c r="PC6" i="30"/>
  <c r="PD6" i="30" s="1"/>
  <c r="OX6" i="30"/>
  <c r="OY6" i="30" s="1"/>
  <c r="OQ6" i="30"/>
  <c r="OR6" i="30" s="1"/>
  <c r="OL6" i="30"/>
  <c r="OM6" i="30" s="1"/>
  <c r="OG6" i="30"/>
  <c r="OH6" i="30" s="1"/>
  <c r="NZ6" i="30"/>
  <c r="OA6" i="30" s="1"/>
  <c r="NU6" i="30"/>
  <c r="NV6" i="30" s="1"/>
  <c r="NP6" i="30"/>
  <c r="NQ6" i="30" s="1"/>
  <c r="NI6" i="30"/>
  <c r="NJ6" i="30" s="1"/>
  <c r="ND6" i="30"/>
  <c r="NE6" i="30" s="1"/>
  <c r="MY6" i="30"/>
  <c r="NK6" i="30" s="1"/>
  <c r="NL6" i="30" s="1"/>
  <c r="MS6" i="30"/>
  <c r="MR6" i="30"/>
  <c r="MN6" i="30"/>
  <c r="MM6" i="30"/>
  <c r="MI6" i="30"/>
  <c r="MH6" i="30"/>
  <c r="MB6" i="30"/>
  <c r="MA6" i="30"/>
  <c r="LW6" i="30"/>
  <c r="LV6" i="30"/>
  <c r="LR6" i="30"/>
  <c r="LQ6" i="30"/>
  <c r="MC6" i="30" s="1"/>
  <c r="MD6" i="30" s="1"/>
  <c r="LK6" i="30"/>
  <c r="LJ6" i="30"/>
  <c r="LF6" i="30"/>
  <c r="LE6" i="30"/>
  <c r="LA6" i="30"/>
  <c r="KZ6" i="30"/>
  <c r="KT6" i="30"/>
  <c r="KS6" i="30"/>
  <c r="KN6" i="30"/>
  <c r="KO6" i="30" s="1"/>
  <c r="KJ6" i="30"/>
  <c r="KI6" i="30"/>
  <c r="KC6" i="30"/>
  <c r="KB6" i="30"/>
  <c r="JX6" i="30"/>
  <c r="JW6" i="30"/>
  <c r="JS6" i="30"/>
  <c r="JR6" i="30"/>
  <c r="KD6" i="30" s="1"/>
  <c r="KE6" i="30" s="1"/>
  <c r="JL6" i="30"/>
  <c r="JK6" i="30"/>
  <c r="JG6" i="30"/>
  <c r="JF6" i="30"/>
  <c r="JB6" i="30"/>
  <c r="JA6" i="30"/>
  <c r="IU6" i="30"/>
  <c r="IT6" i="30"/>
  <c r="IP6" i="30"/>
  <c r="IO6" i="30"/>
  <c r="IK6" i="30"/>
  <c r="IJ6" i="30"/>
  <c r="IV6" i="30" s="1"/>
  <c r="IW6" i="30" s="1"/>
  <c r="IC6" i="30"/>
  <c r="ID6" i="30" s="1"/>
  <c r="HY6" i="30"/>
  <c r="HX6" i="30"/>
  <c r="HS6" i="30"/>
  <c r="IE6" i="30" s="1"/>
  <c r="IF6" i="30" s="1"/>
  <c r="HM6" i="30"/>
  <c r="HL6" i="30"/>
  <c r="HH6" i="30"/>
  <c r="HG6" i="30"/>
  <c r="HC6" i="30"/>
  <c r="HB6" i="30"/>
  <c r="GV6" i="30"/>
  <c r="GU6" i="30"/>
  <c r="GP6" i="30"/>
  <c r="GQ6" i="30" s="1"/>
  <c r="GL6" i="30"/>
  <c r="GK6" i="30"/>
  <c r="GW6" i="30" s="1"/>
  <c r="GX6" i="30" s="1"/>
  <c r="GD6" i="30"/>
  <c r="GE6" i="30" s="1"/>
  <c r="FY6" i="30"/>
  <c r="FZ6" i="30" s="1"/>
  <c r="FT6" i="30"/>
  <c r="FN6" i="30"/>
  <c r="FM6" i="30"/>
  <c r="FH6" i="30"/>
  <c r="FI6" i="30" s="1"/>
  <c r="FD6" i="30"/>
  <c r="FC6" i="30"/>
  <c r="EV6" i="30"/>
  <c r="EW6" i="30" s="1"/>
  <c r="EQ6" i="30"/>
  <c r="ER6" i="30" s="1"/>
  <c r="EL6" i="30"/>
  <c r="EX6" i="30" s="1"/>
  <c r="EY6" i="30" s="1"/>
  <c r="EE6" i="30"/>
  <c r="EF6" i="30" s="1"/>
  <c r="DZ6" i="30"/>
  <c r="EA6" i="30" s="1"/>
  <c r="DU6" i="30"/>
  <c r="DN6" i="30"/>
  <c r="DO6" i="30" s="1"/>
  <c r="DI6" i="30"/>
  <c r="DJ6" i="30" s="1"/>
  <c r="DD6" i="30"/>
  <c r="DP6" i="30" s="1"/>
  <c r="DQ6" i="30" s="1"/>
  <c r="CW6" i="30"/>
  <c r="CX6" i="30" s="1"/>
  <c r="CS6" i="30"/>
  <c r="CR6" i="30"/>
  <c r="CM6" i="30"/>
  <c r="CY6" i="30" s="1"/>
  <c r="CZ6" i="30" s="1"/>
  <c r="CF6" i="30"/>
  <c r="CG6" i="30" s="1"/>
  <c r="CA6" i="30"/>
  <c r="CB6" i="30" s="1"/>
  <c r="BV6" i="30"/>
  <c r="BO6" i="30"/>
  <c r="BP6" i="30" s="1"/>
  <c r="BJ6" i="30"/>
  <c r="BK6" i="30" s="1"/>
  <c r="BE6" i="30"/>
  <c r="BQ6" i="30" s="1"/>
  <c r="BR6" i="30" s="1"/>
  <c r="AX6" i="30"/>
  <c r="AY6" i="30" s="1"/>
  <c r="AS6" i="30"/>
  <c r="AT6" i="30" s="1"/>
  <c r="AN6" i="30"/>
  <c r="AH6" i="30"/>
  <c r="AG6" i="30"/>
  <c r="AB6" i="30"/>
  <c r="AC6" i="30" s="1"/>
  <c r="X6" i="30"/>
  <c r="W6" i="30"/>
  <c r="P6" i="30"/>
  <c r="Q6" i="30" s="1"/>
  <c r="K6" i="30"/>
  <c r="L6" i="30" s="1"/>
  <c r="F6" i="30"/>
  <c r="R6" i="30" s="1"/>
  <c r="S6" i="30" s="1"/>
  <c r="SO5" i="30"/>
  <c r="SP5" i="30" s="1"/>
  <c r="SJ5" i="30"/>
  <c r="SK5" i="30" s="1"/>
  <c r="SE5" i="30"/>
  <c r="RX5" i="30"/>
  <c r="RY5" i="30" s="1"/>
  <c r="RS5" i="30"/>
  <c r="RT5" i="30" s="1"/>
  <c r="RN5" i="30"/>
  <c r="RZ5" i="30" s="1"/>
  <c r="SA5" i="30" s="1"/>
  <c r="RH5" i="30"/>
  <c r="RG5" i="30"/>
  <c r="RC5" i="30"/>
  <c r="RB5" i="30"/>
  <c r="QX5" i="30"/>
  <c r="QW5" i="30"/>
  <c r="RI5" i="30" s="1"/>
  <c r="RJ5" i="30" s="1"/>
  <c r="QP5" i="30"/>
  <c r="QQ5" i="30" s="1"/>
  <c r="QK5" i="30"/>
  <c r="QL5" i="30" s="1"/>
  <c r="QF5" i="30"/>
  <c r="PY5" i="30"/>
  <c r="PZ5" i="30" s="1"/>
  <c r="PT5" i="30"/>
  <c r="PU5" i="30" s="1"/>
  <c r="PO5" i="30"/>
  <c r="QA5" i="30" s="1"/>
  <c r="QB5" i="30" s="1"/>
  <c r="PH5" i="30"/>
  <c r="PI5" i="30" s="1"/>
  <c r="PC5" i="30"/>
  <c r="PD5" i="30" s="1"/>
  <c r="OX5" i="30"/>
  <c r="OR5" i="30"/>
  <c r="OQ5" i="30"/>
  <c r="OM5" i="30"/>
  <c r="OL5" i="30"/>
  <c r="OH5" i="30"/>
  <c r="OG5" i="30"/>
  <c r="NZ5" i="30"/>
  <c r="OA5" i="30" s="1"/>
  <c r="NU5" i="30"/>
  <c r="NV5" i="30" s="1"/>
  <c r="NP5" i="30"/>
  <c r="OB5" i="30" s="1"/>
  <c r="OC5" i="30" s="1"/>
  <c r="NI5" i="30"/>
  <c r="NJ5" i="30" s="1"/>
  <c r="ND5" i="30"/>
  <c r="NE5" i="30" s="1"/>
  <c r="MY5" i="30"/>
  <c r="MR5" i="30"/>
  <c r="MS5" i="30" s="1"/>
  <c r="MM5" i="30"/>
  <c r="MN5" i="30" s="1"/>
  <c r="MH5" i="30"/>
  <c r="MT5" i="30" s="1"/>
  <c r="MU5" i="30" s="1"/>
  <c r="MB5" i="30"/>
  <c r="MA5" i="30"/>
  <c r="LW5" i="30"/>
  <c r="LV5" i="30"/>
  <c r="LR5" i="30"/>
  <c r="LQ5" i="30"/>
  <c r="MC5" i="30" s="1"/>
  <c r="MD5" i="30" s="1"/>
  <c r="LJ5" i="30"/>
  <c r="LK5" i="30" s="1"/>
  <c r="LE5" i="30"/>
  <c r="LF5" i="30" s="1"/>
  <c r="KZ5" i="30"/>
  <c r="KS5" i="30"/>
  <c r="KT5" i="30" s="1"/>
  <c r="KN5" i="30"/>
  <c r="KO5" i="30" s="1"/>
  <c r="KI5" i="30"/>
  <c r="KU5" i="30" s="1"/>
  <c r="KV5" i="30" s="1"/>
  <c r="KB5" i="30"/>
  <c r="KC5" i="30" s="1"/>
  <c r="JW5" i="30"/>
  <c r="JX5" i="30" s="1"/>
  <c r="JR5" i="30"/>
  <c r="JL5" i="30"/>
  <c r="JK5" i="30"/>
  <c r="JG5" i="30"/>
  <c r="JF5" i="30"/>
  <c r="JB5" i="30"/>
  <c r="JA5" i="30"/>
  <c r="IT5" i="30"/>
  <c r="IU5" i="30" s="1"/>
  <c r="IO5" i="30"/>
  <c r="IP5" i="30" s="1"/>
  <c r="IJ5" i="30"/>
  <c r="IV5" i="30" s="1"/>
  <c r="IW5" i="30" s="1"/>
  <c r="IC5" i="30"/>
  <c r="ID5" i="30" s="1"/>
  <c r="HX5" i="30"/>
  <c r="HY5" i="30" s="1"/>
  <c r="HS5" i="30"/>
  <c r="HL5" i="30"/>
  <c r="HM5" i="30" s="1"/>
  <c r="HG5" i="30"/>
  <c r="HH5" i="30" s="1"/>
  <c r="HB5" i="30"/>
  <c r="HN5" i="30" s="1"/>
  <c r="HO5" i="30" s="1"/>
  <c r="GV5" i="30"/>
  <c r="GU5" i="30"/>
  <c r="GQ5" i="30"/>
  <c r="GP5" i="30"/>
  <c r="GL5" i="30"/>
  <c r="GK5" i="30"/>
  <c r="GW5" i="30" s="1"/>
  <c r="GX5" i="30" s="1"/>
  <c r="GD5" i="30"/>
  <c r="GE5" i="30" s="1"/>
  <c r="FY5" i="30"/>
  <c r="FZ5" i="30" s="1"/>
  <c r="FT5" i="30"/>
  <c r="FM5" i="30"/>
  <c r="FN5" i="30" s="1"/>
  <c r="FH5" i="30"/>
  <c r="FI5" i="30" s="1"/>
  <c r="FC5" i="30"/>
  <c r="FO5" i="30" s="1"/>
  <c r="FP5" i="30" s="1"/>
  <c r="EV5" i="30"/>
  <c r="EW5" i="30" s="1"/>
  <c r="EQ5" i="30"/>
  <c r="ER5" i="30" s="1"/>
  <c r="EL5" i="30"/>
  <c r="EF5" i="30"/>
  <c r="EE5" i="30"/>
  <c r="EA5" i="30"/>
  <c r="DZ5" i="30"/>
  <c r="DV5" i="30"/>
  <c r="DU5" i="30"/>
  <c r="DN5" i="30"/>
  <c r="DO5" i="30" s="1"/>
  <c r="DI5" i="30"/>
  <c r="DJ5" i="30" s="1"/>
  <c r="DD5" i="30"/>
  <c r="DP5" i="30" s="1"/>
  <c r="DQ5" i="30" s="1"/>
  <c r="CW5" i="30"/>
  <c r="CX5" i="30" s="1"/>
  <c r="CR5" i="30"/>
  <c r="CS5" i="30" s="1"/>
  <c r="CM5" i="30"/>
  <c r="CF5" i="30"/>
  <c r="CG5" i="30" s="1"/>
  <c r="CA5" i="30"/>
  <c r="CB5" i="30" s="1"/>
  <c r="BV5" i="30"/>
  <c r="CH5" i="30" s="1"/>
  <c r="CI5" i="30" s="1"/>
  <c r="BP5" i="30"/>
  <c r="BO5" i="30"/>
  <c r="BK5" i="30"/>
  <c r="BJ5" i="30"/>
  <c r="BF5" i="30"/>
  <c r="BE5" i="30"/>
  <c r="BQ5" i="30" s="1"/>
  <c r="BR5" i="30" s="1"/>
  <c r="AX5" i="30"/>
  <c r="AY5" i="30" s="1"/>
  <c r="AS5" i="30"/>
  <c r="AT5" i="30" s="1"/>
  <c r="AN5" i="30"/>
  <c r="AG5" i="30"/>
  <c r="AH5" i="30" s="1"/>
  <c r="AB5" i="30"/>
  <c r="AC5" i="30" s="1"/>
  <c r="W5" i="30"/>
  <c r="AI5" i="30" s="1"/>
  <c r="AJ5" i="30" s="1"/>
  <c r="P5" i="30"/>
  <c r="Q5" i="30" s="1"/>
  <c r="K5" i="30"/>
  <c r="L5" i="30" s="1"/>
  <c r="F5" i="30"/>
  <c r="SQ4" i="30"/>
  <c r="SR4" i="30" s="1"/>
  <c r="SO4" i="30"/>
  <c r="SP4" i="30" s="1"/>
  <c r="SJ4" i="30"/>
  <c r="SK4" i="30" s="1"/>
  <c r="SE4" i="30"/>
  <c r="SF4" i="30" s="1"/>
  <c r="RZ4" i="30"/>
  <c r="SA4" i="30" s="1"/>
  <c r="RX4" i="30"/>
  <c r="RY4" i="30" s="1"/>
  <c r="RS4" i="30"/>
  <c r="RT4" i="30" s="1"/>
  <c r="RN4" i="30"/>
  <c r="RO4" i="30" s="1"/>
  <c r="RI4" i="30"/>
  <c r="RJ4" i="30" s="1"/>
  <c r="RG4" i="30"/>
  <c r="RH4" i="30" s="1"/>
  <c r="RB4" i="30"/>
  <c r="RC4" i="30" s="1"/>
  <c r="QW4" i="30"/>
  <c r="QX4" i="30" s="1"/>
  <c r="QR4" i="30"/>
  <c r="QS4" i="30" s="1"/>
  <c r="QP4" i="30"/>
  <c r="QQ4" i="30" s="1"/>
  <c r="QK4" i="30"/>
  <c r="QL4" i="30" s="1"/>
  <c r="QF4" i="30"/>
  <c r="QG4" i="30" s="1"/>
  <c r="QA4" i="30"/>
  <c r="QB4" i="30" s="1"/>
  <c r="PY4" i="30"/>
  <c r="PZ4" i="30" s="1"/>
  <c r="PT4" i="30"/>
  <c r="PU4" i="30" s="1"/>
  <c r="PO4" i="30"/>
  <c r="PP4" i="30" s="1"/>
  <c r="PJ4" i="30"/>
  <c r="PK4" i="30" s="1"/>
  <c r="PH4" i="30"/>
  <c r="PI4" i="30" s="1"/>
  <c r="PC4" i="30"/>
  <c r="PD4" i="30" s="1"/>
  <c r="OX4" i="30"/>
  <c r="OY4" i="30" s="1"/>
  <c r="OS4" i="30"/>
  <c r="OT4" i="30" s="1"/>
  <c r="OQ4" i="30"/>
  <c r="OR4" i="30" s="1"/>
  <c r="OL4" i="30"/>
  <c r="OM4" i="30" s="1"/>
  <c r="OG4" i="30"/>
  <c r="OH4" i="30" s="1"/>
  <c r="OB4" i="30"/>
  <c r="OC4" i="30" s="1"/>
  <c r="NZ4" i="30"/>
  <c r="OA4" i="30" s="1"/>
  <c r="NU4" i="30"/>
  <c r="NV4" i="30" s="1"/>
  <c r="NP4" i="30"/>
  <c r="NQ4" i="30" s="1"/>
  <c r="NK4" i="30"/>
  <c r="NL4" i="30" s="1"/>
  <c r="NI4" i="30"/>
  <c r="NJ4" i="30" s="1"/>
  <c r="ND4" i="30"/>
  <c r="NE4" i="30" s="1"/>
  <c r="MY4" i="30"/>
  <c r="MZ4" i="30" s="1"/>
  <c r="MT4" i="30"/>
  <c r="MU4" i="30" s="1"/>
  <c r="MR4" i="30"/>
  <c r="MS4" i="30" s="1"/>
  <c r="MM4" i="30"/>
  <c r="MN4" i="30" s="1"/>
  <c r="MH4" i="30"/>
  <c r="MI4" i="30" s="1"/>
  <c r="MC4" i="30"/>
  <c r="MD4" i="30" s="1"/>
  <c r="MA4" i="30"/>
  <c r="MB4" i="30" s="1"/>
  <c r="LV4" i="30"/>
  <c r="LW4" i="30" s="1"/>
  <c r="LQ4" i="30"/>
  <c r="LR4" i="30" s="1"/>
  <c r="LL4" i="30"/>
  <c r="LM4" i="30" s="1"/>
  <c r="LJ4" i="30"/>
  <c r="LK4" i="30" s="1"/>
  <c r="LE4" i="30"/>
  <c r="LF4" i="30" s="1"/>
  <c r="KZ4" i="30"/>
  <c r="LA4" i="30" s="1"/>
  <c r="KU4" i="30"/>
  <c r="KV4" i="30" s="1"/>
  <c r="KS4" i="30"/>
  <c r="KT4" i="30" s="1"/>
  <c r="KN4" i="30"/>
  <c r="KO4" i="30" s="1"/>
  <c r="KI4" i="30"/>
  <c r="KJ4" i="30" s="1"/>
  <c r="KD4" i="30"/>
  <c r="KE4" i="30" s="1"/>
  <c r="KB4" i="30"/>
  <c r="KC4" i="30" s="1"/>
  <c r="JW4" i="30"/>
  <c r="JX4" i="30" s="1"/>
  <c r="JR4" i="30"/>
  <c r="JS4" i="30" s="1"/>
  <c r="JM4" i="30"/>
  <c r="JN4" i="30" s="1"/>
  <c r="JK4" i="30"/>
  <c r="JL4" i="30" s="1"/>
  <c r="JF4" i="30"/>
  <c r="JG4" i="30" s="1"/>
  <c r="JA4" i="30"/>
  <c r="JB4" i="30" s="1"/>
  <c r="IV4" i="30"/>
  <c r="IW4" i="30" s="1"/>
  <c r="IT4" i="30"/>
  <c r="IU4" i="30" s="1"/>
  <c r="IO4" i="30"/>
  <c r="IP4" i="30" s="1"/>
  <c r="IJ4" i="30"/>
  <c r="IK4" i="30" s="1"/>
  <c r="IF4" i="30"/>
  <c r="IE4" i="30"/>
  <c r="IC4" i="30"/>
  <c r="ID4" i="30" s="1"/>
  <c r="HX4" i="30"/>
  <c r="HY4" i="30" s="1"/>
  <c r="HS4" i="30"/>
  <c r="HT4" i="30" s="1"/>
  <c r="HO4" i="30"/>
  <c r="HN4" i="30"/>
  <c r="HL4" i="30"/>
  <c r="HM4" i="30" s="1"/>
  <c r="HG4" i="30"/>
  <c r="HH4" i="30" s="1"/>
  <c r="HB4" i="30"/>
  <c r="HC4" i="30" s="1"/>
  <c r="GX4" i="30"/>
  <c r="GW4" i="30"/>
  <c r="GU4" i="30"/>
  <c r="GV4" i="30" s="1"/>
  <c r="GP4" i="30"/>
  <c r="GQ4" i="30" s="1"/>
  <c r="GK4" i="30"/>
  <c r="GL4" i="30" s="1"/>
  <c r="GG4" i="30"/>
  <c r="GF4" i="30"/>
  <c r="GD4" i="30"/>
  <c r="GE4" i="30" s="1"/>
  <c r="FY4" i="30"/>
  <c r="FZ4" i="30" s="1"/>
  <c r="FT4" i="30"/>
  <c r="FU4" i="30" s="1"/>
  <c r="FP4" i="30"/>
  <c r="FO4" i="30"/>
  <c r="FM4" i="30"/>
  <c r="FN4" i="30" s="1"/>
  <c r="FH4" i="30"/>
  <c r="FI4" i="30" s="1"/>
  <c r="FC4" i="30"/>
  <c r="FD4" i="30" s="1"/>
  <c r="EY4" i="30"/>
  <c r="EX4" i="30"/>
  <c r="EV4" i="30"/>
  <c r="EW4" i="30" s="1"/>
  <c r="EQ4" i="30"/>
  <c r="ER4" i="30" s="1"/>
  <c r="EL4" i="30"/>
  <c r="EM4" i="30" s="1"/>
  <c r="EH4" i="30"/>
  <c r="EG4" i="30"/>
  <c r="EE4" i="30"/>
  <c r="EF4" i="30" s="1"/>
  <c r="DZ4" i="30"/>
  <c r="EA4" i="30" s="1"/>
  <c r="DU4" i="30"/>
  <c r="DV4" i="30" s="1"/>
  <c r="DQ4" i="30"/>
  <c r="DP4" i="30"/>
  <c r="DN4" i="30"/>
  <c r="DO4" i="30" s="1"/>
  <c r="DI4" i="30"/>
  <c r="DJ4" i="30" s="1"/>
  <c r="DD4" i="30"/>
  <c r="DE4" i="30" s="1"/>
  <c r="CZ4" i="30"/>
  <c r="CY4" i="30"/>
  <c r="CW4" i="30"/>
  <c r="CX4" i="30" s="1"/>
  <c r="CR4" i="30"/>
  <c r="CS4" i="30" s="1"/>
  <c r="CM4" i="30"/>
  <c r="CN4" i="30" s="1"/>
  <c r="CI4" i="30"/>
  <c r="CH4" i="30"/>
  <c r="CF4" i="30"/>
  <c r="CG4" i="30" s="1"/>
  <c r="CA4" i="30"/>
  <c r="CB4" i="30" s="1"/>
  <c r="BV4" i="30"/>
  <c r="BW4" i="30" s="1"/>
  <c r="BR4" i="30"/>
  <c r="BQ4" i="30"/>
  <c r="BO4" i="30"/>
  <c r="BP4" i="30" s="1"/>
  <c r="BJ4" i="30"/>
  <c r="BK4" i="30" s="1"/>
  <c r="BE4" i="30"/>
  <c r="BF4" i="30" s="1"/>
  <c r="BA4" i="30"/>
  <c r="AZ4" i="30"/>
  <c r="AX4" i="30"/>
  <c r="AY4" i="30" s="1"/>
  <c r="AS4" i="30"/>
  <c r="AT4" i="30" s="1"/>
  <c r="AN4" i="30"/>
  <c r="AO4" i="30" s="1"/>
  <c r="AJ4" i="30"/>
  <c r="AI4" i="30"/>
  <c r="AG4" i="30"/>
  <c r="AH4" i="30" s="1"/>
  <c r="AB4" i="30"/>
  <c r="AC4" i="30" s="1"/>
  <c r="W4" i="30"/>
  <c r="X4" i="30" s="1"/>
  <c r="S4" i="30"/>
  <c r="R4" i="30"/>
  <c r="P4" i="30"/>
  <c r="Q4" i="30" s="1"/>
  <c r="K4" i="30"/>
  <c r="L4" i="30" s="1"/>
  <c r="F4" i="30"/>
  <c r="G4" i="30" s="1"/>
  <c r="BI3" i="30"/>
  <c r="BZ3" i="30" s="1"/>
  <c r="CQ3" i="30" s="1"/>
  <c r="DH3" i="30" s="1"/>
  <c r="DY3" i="30" s="1"/>
  <c r="EP3" i="30" s="1"/>
  <c r="FG3" i="30" s="1"/>
  <c r="FX3" i="30" s="1"/>
  <c r="GO3" i="30" s="1"/>
  <c r="HF3" i="30" s="1"/>
  <c r="HW3" i="30" s="1"/>
  <c r="IN3" i="30" s="1"/>
  <c r="JE3" i="30" s="1"/>
  <c r="JV3" i="30" s="1"/>
  <c r="KM3" i="30" s="1"/>
  <c r="LD3" i="30" s="1"/>
  <c r="LU3" i="30" s="1"/>
  <c r="ML3" i="30" s="1"/>
  <c r="NC3" i="30" s="1"/>
  <c r="NT3" i="30" s="1"/>
  <c r="OK3" i="30" s="1"/>
  <c r="PB3" i="30" s="1"/>
  <c r="PS3" i="30" s="1"/>
  <c r="QJ3" i="30" s="1"/>
  <c r="RA3" i="30" s="1"/>
  <c r="RR3" i="30" s="1"/>
  <c r="SI3" i="30" s="1"/>
  <c r="AF3" i="30"/>
  <c r="AW3" i="30" s="1"/>
  <c r="BN3" i="30" s="1"/>
  <c r="CE3" i="30" s="1"/>
  <c r="CV3" i="30" s="1"/>
  <c r="DM3" i="30" s="1"/>
  <c r="ED3" i="30" s="1"/>
  <c r="EU3" i="30" s="1"/>
  <c r="FL3" i="30" s="1"/>
  <c r="GC3" i="30" s="1"/>
  <c r="GT3" i="30" s="1"/>
  <c r="HK3" i="30" s="1"/>
  <c r="IB3" i="30" s="1"/>
  <c r="IS3" i="30" s="1"/>
  <c r="JJ3" i="30" s="1"/>
  <c r="KA3" i="30" s="1"/>
  <c r="KR3" i="30" s="1"/>
  <c r="LI3" i="30" s="1"/>
  <c r="LZ3" i="30" s="1"/>
  <c r="MQ3" i="30" s="1"/>
  <c r="NH3" i="30" s="1"/>
  <c r="NY3" i="30" s="1"/>
  <c r="OP3" i="30" s="1"/>
  <c r="PG3" i="30" s="1"/>
  <c r="PX3" i="30" s="1"/>
  <c r="QO3" i="30" s="1"/>
  <c r="RF3" i="30" s="1"/>
  <c r="RW3" i="30" s="1"/>
  <c r="SN3" i="30" s="1"/>
  <c r="AE3" i="30"/>
  <c r="AV3" i="30" s="1"/>
  <c r="BM3" i="30" s="1"/>
  <c r="CD3" i="30" s="1"/>
  <c r="CU3" i="30" s="1"/>
  <c r="DL3" i="30" s="1"/>
  <c r="EC3" i="30" s="1"/>
  <c r="ET3" i="30" s="1"/>
  <c r="FK3" i="30" s="1"/>
  <c r="GB3" i="30" s="1"/>
  <c r="GS3" i="30" s="1"/>
  <c r="HJ3" i="30" s="1"/>
  <c r="IA3" i="30" s="1"/>
  <c r="IR3" i="30" s="1"/>
  <c r="JI3" i="30" s="1"/>
  <c r="JZ3" i="30" s="1"/>
  <c r="KQ3" i="30" s="1"/>
  <c r="LH3" i="30" s="1"/>
  <c r="LY3" i="30" s="1"/>
  <c r="MP3" i="30" s="1"/>
  <c r="NG3" i="30" s="1"/>
  <c r="NX3" i="30" s="1"/>
  <c r="OO3" i="30" s="1"/>
  <c r="PF3" i="30" s="1"/>
  <c r="PW3" i="30" s="1"/>
  <c r="QN3" i="30" s="1"/>
  <c r="RE3" i="30" s="1"/>
  <c r="RV3" i="30" s="1"/>
  <c r="SM3" i="30" s="1"/>
  <c r="AD3" i="30"/>
  <c r="AU3" i="30" s="1"/>
  <c r="BL3" i="30" s="1"/>
  <c r="CC3" i="30" s="1"/>
  <c r="CT3" i="30" s="1"/>
  <c r="DK3" i="30" s="1"/>
  <c r="EB3" i="30" s="1"/>
  <c r="ES3" i="30" s="1"/>
  <c r="FJ3" i="30" s="1"/>
  <c r="GA3" i="30" s="1"/>
  <c r="GR3" i="30" s="1"/>
  <c r="HI3" i="30" s="1"/>
  <c r="HZ3" i="30" s="1"/>
  <c r="IQ3" i="30" s="1"/>
  <c r="JH3" i="30" s="1"/>
  <c r="JY3" i="30" s="1"/>
  <c r="KP3" i="30" s="1"/>
  <c r="LG3" i="30" s="1"/>
  <c r="LX3" i="30" s="1"/>
  <c r="MO3" i="30" s="1"/>
  <c r="NF3" i="30" s="1"/>
  <c r="NW3" i="30" s="1"/>
  <c r="ON3" i="30" s="1"/>
  <c r="PE3" i="30" s="1"/>
  <c r="PV3" i="30" s="1"/>
  <c r="QM3" i="30" s="1"/>
  <c r="RD3" i="30" s="1"/>
  <c r="RU3" i="30" s="1"/>
  <c r="SL3" i="30" s="1"/>
  <c r="AA3" i="30"/>
  <c r="AR3" i="30" s="1"/>
  <c r="Z3" i="30"/>
  <c r="AQ3" i="30" s="1"/>
  <c r="BH3" i="30" s="1"/>
  <c r="BY3" i="30" s="1"/>
  <c r="CP3" i="30" s="1"/>
  <c r="DG3" i="30" s="1"/>
  <c r="DX3" i="30" s="1"/>
  <c r="EO3" i="30" s="1"/>
  <c r="FF3" i="30" s="1"/>
  <c r="FW3" i="30" s="1"/>
  <c r="GN3" i="30" s="1"/>
  <c r="HE3" i="30" s="1"/>
  <c r="HV3" i="30" s="1"/>
  <c r="IM3" i="30" s="1"/>
  <c r="JD3" i="30" s="1"/>
  <c r="JU3" i="30" s="1"/>
  <c r="KL3" i="30" s="1"/>
  <c r="LC3" i="30" s="1"/>
  <c r="LT3" i="30" s="1"/>
  <c r="MK3" i="30" s="1"/>
  <c r="NB3" i="30" s="1"/>
  <c r="NS3" i="30" s="1"/>
  <c r="OJ3" i="30" s="1"/>
  <c r="PA3" i="30" s="1"/>
  <c r="PR3" i="30" s="1"/>
  <c r="QI3" i="30" s="1"/>
  <c r="QZ3" i="30" s="1"/>
  <c r="RQ3" i="30" s="1"/>
  <c r="SH3" i="30" s="1"/>
  <c r="Y3" i="30"/>
  <c r="AP3" i="30" s="1"/>
  <c r="BG3" i="30" s="1"/>
  <c r="BX3" i="30" s="1"/>
  <c r="CO3" i="30" s="1"/>
  <c r="DF3" i="30" s="1"/>
  <c r="DW3" i="30" s="1"/>
  <c r="EN3" i="30" s="1"/>
  <c r="FE3" i="30" s="1"/>
  <c r="FV3" i="30" s="1"/>
  <c r="GM3" i="30" s="1"/>
  <c r="HD3" i="30" s="1"/>
  <c r="HU3" i="30" s="1"/>
  <c r="IL3" i="30" s="1"/>
  <c r="JC3" i="30" s="1"/>
  <c r="JT3" i="30" s="1"/>
  <c r="KK3" i="30" s="1"/>
  <c r="LB3" i="30" s="1"/>
  <c r="LS3" i="30" s="1"/>
  <c r="MJ3" i="30" s="1"/>
  <c r="NA3" i="30" s="1"/>
  <c r="NR3" i="30" s="1"/>
  <c r="OI3" i="30" s="1"/>
  <c r="OZ3" i="30" s="1"/>
  <c r="PQ3" i="30" s="1"/>
  <c r="QH3" i="30" s="1"/>
  <c r="QY3" i="30" s="1"/>
  <c r="RP3" i="30" s="1"/>
  <c r="SG3" i="30" s="1"/>
  <c r="V3" i="30"/>
  <c r="AM3" i="30" s="1"/>
  <c r="BD3" i="30" s="1"/>
  <c r="BU3" i="30" s="1"/>
  <c r="CL3" i="30" s="1"/>
  <c r="DC3" i="30" s="1"/>
  <c r="DT3" i="30" s="1"/>
  <c r="EK3" i="30" s="1"/>
  <c r="FB3" i="30" s="1"/>
  <c r="FS3" i="30" s="1"/>
  <c r="GJ3" i="30" s="1"/>
  <c r="HA3" i="30" s="1"/>
  <c r="HR3" i="30" s="1"/>
  <c r="II3" i="30" s="1"/>
  <c r="IZ3" i="30" s="1"/>
  <c r="JQ3" i="30" s="1"/>
  <c r="KH3" i="30" s="1"/>
  <c r="KY3" i="30" s="1"/>
  <c r="LP3" i="30" s="1"/>
  <c r="MG3" i="30" s="1"/>
  <c r="MX3" i="30" s="1"/>
  <c r="NO3" i="30" s="1"/>
  <c r="OF3" i="30" s="1"/>
  <c r="OW3" i="30" s="1"/>
  <c r="PN3" i="30" s="1"/>
  <c r="QE3" i="30" s="1"/>
  <c r="QV3" i="30" s="1"/>
  <c r="RM3" i="30" s="1"/>
  <c r="SD3" i="30" s="1"/>
  <c r="U3" i="30"/>
  <c r="AL3" i="30" s="1"/>
  <c r="BC3" i="30" s="1"/>
  <c r="BT3" i="30" s="1"/>
  <c r="CK3" i="30" s="1"/>
  <c r="DB3" i="30" s="1"/>
  <c r="DS3" i="30" s="1"/>
  <c r="EJ3" i="30" s="1"/>
  <c r="FA3" i="30" s="1"/>
  <c r="FR3" i="30" s="1"/>
  <c r="GI3" i="30" s="1"/>
  <c r="GZ3" i="30" s="1"/>
  <c r="HQ3" i="30" s="1"/>
  <c r="IH3" i="30" s="1"/>
  <c r="IY3" i="30" s="1"/>
  <c r="JP3" i="30" s="1"/>
  <c r="KG3" i="30" s="1"/>
  <c r="KX3" i="30" s="1"/>
  <c r="LO3" i="30" s="1"/>
  <c r="MF3" i="30" s="1"/>
  <c r="MW3" i="30" s="1"/>
  <c r="NN3" i="30" s="1"/>
  <c r="OE3" i="30" s="1"/>
  <c r="OV3" i="30" s="1"/>
  <c r="PM3" i="30" s="1"/>
  <c r="QD3" i="30" s="1"/>
  <c r="QU3" i="30" s="1"/>
  <c r="RL3" i="30" s="1"/>
  <c r="SC3" i="30" s="1"/>
  <c r="T3" i="30"/>
  <c r="AK3" i="30" s="1"/>
  <c r="BB3" i="30" s="1"/>
  <c r="BS3" i="30" s="1"/>
  <c r="CJ3" i="30" s="1"/>
  <c r="DA3" i="30" s="1"/>
  <c r="DR3" i="30" s="1"/>
  <c r="EI3" i="30" s="1"/>
  <c r="EZ3" i="30" s="1"/>
  <c r="FQ3" i="30" s="1"/>
  <c r="GH3" i="30" s="1"/>
  <c r="GY3" i="30" s="1"/>
  <c r="HP3" i="30" s="1"/>
  <c r="IG3" i="30" s="1"/>
  <c r="IX3" i="30" s="1"/>
  <c r="JO3" i="30" s="1"/>
  <c r="KF3" i="30" s="1"/>
  <c r="KW3" i="30" s="1"/>
  <c r="LN3" i="30" s="1"/>
  <c r="ME3" i="30" s="1"/>
  <c r="MV3" i="30" s="1"/>
  <c r="NM3" i="30" s="1"/>
  <c r="OD3" i="30" s="1"/>
  <c r="OU3" i="30" s="1"/>
  <c r="PL3" i="30" s="1"/>
  <c r="QC3" i="30" s="1"/>
  <c r="QT3" i="30" s="1"/>
  <c r="RK3" i="30" s="1"/>
  <c r="SB3" i="30" s="1"/>
  <c r="BB1" i="30"/>
  <c r="T1" i="30"/>
  <c r="AK1" i="30" s="1"/>
  <c r="R24" i="28"/>
  <c r="SN22" i="28"/>
  <c r="SM22" i="28"/>
  <c r="SL22" i="28"/>
  <c r="SI22" i="28"/>
  <c r="SH22" i="28"/>
  <c r="SG22" i="28"/>
  <c r="SD22" i="28"/>
  <c r="SC22" i="28"/>
  <c r="SB22" i="28"/>
  <c r="RW22" i="28"/>
  <c r="RV22" i="28"/>
  <c r="RU22" i="28"/>
  <c r="RR22" i="28"/>
  <c r="RQ22" i="28"/>
  <c r="RP22" i="28"/>
  <c r="RM22" i="28"/>
  <c r="RL22" i="28"/>
  <c r="RK22" i="28"/>
  <c r="RF22" i="28"/>
  <c r="RE22" i="28"/>
  <c r="RD22" i="28"/>
  <c r="RA22" i="28"/>
  <c r="QZ22" i="28"/>
  <c r="QY22" i="28"/>
  <c r="QV22" i="28"/>
  <c r="QU22" i="28"/>
  <c r="QT22" i="28"/>
  <c r="QO22" i="28"/>
  <c r="QN22" i="28"/>
  <c r="QM22" i="28"/>
  <c r="QJ22" i="28"/>
  <c r="QI22" i="28"/>
  <c r="QH22" i="28"/>
  <c r="QE22" i="28"/>
  <c r="QD22" i="28"/>
  <c r="QC22" i="28"/>
  <c r="PX22" i="28"/>
  <c r="PW22" i="28"/>
  <c r="PV22" i="28"/>
  <c r="PS22" i="28"/>
  <c r="PR22" i="28"/>
  <c r="PQ22" i="28"/>
  <c r="PN22" i="28"/>
  <c r="PM22" i="28"/>
  <c r="PL22" i="28"/>
  <c r="PG22" i="28"/>
  <c r="PF22" i="28"/>
  <c r="PE22" i="28"/>
  <c r="PB22" i="28"/>
  <c r="PA22" i="28"/>
  <c r="OZ22" i="28"/>
  <c r="OW22" i="28"/>
  <c r="OV22" i="28"/>
  <c r="OU22" i="28"/>
  <c r="OP22" i="28"/>
  <c r="OO22" i="28"/>
  <c r="ON22" i="28"/>
  <c r="OK22" i="28"/>
  <c r="OJ22" i="28"/>
  <c r="OI22" i="28"/>
  <c r="OF22" i="28"/>
  <c r="OE22" i="28"/>
  <c r="OD22" i="28"/>
  <c r="NY22" i="28"/>
  <c r="NX22" i="28"/>
  <c r="NW22" i="28"/>
  <c r="NT22" i="28"/>
  <c r="NS22" i="28"/>
  <c r="NR22" i="28"/>
  <c r="NO22" i="28"/>
  <c r="NN22" i="28"/>
  <c r="NM22" i="28"/>
  <c r="NH22" i="28"/>
  <c r="NG22" i="28"/>
  <c r="NF22" i="28"/>
  <c r="NC22" i="28"/>
  <c r="NB22" i="28"/>
  <c r="NA22" i="28"/>
  <c r="MX22" i="28"/>
  <c r="MW22" i="28"/>
  <c r="MV22" i="28"/>
  <c r="MQ22" i="28"/>
  <c r="MP22" i="28"/>
  <c r="MO22" i="28"/>
  <c r="ML22" i="28"/>
  <c r="MK22" i="28"/>
  <c r="MJ22" i="28"/>
  <c r="MG22" i="28"/>
  <c r="MF22" i="28"/>
  <c r="ME22" i="28"/>
  <c r="LZ22" i="28"/>
  <c r="LY22" i="28"/>
  <c r="LX22" i="28"/>
  <c r="LU22" i="28"/>
  <c r="LT22" i="28"/>
  <c r="LS22" i="28"/>
  <c r="LP22" i="28"/>
  <c r="LO22" i="28"/>
  <c r="LN22" i="28"/>
  <c r="LI22" i="28"/>
  <c r="LH22" i="28"/>
  <c r="LG22" i="28"/>
  <c r="LD22" i="28"/>
  <c r="LC22" i="28"/>
  <c r="LB22" i="28"/>
  <c r="KY22" i="28"/>
  <c r="KX22" i="28"/>
  <c r="KW22" i="28"/>
  <c r="KR22" i="28"/>
  <c r="KQ22" i="28"/>
  <c r="KP22" i="28"/>
  <c r="KM22" i="28"/>
  <c r="KL22" i="28"/>
  <c r="KK22" i="28"/>
  <c r="KH22" i="28"/>
  <c r="KG22" i="28"/>
  <c r="KF22" i="28"/>
  <c r="KA22" i="28"/>
  <c r="JZ22" i="28"/>
  <c r="JY22" i="28"/>
  <c r="JV22" i="28"/>
  <c r="JU22" i="28"/>
  <c r="JT22" i="28"/>
  <c r="JQ22" i="28"/>
  <c r="JP22" i="28"/>
  <c r="JO22" i="28"/>
  <c r="JJ22" i="28"/>
  <c r="JI22" i="28"/>
  <c r="JH22" i="28"/>
  <c r="JE22" i="28"/>
  <c r="JD22" i="28"/>
  <c r="JC22" i="28"/>
  <c r="IZ22" i="28"/>
  <c r="IY22" i="28"/>
  <c r="IX22" i="28"/>
  <c r="IS22" i="28"/>
  <c r="IR22" i="28"/>
  <c r="IQ22" i="28"/>
  <c r="IN22" i="28"/>
  <c r="IM22" i="28"/>
  <c r="IL22" i="28"/>
  <c r="II22" i="28"/>
  <c r="IH22" i="28"/>
  <c r="IG22" i="28"/>
  <c r="IB22" i="28"/>
  <c r="IA22" i="28"/>
  <c r="HZ22" i="28"/>
  <c r="HW22" i="28"/>
  <c r="HV22" i="28"/>
  <c r="HU22" i="28"/>
  <c r="HR22" i="28"/>
  <c r="HQ22" i="28"/>
  <c r="HP22" i="28"/>
  <c r="HK22" i="28"/>
  <c r="HJ22" i="28"/>
  <c r="HI22" i="28"/>
  <c r="HF22" i="28"/>
  <c r="HE22" i="28"/>
  <c r="HD22" i="28"/>
  <c r="HA22" i="28"/>
  <c r="GZ22" i="28"/>
  <c r="GY22" i="28"/>
  <c r="GT22" i="28"/>
  <c r="GS22" i="28"/>
  <c r="GR22" i="28"/>
  <c r="GO22" i="28"/>
  <c r="GN22" i="28"/>
  <c r="GM22" i="28"/>
  <c r="GJ22" i="28"/>
  <c r="GI22" i="28"/>
  <c r="GH22" i="28"/>
  <c r="GC22" i="28"/>
  <c r="GB22" i="28"/>
  <c r="GA22" i="28"/>
  <c r="FX22" i="28"/>
  <c r="FW22" i="28"/>
  <c r="FV22" i="28"/>
  <c r="FS22" i="28"/>
  <c r="FR22" i="28"/>
  <c r="FQ22" i="28"/>
  <c r="FL22" i="28"/>
  <c r="FK22" i="28"/>
  <c r="FJ22" i="28"/>
  <c r="FG22" i="28"/>
  <c r="FF22" i="28"/>
  <c r="FE22" i="28"/>
  <c r="FB22" i="28"/>
  <c r="FA22" i="28"/>
  <c r="EZ22" i="28"/>
  <c r="EU22" i="28"/>
  <c r="ET22" i="28"/>
  <c r="ES22" i="28"/>
  <c r="EP22" i="28"/>
  <c r="EO22" i="28"/>
  <c r="EN22" i="28"/>
  <c r="EK22" i="28"/>
  <c r="EJ22" i="28"/>
  <c r="EI22" i="28"/>
  <c r="ED22" i="28"/>
  <c r="EC22" i="28"/>
  <c r="EB22" i="28"/>
  <c r="DY22" i="28"/>
  <c r="DX22" i="28"/>
  <c r="DW22" i="28"/>
  <c r="DT22" i="28"/>
  <c r="DS22" i="28"/>
  <c r="DR22" i="28"/>
  <c r="DM22" i="28"/>
  <c r="DL22" i="28"/>
  <c r="DK22" i="28"/>
  <c r="DH22" i="28"/>
  <c r="DG22" i="28"/>
  <c r="DF22" i="28"/>
  <c r="DC22" i="28"/>
  <c r="DB22" i="28"/>
  <c r="DA22" i="28"/>
  <c r="CV22" i="28"/>
  <c r="CU22" i="28"/>
  <c r="CT22" i="28"/>
  <c r="CQ22" i="28"/>
  <c r="CP22" i="28"/>
  <c r="CO22" i="28"/>
  <c r="CL22" i="28"/>
  <c r="CK22" i="28"/>
  <c r="CJ22" i="28"/>
  <c r="CE22" i="28"/>
  <c r="CD22" i="28"/>
  <c r="CC22" i="28"/>
  <c r="BZ22" i="28"/>
  <c r="BY22" i="28"/>
  <c r="BX22" i="28"/>
  <c r="BU22" i="28"/>
  <c r="BT22" i="28"/>
  <c r="BS22" i="28"/>
  <c r="BN22" i="28"/>
  <c r="BM22" i="28"/>
  <c r="BL22" i="28"/>
  <c r="BI22" i="28"/>
  <c r="BH22" i="28"/>
  <c r="BG22" i="28"/>
  <c r="BD22" i="28"/>
  <c r="BC22" i="28"/>
  <c r="BB22" i="28"/>
  <c r="AW22" i="28"/>
  <c r="AV22" i="28"/>
  <c r="AU22" i="28"/>
  <c r="AR22" i="28"/>
  <c r="AQ22" i="28"/>
  <c r="AP22" i="28"/>
  <c r="AM22" i="28"/>
  <c r="AL22" i="28"/>
  <c r="AK22" i="28"/>
  <c r="AF22" i="28"/>
  <c r="AE22" i="28"/>
  <c r="AD22" i="28"/>
  <c r="AA22" i="28"/>
  <c r="Z22" i="28"/>
  <c r="Y22" i="28"/>
  <c r="V22" i="28"/>
  <c r="U22" i="28"/>
  <c r="T22" i="28"/>
  <c r="O22" i="28"/>
  <c r="N22" i="28"/>
  <c r="M22" i="28"/>
  <c r="J22" i="28"/>
  <c r="I22" i="28"/>
  <c r="H22" i="28"/>
  <c r="E22" i="28"/>
  <c r="D22" i="28"/>
  <c r="C22" i="28"/>
  <c r="SP21" i="28"/>
  <c r="SO21" i="28"/>
  <c r="SJ21" i="28"/>
  <c r="SK21" i="28" s="1"/>
  <c r="SE21" i="28"/>
  <c r="RX21" i="28"/>
  <c r="RY21" i="28" s="1"/>
  <c r="RS21" i="28"/>
  <c r="RT21" i="28" s="1"/>
  <c r="RN21" i="28"/>
  <c r="RZ21" i="28" s="1"/>
  <c r="SA21" i="28" s="1"/>
  <c r="RI21" i="28"/>
  <c r="RJ21" i="28" s="1"/>
  <c r="RH21" i="28"/>
  <c r="RG21" i="28"/>
  <c r="RB21" i="28"/>
  <c r="RC21" i="28" s="1"/>
  <c r="QX21" i="28"/>
  <c r="QW21" i="28"/>
  <c r="QP21" i="28"/>
  <c r="QQ21" i="28" s="1"/>
  <c r="QK21" i="28"/>
  <c r="QL21" i="28" s="1"/>
  <c r="QF21" i="28"/>
  <c r="QR21" i="28" s="1"/>
  <c r="QS21" i="28" s="1"/>
  <c r="PZ21" i="28"/>
  <c r="PY21" i="28"/>
  <c r="PT21" i="28"/>
  <c r="PU21" i="28" s="1"/>
  <c r="PO21" i="28"/>
  <c r="QA21" i="28" s="1"/>
  <c r="QB21" i="28" s="1"/>
  <c r="PH21" i="28"/>
  <c r="PI21" i="28" s="1"/>
  <c r="PC21" i="28"/>
  <c r="PD21" i="28" s="1"/>
  <c r="OX21" i="28"/>
  <c r="OR21" i="28"/>
  <c r="OQ21" i="28"/>
  <c r="OL21" i="28"/>
  <c r="OM21" i="28" s="1"/>
  <c r="OG21" i="28"/>
  <c r="OS21" i="28" s="1"/>
  <c r="OT21" i="28" s="1"/>
  <c r="NZ21" i="28"/>
  <c r="OA21" i="28" s="1"/>
  <c r="NU21" i="28"/>
  <c r="NV21" i="28" s="1"/>
  <c r="NP21" i="28"/>
  <c r="NI21" i="28"/>
  <c r="NJ21" i="28" s="1"/>
  <c r="ND21" i="28"/>
  <c r="NE21" i="28" s="1"/>
  <c r="MY21" i="28"/>
  <c r="MR21" i="28"/>
  <c r="MS21" i="28" s="1"/>
  <c r="MM21" i="28"/>
  <c r="MN21" i="28" s="1"/>
  <c r="MH21" i="28"/>
  <c r="MA21" i="28"/>
  <c r="MB21" i="28" s="1"/>
  <c r="LV21" i="28"/>
  <c r="LW21" i="28" s="1"/>
  <c r="LQ21" i="28"/>
  <c r="MC21" i="28" s="1"/>
  <c r="MD21" i="28" s="1"/>
  <c r="LJ21" i="28"/>
  <c r="LK21" i="28" s="1"/>
  <c r="LE21" i="28"/>
  <c r="LF21" i="28" s="1"/>
  <c r="KZ21" i="28"/>
  <c r="KS21" i="28"/>
  <c r="KT21" i="28" s="1"/>
  <c r="KN21" i="28"/>
  <c r="KO21" i="28" s="1"/>
  <c r="KI21" i="28"/>
  <c r="KB21" i="28"/>
  <c r="KC21" i="28" s="1"/>
  <c r="JW21" i="28"/>
  <c r="JX21" i="28" s="1"/>
  <c r="JR21" i="28"/>
  <c r="JK21" i="28"/>
  <c r="JL21" i="28" s="1"/>
  <c r="JF21" i="28"/>
  <c r="JG21" i="28" s="1"/>
  <c r="JA21" i="28"/>
  <c r="IT21" i="28"/>
  <c r="IU21" i="28" s="1"/>
  <c r="IO21" i="28"/>
  <c r="IP21" i="28" s="1"/>
  <c r="IJ21" i="28"/>
  <c r="ID21" i="28"/>
  <c r="IC21" i="28"/>
  <c r="HX21" i="28"/>
  <c r="HY21" i="28" s="1"/>
  <c r="HS21" i="28"/>
  <c r="HL21" i="28"/>
  <c r="HM21" i="28" s="1"/>
  <c r="HG21" i="28"/>
  <c r="HH21" i="28" s="1"/>
  <c r="HB21" i="28"/>
  <c r="HN21" i="28" s="1"/>
  <c r="HO21" i="28" s="1"/>
  <c r="GW21" i="28"/>
  <c r="GX21" i="28" s="1"/>
  <c r="GV21" i="28"/>
  <c r="GU21" i="28"/>
  <c r="GP21" i="28"/>
  <c r="GQ21" i="28" s="1"/>
  <c r="GL21" i="28"/>
  <c r="GK21" i="28"/>
  <c r="GD21" i="28"/>
  <c r="GE21" i="28" s="1"/>
  <c r="FY21" i="28"/>
  <c r="FZ21" i="28" s="1"/>
  <c r="FT21" i="28"/>
  <c r="GF21" i="28" s="1"/>
  <c r="GG21" i="28" s="1"/>
  <c r="FN21" i="28"/>
  <c r="FM21" i="28"/>
  <c r="FH21" i="28"/>
  <c r="FI21" i="28" s="1"/>
  <c r="FC21" i="28"/>
  <c r="FO21" i="28" s="1"/>
  <c r="FP21" i="28" s="1"/>
  <c r="EV21" i="28"/>
  <c r="EW21" i="28" s="1"/>
  <c r="EQ21" i="28"/>
  <c r="ER21" i="28" s="1"/>
  <c r="EL21" i="28"/>
  <c r="EF21" i="28"/>
  <c r="EE21" i="28"/>
  <c r="DZ21" i="28"/>
  <c r="EA21" i="28" s="1"/>
  <c r="DU21" i="28"/>
  <c r="EG21" i="28" s="1"/>
  <c r="EH21" i="28" s="1"/>
  <c r="DN21" i="28"/>
  <c r="DO21" i="28" s="1"/>
  <c r="DI21" i="28"/>
  <c r="DJ21" i="28" s="1"/>
  <c r="DD21" i="28"/>
  <c r="CW21" i="28"/>
  <c r="CX21" i="28" s="1"/>
  <c r="CR21" i="28"/>
  <c r="CS21" i="28" s="1"/>
  <c r="CM21" i="28"/>
  <c r="CF21" i="28"/>
  <c r="CG21" i="28" s="1"/>
  <c r="CA21" i="28"/>
  <c r="CB21" i="28" s="1"/>
  <c r="BV21" i="28"/>
  <c r="BO21" i="28"/>
  <c r="BP21" i="28" s="1"/>
  <c r="BJ21" i="28"/>
  <c r="BK21" i="28" s="1"/>
  <c r="BE21" i="28"/>
  <c r="AX21" i="28"/>
  <c r="AY21" i="28" s="1"/>
  <c r="AS21" i="28"/>
  <c r="AT21" i="28" s="1"/>
  <c r="AN21" i="28"/>
  <c r="AG21" i="28"/>
  <c r="AH21" i="28" s="1"/>
  <c r="AB21" i="28"/>
  <c r="AC21" i="28" s="1"/>
  <c r="W21" i="28"/>
  <c r="P21" i="28"/>
  <c r="Q21" i="28" s="1"/>
  <c r="L21" i="28"/>
  <c r="K21" i="28"/>
  <c r="F21" i="28"/>
  <c r="SQ20" i="28"/>
  <c r="SR20" i="28" s="1"/>
  <c r="SO20" i="28"/>
  <c r="SP20" i="28" s="1"/>
  <c r="SJ20" i="28"/>
  <c r="SK20" i="28" s="1"/>
  <c r="SE20" i="28"/>
  <c r="SF20" i="28" s="1"/>
  <c r="SA20" i="28"/>
  <c r="RZ20" i="28"/>
  <c r="RX20" i="28"/>
  <c r="RY20" i="28" s="1"/>
  <c r="RT20" i="28"/>
  <c r="RS20" i="28"/>
  <c r="RN20" i="28"/>
  <c r="RO20" i="28" s="1"/>
  <c r="RI20" i="28"/>
  <c r="RJ20" i="28" s="1"/>
  <c r="RG20" i="28"/>
  <c r="RH20" i="28" s="1"/>
  <c r="RB20" i="28"/>
  <c r="RC20" i="28" s="1"/>
  <c r="QW20" i="28"/>
  <c r="QX20" i="28" s="1"/>
  <c r="QS20" i="28"/>
  <c r="QR20" i="28"/>
  <c r="QP20" i="28"/>
  <c r="QQ20" i="28" s="1"/>
  <c r="QL20" i="28"/>
  <c r="QK20" i="28"/>
  <c r="QF20" i="28"/>
  <c r="QG20" i="28" s="1"/>
  <c r="QA20" i="28"/>
  <c r="QB20" i="28" s="1"/>
  <c r="PY20" i="28"/>
  <c r="PZ20" i="28" s="1"/>
  <c r="PT20" i="28"/>
  <c r="PU20" i="28" s="1"/>
  <c r="PO20" i="28"/>
  <c r="PP20" i="28" s="1"/>
  <c r="PK20" i="28"/>
  <c r="PJ20" i="28"/>
  <c r="PH20" i="28"/>
  <c r="PI20" i="28" s="1"/>
  <c r="PD20" i="28"/>
  <c r="PC20" i="28"/>
  <c r="OX20" i="28"/>
  <c r="OY20" i="28" s="1"/>
  <c r="OS20" i="28"/>
  <c r="OT20" i="28" s="1"/>
  <c r="OQ20" i="28"/>
  <c r="OR20" i="28" s="1"/>
  <c r="OL20" i="28"/>
  <c r="OM20" i="28" s="1"/>
  <c r="OG20" i="28"/>
  <c r="OH20" i="28" s="1"/>
  <c r="OC20" i="28"/>
  <c r="OB20" i="28"/>
  <c r="NZ20" i="28"/>
  <c r="OA20" i="28" s="1"/>
  <c r="NV20" i="28"/>
  <c r="NU20" i="28"/>
  <c r="NP20" i="28"/>
  <c r="NQ20" i="28" s="1"/>
  <c r="NK20" i="28"/>
  <c r="NL20" i="28" s="1"/>
  <c r="NI20" i="28"/>
  <c r="NJ20" i="28" s="1"/>
  <c r="ND20" i="28"/>
  <c r="NE20" i="28" s="1"/>
  <c r="MY20" i="28"/>
  <c r="MZ20" i="28" s="1"/>
  <c r="MU20" i="28"/>
  <c r="MT20" i="28"/>
  <c r="MR20" i="28"/>
  <c r="MS20" i="28" s="1"/>
  <c r="MN20" i="28"/>
  <c r="MM20" i="28"/>
  <c r="MH20" i="28"/>
  <c r="MI20" i="28" s="1"/>
  <c r="MC20" i="28"/>
  <c r="MD20" i="28" s="1"/>
  <c r="MA20" i="28"/>
  <c r="MB20" i="28" s="1"/>
  <c r="LV20" i="28"/>
  <c r="LW20" i="28" s="1"/>
  <c r="LQ20" i="28"/>
  <c r="LR20" i="28" s="1"/>
  <c r="LL20" i="28"/>
  <c r="LM20" i="28" s="1"/>
  <c r="LJ20" i="28"/>
  <c r="LK20" i="28" s="1"/>
  <c r="LE20" i="28"/>
  <c r="LF20" i="28" s="1"/>
  <c r="KZ20" i="28"/>
  <c r="LA20" i="28" s="1"/>
  <c r="KU20" i="28"/>
  <c r="KV20" i="28" s="1"/>
  <c r="KS20" i="28"/>
  <c r="KT20" i="28" s="1"/>
  <c r="KN20" i="28"/>
  <c r="KO20" i="28" s="1"/>
  <c r="KI20" i="28"/>
  <c r="KJ20" i="28" s="1"/>
  <c r="KE20" i="28"/>
  <c r="KD20" i="28"/>
  <c r="KB20" i="28"/>
  <c r="KC20" i="28" s="1"/>
  <c r="JX20" i="28"/>
  <c r="JW20" i="28"/>
  <c r="JR20" i="28"/>
  <c r="JS20" i="28" s="1"/>
  <c r="JM20" i="28"/>
  <c r="JN20" i="28" s="1"/>
  <c r="JK20" i="28"/>
  <c r="JL20" i="28" s="1"/>
  <c r="JF20" i="28"/>
  <c r="JG20" i="28" s="1"/>
  <c r="JA20" i="28"/>
  <c r="JB20" i="28" s="1"/>
  <c r="IV20" i="28"/>
  <c r="IW20" i="28" s="1"/>
  <c r="IT20" i="28"/>
  <c r="IU20" i="28" s="1"/>
  <c r="IO20" i="28"/>
  <c r="IP20" i="28" s="1"/>
  <c r="IJ20" i="28"/>
  <c r="IK20" i="28" s="1"/>
  <c r="IE20" i="28"/>
  <c r="IF20" i="28" s="1"/>
  <c r="IC20" i="28"/>
  <c r="ID20" i="28" s="1"/>
  <c r="HX20" i="28"/>
  <c r="HY20" i="28" s="1"/>
  <c r="HS20" i="28"/>
  <c r="HT20" i="28" s="1"/>
  <c r="HN20" i="28"/>
  <c r="HO20" i="28" s="1"/>
  <c r="HL20" i="28"/>
  <c r="HM20" i="28" s="1"/>
  <c r="HG20" i="28"/>
  <c r="HH20" i="28" s="1"/>
  <c r="HB20" i="28"/>
  <c r="HC20" i="28" s="1"/>
  <c r="GW20" i="28"/>
  <c r="GX20" i="28" s="1"/>
  <c r="GU20" i="28"/>
  <c r="GV20" i="28" s="1"/>
  <c r="GP20" i="28"/>
  <c r="GQ20" i="28" s="1"/>
  <c r="GK20" i="28"/>
  <c r="GL20" i="28" s="1"/>
  <c r="GF20" i="28"/>
  <c r="GG20" i="28" s="1"/>
  <c r="GD20" i="28"/>
  <c r="GE20" i="28" s="1"/>
  <c r="FZ20" i="28"/>
  <c r="FY20" i="28"/>
  <c r="FT20" i="28"/>
  <c r="FU20" i="28" s="1"/>
  <c r="FO20" i="28"/>
  <c r="FP20" i="28" s="1"/>
  <c r="FM20" i="28"/>
  <c r="FN20" i="28" s="1"/>
  <c r="FH20" i="28"/>
  <c r="FI20" i="28" s="1"/>
  <c r="FC20" i="28"/>
  <c r="FD20" i="28" s="1"/>
  <c r="EX20" i="28"/>
  <c r="EY20" i="28" s="1"/>
  <c r="EV20" i="28"/>
  <c r="EW20" i="28" s="1"/>
  <c r="ER20" i="28"/>
  <c r="EQ20" i="28"/>
  <c r="EL20" i="28"/>
  <c r="EM20" i="28" s="1"/>
  <c r="EG20" i="28"/>
  <c r="EH20" i="28" s="1"/>
  <c r="EE20" i="28"/>
  <c r="EF20" i="28" s="1"/>
  <c r="DZ20" i="28"/>
  <c r="EA20" i="28" s="1"/>
  <c r="DU20" i="28"/>
  <c r="DV20" i="28" s="1"/>
  <c r="DP20" i="28"/>
  <c r="DQ20" i="28" s="1"/>
  <c r="DN20" i="28"/>
  <c r="DO20" i="28" s="1"/>
  <c r="DI20" i="28"/>
  <c r="DJ20" i="28" s="1"/>
  <c r="DD20" i="28"/>
  <c r="DE20" i="28" s="1"/>
  <c r="CY20" i="28"/>
  <c r="CZ20" i="28" s="1"/>
  <c r="CW20" i="28"/>
  <c r="CX20" i="28" s="1"/>
  <c r="CR20" i="28"/>
  <c r="CS20" i="28" s="1"/>
  <c r="CM20" i="28"/>
  <c r="CN20" i="28" s="1"/>
  <c r="CH20" i="28"/>
  <c r="CI20" i="28" s="1"/>
  <c r="CF20" i="28"/>
  <c r="CG20" i="28" s="1"/>
  <c r="CA20" i="28"/>
  <c r="CB20" i="28" s="1"/>
  <c r="BV20" i="28"/>
  <c r="BW20" i="28" s="1"/>
  <c r="BQ20" i="28"/>
  <c r="BR20" i="28" s="1"/>
  <c r="BO20" i="28"/>
  <c r="BP20" i="28" s="1"/>
  <c r="BJ20" i="28"/>
  <c r="BK20" i="28" s="1"/>
  <c r="BE20" i="28"/>
  <c r="BF20" i="28" s="1"/>
  <c r="AZ20" i="28"/>
  <c r="BA20" i="28" s="1"/>
  <c r="AX20" i="28"/>
  <c r="AY20" i="28" s="1"/>
  <c r="AT20" i="28"/>
  <c r="AS20" i="28"/>
  <c r="AN20" i="28"/>
  <c r="AO20" i="28" s="1"/>
  <c r="AI20" i="28"/>
  <c r="AJ20" i="28" s="1"/>
  <c r="AG20" i="28"/>
  <c r="AH20" i="28" s="1"/>
  <c r="AB20" i="28"/>
  <c r="AC20" i="28" s="1"/>
  <c r="W20" i="28"/>
  <c r="X20" i="28" s="1"/>
  <c r="S20" i="28"/>
  <c r="R20" i="28"/>
  <c r="P20" i="28"/>
  <c r="Q20" i="28" s="1"/>
  <c r="K20" i="28"/>
  <c r="L20" i="28" s="1"/>
  <c r="F20" i="28"/>
  <c r="G20" i="28" s="1"/>
  <c r="SO19" i="28"/>
  <c r="SP19" i="28" s="1"/>
  <c r="SJ19" i="28"/>
  <c r="SK19" i="28" s="1"/>
  <c r="SE19" i="28"/>
  <c r="SF19" i="28" s="1"/>
  <c r="RX19" i="28"/>
  <c r="RY19" i="28" s="1"/>
  <c r="RS19" i="28"/>
  <c r="RT19" i="28" s="1"/>
  <c r="RN19" i="28"/>
  <c r="RO19" i="28" s="1"/>
  <c r="RG19" i="28"/>
  <c r="RH19" i="28" s="1"/>
  <c r="RB19" i="28"/>
  <c r="RC19" i="28" s="1"/>
  <c r="QW19" i="28"/>
  <c r="QX19" i="28" s="1"/>
  <c r="QP19" i="28"/>
  <c r="QQ19" i="28" s="1"/>
  <c r="QL19" i="28"/>
  <c r="QK19" i="28"/>
  <c r="QF19" i="28"/>
  <c r="QG19" i="28" s="1"/>
  <c r="PY19" i="28"/>
  <c r="PZ19" i="28" s="1"/>
  <c r="PT19" i="28"/>
  <c r="PU19" i="28" s="1"/>
  <c r="PO19" i="28"/>
  <c r="PP19" i="28" s="1"/>
  <c r="PH19" i="28"/>
  <c r="PI19" i="28" s="1"/>
  <c r="PD19" i="28"/>
  <c r="PC19" i="28"/>
  <c r="OX19" i="28"/>
  <c r="OY19" i="28" s="1"/>
  <c r="OQ19" i="28"/>
  <c r="OR19" i="28" s="1"/>
  <c r="OL19" i="28"/>
  <c r="OM19" i="28" s="1"/>
  <c r="OG19" i="28"/>
  <c r="OH19" i="28" s="1"/>
  <c r="NZ19" i="28"/>
  <c r="OA19" i="28" s="1"/>
  <c r="NU19" i="28"/>
  <c r="NV19" i="28" s="1"/>
  <c r="NP19" i="28"/>
  <c r="NQ19" i="28" s="1"/>
  <c r="NI19" i="28"/>
  <c r="NJ19" i="28" s="1"/>
  <c r="ND19" i="28"/>
  <c r="NE19" i="28" s="1"/>
  <c r="MY19" i="28"/>
  <c r="MZ19" i="28" s="1"/>
  <c r="MR19" i="28"/>
  <c r="MS19" i="28" s="1"/>
  <c r="MM19" i="28"/>
  <c r="MN19" i="28" s="1"/>
  <c r="MH19" i="28"/>
  <c r="MI19" i="28" s="1"/>
  <c r="MA19" i="28"/>
  <c r="MB19" i="28" s="1"/>
  <c r="LV19" i="28"/>
  <c r="LW19" i="28" s="1"/>
  <c r="LQ19" i="28"/>
  <c r="LR19" i="28" s="1"/>
  <c r="LJ19" i="28"/>
  <c r="LK19" i="28" s="1"/>
  <c r="LF19" i="28"/>
  <c r="LE19" i="28"/>
  <c r="KZ19" i="28"/>
  <c r="LA19" i="28" s="1"/>
  <c r="KU19" i="28"/>
  <c r="KV19" i="28" s="1"/>
  <c r="KS19" i="28"/>
  <c r="KT19" i="28" s="1"/>
  <c r="KN19" i="28"/>
  <c r="KO19" i="28" s="1"/>
  <c r="KI19" i="28"/>
  <c r="KJ19" i="28" s="1"/>
  <c r="KB19" i="28"/>
  <c r="KC19" i="28" s="1"/>
  <c r="JX19" i="28"/>
  <c r="JW19" i="28"/>
  <c r="JR19" i="28"/>
  <c r="JS19" i="28" s="1"/>
  <c r="JM19" i="28"/>
  <c r="JN19" i="28" s="1"/>
  <c r="JK19" i="28"/>
  <c r="JL19" i="28" s="1"/>
  <c r="JF19" i="28"/>
  <c r="JG19" i="28" s="1"/>
  <c r="JA19" i="28"/>
  <c r="JB19" i="28" s="1"/>
  <c r="IT19" i="28"/>
  <c r="IU19" i="28" s="1"/>
  <c r="IO19" i="28"/>
  <c r="IP19" i="28" s="1"/>
  <c r="IJ19" i="28"/>
  <c r="IK19" i="28" s="1"/>
  <c r="IC19" i="28"/>
  <c r="ID19" i="28" s="1"/>
  <c r="HX19" i="28"/>
  <c r="HY19" i="28" s="1"/>
  <c r="HS19" i="28"/>
  <c r="HT19" i="28" s="1"/>
  <c r="HL19" i="28"/>
  <c r="HM19" i="28" s="1"/>
  <c r="HH19" i="28"/>
  <c r="HG19" i="28"/>
  <c r="HB19" i="28"/>
  <c r="HC19" i="28" s="1"/>
  <c r="GU19" i="28"/>
  <c r="GV19" i="28" s="1"/>
  <c r="GP19" i="28"/>
  <c r="GQ19" i="28" s="1"/>
  <c r="GK19" i="28"/>
  <c r="GL19" i="28" s="1"/>
  <c r="GD19" i="28"/>
  <c r="GE19" i="28" s="1"/>
  <c r="FY19" i="28"/>
  <c r="FZ19" i="28" s="1"/>
  <c r="FT19" i="28"/>
  <c r="FU19" i="28" s="1"/>
  <c r="FM19" i="28"/>
  <c r="FN19" i="28" s="1"/>
  <c r="FH19" i="28"/>
  <c r="FI19" i="28" s="1"/>
  <c r="FC19" i="28"/>
  <c r="FD19" i="28" s="1"/>
  <c r="EV19" i="28"/>
  <c r="EW19" i="28" s="1"/>
  <c r="EQ19" i="28"/>
  <c r="ER19" i="28" s="1"/>
  <c r="EL19" i="28"/>
  <c r="EM19" i="28" s="1"/>
  <c r="EE19" i="28"/>
  <c r="EF19" i="28" s="1"/>
  <c r="DZ19" i="28"/>
  <c r="EA19" i="28" s="1"/>
  <c r="DU19" i="28"/>
  <c r="DV19" i="28" s="1"/>
  <c r="DN19" i="28"/>
  <c r="DO19" i="28" s="1"/>
  <c r="DI19" i="28"/>
  <c r="DJ19" i="28" s="1"/>
  <c r="DD19" i="28"/>
  <c r="DE19" i="28" s="1"/>
  <c r="CW19" i="28"/>
  <c r="CX19" i="28" s="1"/>
  <c r="CR19" i="28"/>
  <c r="CS19" i="28" s="1"/>
  <c r="CM19" i="28"/>
  <c r="CN19" i="28" s="1"/>
  <c r="CF19" i="28"/>
  <c r="CG19" i="28" s="1"/>
  <c r="CA19" i="28"/>
  <c r="CB19" i="28" s="1"/>
  <c r="BV19" i="28"/>
  <c r="BW19" i="28" s="1"/>
  <c r="BO19" i="28"/>
  <c r="BP19" i="28" s="1"/>
  <c r="BJ19" i="28"/>
  <c r="BK19" i="28" s="1"/>
  <c r="BE19" i="28"/>
  <c r="BF19" i="28" s="1"/>
  <c r="AX19" i="28"/>
  <c r="AY19" i="28" s="1"/>
  <c r="AT19" i="28"/>
  <c r="AS19" i="28"/>
  <c r="AN19" i="28"/>
  <c r="AO19" i="28" s="1"/>
  <c r="AI19" i="28"/>
  <c r="AJ19" i="28" s="1"/>
  <c r="AG19" i="28"/>
  <c r="AH19" i="28" s="1"/>
  <c r="AB19" i="28"/>
  <c r="AC19" i="28" s="1"/>
  <c r="W19" i="28"/>
  <c r="X19" i="28" s="1"/>
  <c r="P19" i="28"/>
  <c r="Q19" i="28" s="1"/>
  <c r="K19" i="28"/>
  <c r="L19" i="28" s="1"/>
  <c r="F19" i="28"/>
  <c r="G19" i="28" s="1"/>
  <c r="SQ18" i="28"/>
  <c r="SR18" i="28" s="1"/>
  <c r="SO18" i="28"/>
  <c r="SP18" i="28" s="1"/>
  <c r="SJ18" i="28"/>
  <c r="SK18" i="28" s="1"/>
  <c r="SE18" i="28"/>
  <c r="SF18" i="28" s="1"/>
  <c r="RX18" i="28"/>
  <c r="RY18" i="28" s="1"/>
  <c r="RS18" i="28"/>
  <c r="RT18" i="28" s="1"/>
  <c r="RN18" i="28"/>
  <c r="RO18" i="28" s="1"/>
  <c r="RG18" i="28"/>
  <c r="RH18" i="28" s="1"/>
  <c r="RB18" i="28"/>
  <c r="RC18" i="28" s="1"/>
  <c r="QW18" i="28"/>
  <c r="QX18" i="28" s="1"/>
  <c r="QP18" i="28"/>
  <c r="QQ18" i="28" s="1"/>
  <c r="QL18" i="28"/>
  <c r="QK18" i="28"/>
  <c r="QF18" i="28"/>
  <c r="QG18" i="28" s="1"/>
  <c r="PY18" i="28"/>
  <c r="PZ18" i="28" s="1"/>
  <c r="PT18" i="28"/>
  <c r="PU18" i="28" s="1"/>
  <c r="PO18" i="28"/>
  <c r="PP18" i="28" s="1"/>
  <c r="PH18" i="28"/>
  <c r="PI18" i="28" s="1"/>
  <c r="PC18" i="28"/>
  <c r="PD18" i="28" s="1"/>
  <c r="OX18" i="28"/>
  <c r="OY18" i="28" s="1"/>
  <c r="OQ18" i="28"/>
  <c r="OR18" i="28" s="1"/>
  <c r="OL18" i="28"/>
  <c r="OG18" i="28"/>
  <c r="OH18" i="28" s="1"/>
  <c r="NZ18" i="28"/>
  <c r="OA18" i="28" s="1"/>
  <c r="NU18" i="28"/>
  <c r="NV18" i="28" s="1"/>
  <c r="NP18" i="28"/>
  <c r="NQ18" i="28" s="1"/>
  <c r="NI18" i="28"/>
  <c r="NJ18" i="28" s="1"/>
  <c r="ND18" i="28"/>
  <c r="MY18" i="28"/>
  <c r="MZ18" i="28" s="1"/>
  <c r="MR18" i="28"/>
  <c r="MS18" i="28" s="1"/>
  <c r="MM18" i="28"/>
  <c r="MN18" i="28" s="1"/>
  <c r="MH18" i="28"/>
  <c r="MI18" i="28" s="1"/>
  <c r="MA18" i="28"/>
  <c r="MB18" i="28" s="1"/>
  <c r="LV18" i="28"/>
  <c r="LW18" i="28" s="1"/>
  <c r="LQ18" i="28"/>
  <c r="LR18" i="28" s="1"/>
  <c r="LJ18" i="28"/>
  <c r="LK18" i="28" s="1"/>
  <c r="LE18" i="28"/>
  <c r="LF18" i="28" s="1"/>
  <c r="KZ18" i="28"/>
  <c r="LA18" i="28" s="1"/>
  <c r="KS18" i="28"/>
  <c r="KT18" i="28" s="1"/>
  <c r="KN18" i="28"/>
  <c r="KO18" i="28" s="1"/>
  <c r="KI18" i="28"/>
  <c r="KJ18" i="28" s="1"/>
  <c r="KB18" i="28"/>
  <c r="KC18" i="28" s="1"/>
  <c r="JW18" i="28"/>
  <c r="JX18" i="28" s="1"/>
  <c r="JR18" i="28"/>
  <c r="JS18" i="28" s="1"/>
  <c r="JK18" i="28"/>
  <c r="JL18" i="28" s="1"/>
  <c r="JF18" i="28"/>
  <c r="JG18" i="28" s="1"/>
  <c r="JA18" i="28"/>
  <c r="JB18" i="28" s="1"/>
  <c r="IT18" i="28"/>
  <c r="IU18" i="28" s="1"/>
  <c r="IP18" i="28"/>
  <c r="IO18" i="28"/>
  <c r="IJ18" i="28"/>
  <c r="IK18" i="28" s="1"/>
  <c r="IC18" i="28"/>
  <c r="HX18" i="28"/>
  <c r="HY18" i="28" s="1"/>
  <c r="HS18" i="28"/>
  <c r="HT18" i="28" s="1"/>
  <c r="HL18" i="28"/>
  <c r="HM18" i="28" s="1"/>
  <c r="HG18" i="28"/>
  <c r="HH18" i="28" s="1"/>
  <c r="HB18" i="28"/>
  <c r="GU18" i="28"/>
  <c r="GV18" i="28" s="1"/>
  <c r="GP18" i="28"/>
  <c r="GQ18" i="28" s="1"/>
  <c r="GK18" i="28"/>
  <c r="GW18" i="28" s="1"/>
  <c r="GX18" i="28" s="1"/>
  <c r="GD18" i="28"/>
  <c r="GE18" i="28" s="1"/>
  <c r="FY18" i="28"/>
  <c r="FZ18" i="28" s="1"/>
  <c r="FT18" i="28"/>
  <c r="FM18" i="28"/>
  <c r="FN18" i="28" s="1"/>
  <c r="FI18" i="28"/>
  <c r="FH18" i="28"/>
  <c r="FC18" i="28"/>
  <c r="EV18" i="28"/>
  <c r="EW18" i="28" s="1"/>
  <c r="EQ18" i="28"/>
  <c r="ER18" i="28" s="1"/>
  <c r="EL18" i="28"/>
  <c r="EE18" i="28"/>
  <c r="EF18" i="28" s="1"/>
  <c r="DZ18" i="28"/>
  <c r="EA18" i="28" s="1"/>
  <c r="DU18" i="28"/>
  <c r="EG18" i="28" s="1"/>
  <c r="EH18" i="28" s="1"/>
  <c r="DN18" i="28"/>
  <c r="DO18" i="28" s="1"/>
  <c r="DI18" i="28"/>
  <c r="DJ18" i="28" s="1"/>
  <c r="DD18" i="28"/>
  <c r="CW18" i="28"/>
  <c r="CX18" i="28" s="1"/>
  <c r="CS18" i="28"/>
  <c r="CR18" i="28"/>
  <c r="CM18" i="28"/>
  <c r="CF18" i="28"/>
  <c r="CG18" i="28" s="1"/>
  <c r="CA18" i="28"/>
  <c r="CB18" i="28" s="1"/>
  <c r="BV18" i="28"/>
  <c r="BO18" i="28"/>
  <c r="BP18" i="28" s="1"/>
  <c r="BJ18" i="28"/>
  <c r="BK18" i="28" s="1"/>
  <c r="BE18" i="28"/>
  <c r="BQ18" i="28" s="1"/>
  <c r="BR18" i="28" s="1"/>
  <c r="AX18" i="28"/>
  <c r="AY18" i="28" s="1"/>
  <c r="AS18" i="28"/>
  <c r="AT18" i="28" s="1"/>
  <c r="AN18" i="28"/>
  <c r="AG18" i="28"/>
  <c r="AH18" i="28" s="1"/>
  <c r="AC18" i="28"/>
  <c r="AB18" i="28"/>
  <c r="W18" i="28"/>
  <c r="P18" i="28"/>
  <c r="Q18" i="28" s="1"/>
  <c r="K18" i="28"/>
  <c r="L18" i="28" s="1"/>
  <c r="F18" i="28"/>
  <c r="SO17" i="28"/>
  <c r="SP17" i="28" s="1"/>
  <c r="SJ17" i="28"/>
  <c r="SK17" i="28" s="1"/>
  <c r="SE17" i="28"/>
  <c r="SQ17" i="28" s="1"/>
  <c r="SR17" i="28" s="1"/>
  <c r="RX17" i="28"/>
  <c r="RY17" i="28" s="1"/>
  <c r="RS17" i="28"/>
  <c r="RT17" i="28" s="1"/>
  <c r="RN17" i="28"/>
  <c r="RG17" i="28"/>
  <c r="RH17" i="28" s="1"/>
  <c r="RB17" i="28"/>
  <c r="RC17" i="28" s="1"/>
  <c r="QW17" i="28"/>
  <c r="QP17" i="28"/>
  <c r="QQ17" i="28" s="1"/>
  <c r="QK17" i="28"/>
  <c r="QL17" i="28" s="1"/>
  <c r="QF17" i="28"/>
  <c r="PY17" i="28"/>
  <c r="PZ17" i="28" s="1"/>
  <c r="PT17" i="28"/>
  <c r="PU17" i="28" s="1"/>
  <c r="PO17" i="28"/>
  <c r="PH17" i="28"/>
  <c r="PI17" i="28" s="1"/>
  <c r="PC17" i="28"/>
  <c r="PD17" i="28" s="1"/>
  <c r="OX17" i="28"/>
  <c r="OQ17" i="28"/>
  <c r="OR17" i="28" s="1"/>
  <c r="OL17" i="28"/>
  <c r="OM17" i="28" s="1"/>
  <c r="OG17" i="28"/>
  <c r="NZ17" i="28"/>
  <c r="OA17" i="28" s="1"/>
  <c r="NU17" i="28"/>
  <c r="NV17" i="28" s="1"/>
  <c r="NP17" i="28"/>
  <c r="NI17" i="28"/>
  <c r="NJ17" i="28" s="1"/>
  <c r="ND17" i="28"/>
  <c r="NE17" i="28" s="1"/>
  <c r="MY17" i="28"/>
  <c r="MR17" i="28"/>
  <c r="MS17" i="28" s="1"/>
  <c r="MM17" i="28"/>
  <c r="MN17" i="28" s="1"/>
  <c r="MH17" i="28"/>
  <c r="MA17" i="28"/>
  <c r="MB17" i="28" s="1"/>
  <c r="LV17" i="28"/>
  <c r="LW17" i="28" s="1"/>
  <c r="LQ17" i="28"/>
  <c r="LJ17" i="28"/>
  <c r="LK17" i="28" s="1"/>
  <c r="LE17" i="28"/>
  <c r="LF17" i="28" s="1"/>
  <c r="KZ17" i="28"/>
  <c r="KS17" i="28"/>
  <c r="KT17" i="28" s="1"/>
  <c r="KN17" i="28"/>
  <c r="KO17" i="28" s="1"/>
  <c r="KI17" i="28"/>
  <c r="KB17" i="28"/>
  <c r="KC17" i="28" s="1"/>
  <c r="JW17" i="28"/>
  <c r="JX17" i="28" s="1"/>
  <c r="JR17" i="28"/>
  <c r="JK17" i="28"/>
  <c r="JL17" i="28" s="1"/>
  <c r="JF17" i="28"/>
  <c r="JG17" i="28" s="1"/>
  <c r="JA17" i="28"/>
  <c r="IT17" i="28"/>
  <c r="IU17" i="28" s="1"/>
  <c r="IO17" i="28"/>
  <c r="IP17" i="28" s="1"/>
  <c r="IJ17" i="28"/>
  <c r="IC17" i="28"/>
  <c r="ID17" i="28" s="1"/>
  <c r="HX17" i="28"/>
  <c r="HY17" i="28" s="1"/>
  <c r="HS17" i="28"/>
  <c r="HL17" i="28"/>
  <c r="HM17" i="28" s="1"/>
  <c r="HG17" i="28"/>
  <c r="HH17" i="28" s="1"/>
  <c r="HB17" i="28"/>
  <c r="GU17" i="28"/>
  <c r="GV17" i="28" s="1"/>
  <c r="GP17" i="28"/>
  <c r="GQ17" i="28" s="1"/>
  <c r="GK17" i="28"/>
  <c r="GD17" i="28"/>
  <c r="GE17" i="28" s="1"/>
  <c r="FY17" i="28"/>
  <c r="FZ17" i="28" s="1"/>
  <c r="FT17" i="28"/>
  <c r="FM17" i="28"/>
  <c r="FN17" i="28" s="1"/>
  <c r="FH17" i="28"/>
  <c r="FI17" i="28" s="1"/>
  <c r="FC17" i="28"/>
  <c r="EV17" i="28"/>
  <c r="EW17" i="28" s="1"/>
  <c r="EQ17" i="28"/>
  <c r="ER17" i="28" s="1"/>
  <c r="EL17" i="28"/>
  <c r="EM17" i="28" s="1"/>
  <c r="EF17" i="28"/>
  <c r="EE17" i="28"/>
  <c r="DZ17" i="28"/>
  <c r="EA17" i="28" s="1"/>
  <c r="DU17" i="28"/>
  <c r="DO17" i="28"/>
  <c r="DN17" i="28"/>
  <c r="DI17" i="28"/>
  <c r="DJ17" i="28" s="1"/>
  <c r="DD17" i="28"/>
  <c r="CX17" i="28"/>
  <c r="CW17" i="28"/>
  <c r="CR17" i="28"/>
  <c r="CS17" i="28" s="1"/>
  <c r="CM17" i="28"/>
  <c r="CG17" i="28"/>
  <c r="CF17" i="28"/>
  <c r="CA17" i="28"/>
  <c r="CB17" i="28" s="1"/>
  <c r="BV17" i="28"/>
  <c r="BP17" i="28"/>
  <c r="BO17" i="28"/>
  <c r="BJ17" i="28"/>
  <c r="BK17" i="28" s="1"/>
  <c r="BE17" i="28"/>
  <c r="AY17" i="28"/>
  <c r="AX17" i="28"/>
  <c r="AS17" i="28"/>
  <c r="AT17" i="28" s="1"/>
  <c r="AN17" i="28"/>
  <c r="AH17" i="28"/>
  <c r="AG17" i="28"/>
  <c r="AB17" i="28"/>
  <c r="AC17" i="28" s="1"/>
  <c r="W17" i="28"/>
  <c r="Q17" i="28"/>
  <c r="P17" i="28"/>
  <c r="K17" i="28"/>
  <c r="L17" i="28" s="1"/>
  <c r="F17" i="28"/>
  <c r="SQ16" i="28"/>
  <c r="SR16" i="28" s="1"/>
  <c r="SO16" i="28"/>
  <c r="SP16" i="28" s="1"/>
  <c r="SJ16" i="28"/>
  <c r="SK16" i="28" s="1"/>
  <c r="SE16" i="28"/>
  <c r="SF16" i="28" s="1"/>
  <c r="RZ16" i="28"/>
  <c r="SA16" i="28" s="1"/>
  <c r="RY16" i="28"/>
  <c r="RX16" i="28"/>
  <c r="RS16" i="28"/>
  <c r="RT16" i="28" s="1"/>
  <c r="RN16" i="28"/>
  <c r="RO16" i="28" s="1"/>
  <c r="RI16" i="28"/>
  <c r="RJ16" i="28" s="1"/>
  <c r="RG16" i="28"/>
  <c r="RH16" i="28" s="1"/>
  <c r="RB16" i="28"/>
  <c r="RC16" i="28" s="1"/>
  <c r="QW16" i="28"/>
  <c r="QX16" i="28" s="1"/>
  <c r="QR16" i="28"/>
  <c r="QS16" i="28" s="1"/>
  <c r="QQ16" i="28"/>
  <c r="QP16" i="28"/>
  <c r="QK16" i="28"/>
  <c r="QL16" i="28" s="1"/>
  <c r="QF16" i="28"/>
  <c r="QG16" i="28" s="1"/>
  <c r="QA16" i="28"/>
  <c r="QB16" i="28" s="1"/>
  <c r="PY16" i="28"/>
  <c r="PZ16" i="28" s="1"/>
  <c r="PT16" i="28"/>
  <c r="PU16" i="28" s="1"/>
  <c r="PO16" i="28"/>
  <c r="PP16" i="28" s="1"/>
  <c r="PJ16" i="28"/>
  <c r="PK16" i="28" s="1"/>
  <c r="PI16" i="28"/>
  <c r="PH16" i="28"/>
  <c r="PC16" i="28"/>
  <c r="PD16" i="28" s="1"/>
  <c r="OX16" i="28"/>
  <c r="OY16" i="28" s="1"/>
  <c r="OS16" i="28"/>
  <c r="OT16" i="28" s="1"/>
  <c r="OQ16" i="28"/>
  <c r="OR16" i="28" s="1"/>
  <c r="OL16" i="28"/>
  <c r="OM16" i="28" s="1"/>
  <c r="OG16" i="28"/>
  <c r="OH16" i="28" s="1"/>
  <c r="OB16" i="28"/>
  <c r="OC16" i="28" s="1"/>
  <c r="OA16" i="28"/>
  <c r="NZ16" i="28"/>
  <c r="NU16" i="28"/>
  <c r="NV16" i="28" s="1"/>
  <c r="NP16" i="28"/>
  <c r="NQ16" i="28" s="1"/>
  <c r="NK16" i="28"/>
  <c r="NL16" i="28" s="1"/>
  <c r="NI16" i="28"/>
  <c r="NJ16" i="28" s="1"/>
  <c r="ND16" i="28"/>
  <c r="NE16" i="28" s="1"/>
  <c r="MY16" i="28"/>
  <c r="MZ16" i="28" s="1"/>
  <c r="MT16" i="28"/>
  <c r="MU16" i="28" s="1"/>
  <c r="MS16" i="28"/>
  <c r="MR16" i="28"/>
  <c r="MM16" i="28"/>
  <c r="MN16" i="28" s="1"/>
  <c r="MH16" i="28"/>
  <c r="MI16" i="28" s="1"/>
  <c r="MC16" i="28"/>
  <c r="MD16" i="28" s="1"/>
  <c r="MA16" i="28"/>
  <c r="MB16" i="28" s="1"/>
  <c r="LV16" i="28"/>
  <c r="LW16" i="28" s="1"/>
  <c r="LQ16" i="28"/>
  <c r="LR16" i="28" s="1"/>
  <c r="LL16" i="28"/>
  <c r="LM16" i="28" s="1"/>
  <c r="LK16" i="28"/>
  <c r="LJ16" i="28"/>
  <c r="LE16" i="28"/>
  <c r="LF16" i="28" s="1"/>
  <c r="KZ16" i="28"/>
  <c r="LA16" i="28" s="1"/>
  <c r="KU16" i="28"/>
  <c r="KV16" i="28" s="1"/>
  <c r="KS16" i="28"/>
  <c r="KT16" i="28" s="1"/>
  <c r="KN16" i="28"/>
  <c r="KO16" i="28" s="1"/>
  <c r="KI16" i="28"/>
  <c r="KJ16" i="28" s="1"/>
  <c r="KD16" i="28"/>
  <c r="KE16" i="28" s="1"/>
  <c r="KC16" i="28"/>
  <c r="KB16" i="28"/>
  <c r="JW16" i="28"/>
  <c r="JX16" i="28" s="1"/>
  <c r="JR16" i="28"/>
  <c r="JS16" i="28" s="1"/>
  <c r="JM16" i="28"/>
  <c r="JN16" i="28" s="1"/>
  <c r="JK16" i="28"/>
  <c r="JL16" i="28" s="1"/>
  <c r="JF16" i="28"/>
  <c r="JG16" i="28" s="1"/>
  <c r="JA16" i="28"/>
  <c r="JB16" i="28" s="1"/>
  <c r="IV16" i="28"/>
  <c r="IW16" i="28" s="1"/>
  <c r="IU16" i="28"/>
  <c r="IT16" i="28"/>
  <c r="IO16" i="28"/>
  <c r="IP16" i="28" s="1"/>
  <c r="IJ16" i="28"/>
  <c r="IK16" i="28" s="1"/>
  <c r="IE16" i="28"/>
  <c r="IF16" i="28" s="1"/>
  <c r="IC16" i="28"/>
  <c r="ID16" i="28" s="1"/>
  <c r="HX16" i="28"/>
  <c r="HY16" i="28" s="1"/>
  <c r="HS16" i="28"/>
  <c r="HT16" i="28" s="1"/>
  <c r="HN16" i="28"/>
  <c r="HO16" i="28" s="1"/>
  <c r="HM16" i="28"/>
  <c r="HL16" i="28"/>
  <c r="HG16" i="28"/>
  <c r="HH16" i="28" s="1"/>
  <c r="HB16" i="28"/>
  <c r="HC16" i="28" s="1"/>
  <c r="GW16" i="28"/>
  <c r="GX16" i="28" s="1"/>
  <c r="GU16" i="28"/>
  <c r="GV16" i="28" s="1"/>
  <c r="GP16" i="28"/>
  <c r="GQ16" i="28" s="1"/>
  <c r="GK16" i="28"/>
  <c r="GL16" i="28" s="1"/>
  <c r="GF16" i="28"/>
  <c r="GG16" i="28" s="1"/>
  <c r="GE16" i="28"/>
  <c r="GD16" i="28"/>
  <c r="FY16" i="28"/>
  <c r="FZ16" i="28" s="1"/>
  <c r="FT16" i="28"/>
  <c r="FU16" i="28" s="1"/>
  <c r="FO16" i="28"/>
  <c r="FP16" i="28" s="1"/>
  <c r="FM16" i="28"/>
  <c r="FN16" i="28" s="1"/>
  <c r="FH16" i="28"/>
  <c r="FI16" i="28" s="1"/>
  <c r="FC16" i="28"/>
  <c r="FD16" i="28" s="1"/>
  <c r="EX16" i="28"/>
  <c r="EY16" i="28" s="1"/>
  <c r="EW16" i="28"/>
  <c r="EV16" i="28"/>
  <c r="EQ16" i="28"/>
  <c r="ER16" i="28" s="1"/>
  <c r="EL16" i="28"/>
  <c r="EM16" i="28" s="1"/>
  <c r="EG16" i="28"/>
  <c r="EH16" i="28" s="1"/>
  <c r="EE16" i="28"/>
  <c r="EF16" i="28" s="1"/>
  <c r="DZ16" i="28"/>
  <c r="EA16" i="28" s="1"/>
  <c r="DU16" i="28"/>
  <c r="DV16" i="28" s="1"/>
  <c r="DP16" i="28"/>
  <c r="DQ16" i="28" s="1"/>
  <c r="DO16" i="28"/>
  <c r="DN16" i="28"/>
  <c r="DI16" i="28"/>
  <c r="DJ16" i="28" s="1"/>
  <c r="DD16" i="28"/>
  <c r="DE16" i="28" s="1"/>
  <c r="CY16" i="28"/>
  <c r="CZ16" i="28" s="1"/>
  <c r="CW16" i="28"/>
  <c r="CX16" i="28" s="1"/>
  <c r="CR16" i="28"/>
  <c r="CS16" i="28" s="1"/>
  <c r="CM16" i="28"/>
  <c r="CN16" i="28" s="1"/>
  <c r="CH16" i="28"/>
  <c r="CI16" i="28" s="1"/>
  <c r="CG16" i="28"/>
  <c r="CF16" i="28"/>
  <c r="CA16" i="28"/>
  <c r="CB16" i="28" s="1"/>
  <c r="BV16" i="28"/>
  <c r="BW16" i="28" s="1"/>
  <c r="BQ16" i="28"/>
  <c r="BR16" i="28" s="1"/>
  <c r="BO16" i="28"/>
  <c r="BP16" i="28" s="1"/>
  <c r="BJ16" i="28"/>
  <c r="BK16" i="28" s="1"/>
  <c r="BE16" i="28"/>
  <c r="BF16" i="28" s="1"/>
  <c r="AZ16" i="28"/>
  <c r="BA16" i="28" s="1"/>
  <c r="AY16" i="28"/>
  <c r="AX16" i="28"/>
  <c r="AS16" i="28"/>
  <c r="AT16" i="28" s="1"/>
  <c r="AN16" i="28"/>
  <c r="AO16" i="28" s="1"/>
  <c r="AI16" i="28"/>
  <c r="AJ16" i="28" s="1"/>
  <c r="AG16" i="28"/>
  <c r="AH16" i="28" s="1"/>
  <c r="AB16" i="28"/>
  <c r="AC16" i="28" s="1"/>
  <c r="W16" i="28"/>
  <c r="X16" i="28" s="1"/>
  <c r="R16" i="28"/>
  <c r="S16" i="28" s="1"/>
  <c r="Q16" i="28"/>
  <c r="P16" i="28"/>
  <c r="K16" i="28"/>
  <c r="L16" i="28" s="1"/>
  <c r="F16" i="28"/>
  <c r="G16" i="28" s="1"/>
  <c r="SP15" i="28"/>
  <c r="SO15" i="28"/>
  <c r="SJ15" i="28"/>
  <c r="SK15" i="28" s="1"/>
  <c r="SE15" i="28"/>
  <c r="RY15" i="28"/>
  <c r="RX15" i="28"/>
  <c r="RS15" i="28"/>
  <c r="RT15" i="28" s="1"/>
  <c r="RN15" i="28"/>
  <c r="RG15" i="28"/>
  <c r="RH15" i="28" s="1"/>
  <c r="RB15" i="28"/>
  <c r="RC15" i="28" s="1"/>
  <c r="QW15" i="28"/>
  <c r="QP15" i="28"/>
  <c r="QQ15" i="28" s="1"/>
  <c r="QK15" i="28"/>
  <c r="QL15" i="28" s="1"/>
  <c r="QF15" i="28"/>
  <c r="PY15" i="28"/>
  <c r="PZ15" i="28" s="1"/>
  <c r="PT15" i="28"/>
  <c r="PU15" i="28" s="1"/>
  <c r="PO15" i="28"/>
  <c r="PH15" i="28"/>
  <c r="PI15" i="28" s="1"/>
  <c r="PC15" i="28"/>
  <c r="PD15" i="28" s="1"/>
  <c r="OX15" i="28"/>
  <c r="OQ15" i="28"/>
  <c r="OR15" i="28" s="1"/>
  <c r="OL15" i="28"/>
  <c r="OM15" i="28" s="1"/>
  <c r="OG15" i="28"/>
  <c r="NZ15" i="28"/>
  <c r="OA15" i="28" s="1"/>
  <c r="NU15" i="28"/>
  <c r="NV15" i="28" s="1"/>
  <c r="NP15" i="28"/>
  <c r="NI15" i="28"/>
  <c r="NJ15" i="28" s="1"/>
  <c r="ND15" i="28"/>
  <c r="NE15" i="28" s="1"/>
  <c r="MY15" i="28"/>
  <c r="MR15" i="28"/>
  <c r="MS15" i="28" s="1"/>
  <c r="MN15" i="28"/>
  <c r="MM15" i="28"/>
  <c r="MH15" i="28"/>
  <c r="MT15" i="28" s="1"/>
  <c r="MU15" i="28" s="1"/>
  <c r="MB15" i="28"/>
  <c r="MA15" i="28"/>
  <c r="LV15" i="28"/>
  <c r="LW15" i="28" s="1"/>
  <c r="LR15" i="28"/>
  <c r="LQ15" i="28"/>
  <c r="LJ15" i="28"/>
  <c r="LK15" i="28" s="1"/>
  <c r="LF15" i="28"/>
  <c r="LE15" i="28"/>
  <c r="KZ15" i="28"/>
  <c r="LL15" i="28" s="1"/>
  <c r="LM15" i="28" s="1"/>
  <c r="KT15" i="28"/>
  <c r="KS15" i="28"/>
  <c r="KN15" i="28"/>
  <c r="KO15" i="28" s="1"/>
  <c r="KJ15" i="28"/>
  <c r="KI15" i="28"/>
  <c r="KB15" i="28"/>
  <c r="KC15" i="28" s="1"/>
  <c r="JX15" i="28"/>
  <c r="JW15" i="28"/>
  <c r="JR15" i="28"/>
  <c r="KD15" i="28" s="1"/>
  <c r="KE15" i="28" s="1"/>
  <c r="JL15" i="28"/>
  <c r="JK15" i="28"/>
  <c r="JF15" i="28"/>
  <c r="JG15" i="28" s="1"/>
  <c r="JB15" i="28"/>
  <c r="JA15" i="28"/>
  <c r="IT15" i="28"/>
  <c r="IU15" i="28" s="1"/>
  <c r="IO15" i="28"/>
  <c r="IP15" i="28" s="1"/>
  <c r="IJ15" i="28"/>
  <c r="IC15" i="28"/>
  <c r="ID15" i="28" s="1"/>
  <c r="HX15" i="28"/>
  <c r="HY15" i="28" s="1"/>
  <c r="HS15" i="28"/>
  <c r="HL15" i="28"/>
  <c r="HM15" i="28" s="1"/>
  <c r="HG15" i="28"/>
  <c r="HH15" i="28" s="1"/>
  <c r="HB15" i="28"/>
  <c r="GU15" i="28"/>
  <c r="GV15" i="28" s="1"/>
  <c r="GP15" i="28"/>
  <c r="GQ15" i="28" s="1"/>
  <c r="GK15" i="28"/>
  <c r="GD15" i="28"/>
  <c r="GE15" i="28" s="1"/>
  <c r="FY15" i="28"/>
  <c r="FZ15" i="28" s="1"/>
  <c r="FT15" i="28"/>
  <c r="FM15" i="28"/>
  <c r="FN15" i="28" s="1"/>
  <c r="FH15" i="28"/>
  <c r="FI15" i="28" s="1"/>
  <c r="FC15" i="28"/>
  <c r="EV15" i="28"/>
  <c r="EW15" i="28" s="1"/>
  <c r="EQ15" i="28"/>
  <c r="ER15" i="28" s="1"/>
  <c r="EL15" i="28"/>
  <c r="EE15" i="28"/>
  <c r="EF15" i="28" s="1"/>
  <c r="DZ15" i="28"/>
  <c r="EA15" i="28" s="1"/>
  <c r="DU15" i="28"/>
  <c r="DN15" i="28"/>
  <c r="DO15" i="28" s="1"/>
  <c r="DI15" i="28"/>
  <c r="DJ15" i="28" s="1"/>
  <c r="DD15" i="28"/>
  <c r="CW15" i="28"/>
  <c r="CX15" i="28" s="1"/>
  <c r="CR15" i="28"/>
  <c r="CS15" i="28" s="1"/>
  <c r="CM15" i="28"/>
  <c r="CF15" i="28"/>
  <c r="CG15" i="28" s="1"/>
  <c r="CA15" i="28"/>
  <c r="CB15" i="28" s="1"/>
  <c r="BV15" i="28"/>
  <c r="BO15" i="28"/>
  <c r="BP15" i="28" s="1"/>
  <c r="BJ15" i="28"/>
  <c r="BK15" i="28" s="1"/>
  <c r="BE15" i="28"/>
  <c r="AX15" i="28"/>
  <c r="AY15" i="28" s="1"/>
  <c r="AS15" i="28"/>
  <c r="AT15" i="28" s="1"/>
  <c r="AN15" i="28"/>
  <c r="AG15" i="28"/>
  <c r="AH15" i="28" s="1"/>
  <c r="AB15" i="28"/>
  <c r="AC15" i="28" s="1"/>
  <c r="W15" i="28"/>
  <c r="P15" i="28"/>
  <c r="Q15" i="28" s="1"/>
  <c r="K15" i="28"/>
  <c r="L15" i="28" s="1"/>
  <c r="F15" i="28"/>
  <c r="SO14" i="28"/>
  <c r="SP14" i="28" s="1"/>
  <c r="SJ14" i="28"/>
  <c r="SK14" i="28" s="1"/>
  <c r="SE14" i="28"/>
  <c r="RX14" i="28"/>
  <c r="RY14" i="28" s="1"/>
  <c r="RS14" i="28"/>
  <c r="RT14" i="28" s="1"/>
  <c r="RN14" i="28"/>
  <c r="RG14" i="28"/>
  <c r="RH14" i="28" s="1"/>
  <c r="RB14" i="28"/>
  <c r="RC14" i="28" s="1"/>
  <c r="QW14" i="28"/>
  <c r="QP14" i="28"/>
  <c r="QQ14" i="28" s="1"/>
  <c r="QK14" i="28"/>
  <c r="QL14" i="28" s="1"/>
  <c r="QF14" i="28"/>
  <c r="PY14" i="28"/>
  <c r="PZ14" i="28" s="1"/>
  <c r="PT14" i="28"/>
  <c r="PU14" i="28" s="1"/>
  <c r="PO14" i="28"/>
  <c r="PH14" i="28"/>
  <c r="PI14" i="28" s="1"/>
  <c r="PC14" i="28"/>
  <c r="PD14" i="28" s="1"/>
  <c r="OY14" i="28"/>
  <c r="OX14" i="28"/>
  <c r="OQ14" i="28"/>
  <c r="OR14" i="28" s="1"/>
  <c r="OL14" i="28"/>
  <c r="OM14" i="28" s="1"/>
  <c r="OG14" i="28"/>
  <c r="NZ14" i="28"/>
  <c r="OA14" i="28" s="1"/>
  <c r="NU14" i="28"/>
  <c r="NV14" i="28" s="1"/>
  <c r="NP14" i="28"/>
  <c r="NQ14" i="28" s="1"/>
  <c r="NI14" i="28"/>
  <c r="NJ14" i="28" s="1"/>
  <c r="ND14" i="28"/>
  <c r="NE14" i="28" s="1"/>
  <c r="MY14" i="28"/>
  <c r="MR14" i="28"/>
  <c r="MS14" i="28" s="1"/>
  <c r="MM14" i="28"/>
  <c r="MN14" i="28" s="1"/>
  <c r="MH14" i="28"/>
  <c r="MA14" i="28"/>
  <c r="MB14" i="28" s="1"/>
  <c r="LV14" i="28"/>
  <c r="LW14" i="28" s="1"/>
  <c r="LQ14" i="28"/>
  <c r="LJ14" i="28"/>
  <c r="LK14" i="28" s="1"/>
  <c r="LE14" i="28"/>
  <c r="LF14" i="28" s="1"/>
  <c r="KZ14" i="28"/>
  <c r="KS14" i="28"/>
  <c r="KT14" i="28" s="1"/>
  <c r="KN14" i="28"/>
  <c r="KO14" i="28" s="1"/>
  <c r="KI14" i="28"/>
  <c r="KB14" i="28"/>
  <c r="KC14" i="28" s="1"/>
  <c r="JW14" i="28"/>
  <c r="JX14" i="28" s="1"/>
  <c r="JR14" i="28"/>
  <c r="JK14" i="28"/>
  <c r="JL14" i="28" s="1"/>
  <c r="JF14" i="28"/>
  <c r="JG14" i="28" s="1"/>
  <c r="JA14" i="28"/>
  <c r="IT14" i="28"/>
  <c r="IU14" i="28" s="1"/>
  <c r="IO14" i="28"/>
  <c r="IP14" i="28" s="1"/>
  <c r="IJ14" i="28"/>
  <c r="IC14" i="28"/>
  <c r="ID14" i="28" s="1"/>
  <c r="HX14" i="28"/>
  <c r="HY14" i="28" s="1"/>
  <c r="HS14" i="28"/>
  <c r="HL14" i="28"/>
  <c r="HM14" i="28" s="1"/>
  <c r="HG14" i="28"/>
  <c r="HH14" i="28" s="1"/>
  <c r="HB14" i="28"/>
  <c r="GU14" i="28"/>
  <c r="GV14" i="28" s="1"/>
  <c r="GP14" i="28"/>
  <c r="GQ14" i="28" s="1"/>
  <c r="GK14" i="28"/>
  <c r="GD14" i="28"/>
  <c r="GE14" i="28" s="1"/>
  <c r="FY14" i="28"/>
  <c r="FZ14" i="28" s="1"/>
  <c r="FT14" i="28"/>
  <c r="FM14" i="28"/>
  <c r="FN14" i="28" s="1"/>
  <c r="FH14" i="28"/>
  <c r="FI14" i="28" s="1"/>
  <c r="FC14" i="28"/>
  <c r="EV14" i="28"/>
  <c r="EW14" i="28" s="1"/>
  <c r="EQ14" i="28"/>
  <c r="ER14" i="28" s="1"/>
  <c r="EL14" i="28"/>
  <c r="EE14" i="28"/>
  <c r="EF14" i="28" s="1"/>
  <c r="DZ14" i="28"/>
  <c r="EA14" i="28" s="1"/>
  <c r="DU14" i="28"/>
  <c r="DN14" i="28"/>
  <c r="DO14" i="28" s="1"/>
  <c r="DI14" i="28"/>
  <c r="DJ14" i="28" s="1"/>
  <c r="DD14" i="28"/>
  <c r="CW14" i="28"/>
  <c r="CX14" i="28" s="1"/>
  <c r="CR14" i="28"/>
  <c r="CS14" i="28" s="1"/>
  <c r="CM14" i="28"/>
  <c r="CF14" i="28"/>
  <c r="CG14" i="28" s="1"/>
  <c r="CA14" i="28"/>
  <c r="CB14" i="28" s="1"/>
  <c r="BV14" i="28"/>
  <c r="BO14" i="28"/>
  <c r="BP14" i="28" s="1"/>
  <c r="BJ14" i="28"/>
  <c r="BK14" i="28" s="1"/>
  <c r="BE14" i="28"/>
  <c r="AX14" i="28"/>
  <c r="AY14" i="28" s="1"/>
  <c r="AS14" i="28"/>
  <c r="AT14" i="28" s="1"/>
  <c r="AN14" i="28"/>
  <c r="AG14" i="28"/>
  <c r="AH14" i="28" s="1"/>
  <c r="AB14" i="28"/>
  <c r="AC14" i="28" s="1"/>
  <c r="W14" i="28"/>
  <c r="P14" i="28"/>
  <c r="Q14" i="28" s="1"/>
  <c r="K14" i="28"/>
  <c r="L14" i="28" s="1"/>
  <c r="F14" i="28"/>
  <c r="SQ13" i="28"/>
  <c r="SR13" i="28" s="1"/>
  <c r="SO13" i="28"/>
  <c r="SP13" i="28" s="1"/>
  <c r="SJ13" i="28"/>
  <c r="SK13" i="28" s="1"/>
  <c r="SE13" i="28"/>
  <c r="SF13" i="28" s="1"/>
  <c r="RZ13" i="28"/>
  <c r="SA13" i="28" s="1"/>
  <c r="RY13" i="28"/>
  <c r="RX13" i="28"/>
  <c r="RS13" i="28"/>
  <c r="RT13" i="28" s="1"/>
  <c r="RN13" i="28"/>
  <c r="RO13" i="28" s="1"/>
  <c r="RI13" i="28"/>
  <c r="RJ13" i="28" s="1"/>
  <c r="RG13" i="28"/>
  <c r="RH13" i="28" s="1"/>
  <c r="RB13" i="28"/>
  <c r="RC13" i="28" s="1"/>
  <c r="QW13" i="28"/>
  <c r="QX13" i="28" s="1"/>
  <c r="QR13" i="28"/>
  <c r="QS13" i="28" s="1"/>
  <c r="QP13" i="28"/>
  <c r="QQ13" i="28" s="1"/>
  <c r="QK13" i="28"/>
  <c r="QL13" i="28" s="1"/>
  <c r="QF13" i="28"/>
  <c r="QG13" i="28" s="1"/>
  <c r="QA13" i="28"/>
  <c r="QB13" i="28" s="1"/>
  <c r="PY13" i="28"/>
  <c r="PZ13" i="28" s="1"/>
  <c r="PT13" i="28"/>
  <c r="PU13" i="28" s="1"/>
  <c r="PO13" i="28"/>
  <c r="PP13" i="28" s="1"/>
  <c r="PJ13" i="28"/>
  <c r="PK13" i="28" s="1"/>
  <c r="PI13" i="28"/>
  <c r="PH13" i="28"/>
  <c r="PC13" i="28"/>
  <c r="PD13" i="28" s="1"/>
  <c r="OX13" i="28"/>
  <c r="OY13" i="28" s="1"/>
  <c r="OS13" i="28"/>
  <c r="OT13" i="28" s="1"/>
  <c r="OQ13" i="28"/>
  <c r="OR13" i="28" s="1"/>
  <c r="OL13" i="28"/>
  <c r="OM13" i="28" s="1"/>
  <c r="OG13" i="28"/>
  <c r="OH13" i="28" s="1"/>
  <c r="OB13" i="28"/>
  <c r="OC13" i="28" s="1"/>
  <c r="NZ13" i="28"/>
  <c r="OA13" i="28" s="1"/>
  <c r="NU13" i="28"/>
  <c r="NV13" i="28" s="1"/>
  <c r="NP13" i="28"/>
  <c r="NQ13" i="28" s="1"/>
  <c r="NK13" i="28"/>
  <c r="NL13" i="28" s="1"/>
  <c r="NI13" i="28"/>
  <c r="NJ13" i="28" s="1"/>
  <c r="ND13" i="28"/>
  <c r="NE13" i="28" s="1"/>
  <c r="MY13" i="28"/>
  <c r="MZ13" i="28" s="1"/>
  <c r="MT13" i="28"/>
  <c r="MU13" i="28" s="1"/>
  <c r="MS13" i="28"/>
  <c r="MR13" i="28"/>
  <c r="MM13" i="28"/>
  <c r="MN13" i="28" s="1"/>
  <c r="MH13" i="28"/>
  <c r="MI13" i="28" s="1"/>
  <c r="MC13" i="28"/>
  <c r="MD13" i="28" s="1"/>
  <c r="MA13" i="28"/>
  <c r="MB13" i="28" s="1"/>
  <c r="LV13" i="28"/>
  <c r="LW13" i="28" s="1"/>
  <c r="LQ13" i="28"/>
  <c r="LR13" i="28" s="1"/>
  <c r="LL13" i="28"/>
  <c r="LM13" i="28" s="1"/>
  <c r="LJ13" i="28"/>
  <c r="LK13" i="28" s="1"/>
  <c r="LE13" i="28"/>
  <c r="LF13" i="28" s="1"/>
  <c r="KZ13" i="28"/>
  <c r="LA13" i="28" s="1"/>
  <c r="KU13" i="28"/>
  <c r="KV13" i="28" s="1"/>
  <c r="KS13" i="28"/>
  <c r="KT13" i="28" s="1"/>
  <c r="KN13" i="28"/>
  <c r="KO13" i="28" s="1"/>
  <c r="KI13" i="28"/>
  <c r="KJ13" i="28" s="1"/>
  <c r="KD13" i="28"/>
  <c r="KE13" i="28" s="1"/>
  <c r="KC13" i="28"/>
  <c r="KB13" i="28"/>
  <c r="JW13" i="28"/>
  <c r="JX13" i="28" s="1"/>
  <c r="JR13" i="28"/>
  <c r="JS13" i="28" s="1"/>
  <c r="JM13" i="28"/>
  <c r="JN13" i="28" s="1"/>
  <c r="JK13" i="28"/>
  <c r="JL13" i="28" s="1"/>
  <c r="JF13" i="28"/>
  <c r="JG13" i="28" s="1"/>
  <c r="JA13" i="28"/>
  <c r="JB13" i="28" s="1"/>
  <c r="IV13" i="28"/>
  <c r="IW13" i="28" s="1"/>
  <c r="IT13" i="28"/>
  <c r="IU13" i="28" s="1"/>
  <c r="IO13" i="28"/>
  <c r="IP13" i="28" s="1"/>
  <c r="IJ13" i="28"/>
  <c r="IK13" i="28" s="1"/>
  <c r="IE13" i="28"/>
  <c r="IF13" i="28" s="1"/>
  <c r="IC13" i="28"/>
  <c r="ID13" i="28" s="1"/>
  <c r="HX13" i="28"/>
  <c r="HY13" i="28" s="1"/>
  <c r="HS13" i="28"/>
  <c r="HT13" i="28" s="1"/>
  <c r="HN13" i="28"/>
  <c r="HO13" i="28" s="1"/>
  <c r="HM13" i="28"/>
  <c r="HL13" i="28"/>
  <c r="HG13" i="28"/>
  <c r="HH13" i="28" s="1"/>
  <c r="HB13" i="28"/>
  <c r="HC13" i="28" s="1"/>
  <c r="GW13" i="28"/>
  <c r="GX13" i="28" s="1"/>
  <c r="GU13" i="28"/>
  <c r="GV13" i="28" s="1"/>
  <c r="GP13" i="28"/>
  <c r="GQ13" i="28" s="1"/>
  <c r="GK13" i="28"/>
  <c r="GL13" i="28" s="1"/>
  <c r="GF13" i="28"/>
  <c r="GG13" i="28" s="1"/>
  <c r="GD13" i="28"/>
  <c r="GE13" i="28" s="1"/>
  <c r="FY13" i="28"/>
  <c r="FZ13" i="28" s="1"/>
  <c r="FT13" i="28"/>
  <c r="FU13" i="28" s="1"/>
  <c r="FO13" i="28"/>
  <c r="FP13" i="28" s="1"/>
  <c r="FM13" i="28"/>
  <c r="FN13" i="28" s="1"/>
  <c r="FH13" i="28"/>
  <c r="FI13" i="28" s="1"/>
  <c r="FC13" i="28"/>
  <c r="FD13" i="28" s="1"/>
  <c r="EX13" i="28"/>
  <c r="EY13" i="28" s="1"/>
  <c r="EW13" i="28"/>
  <c r="EV13" i="28"/>
  <c r="EQ13" i="28"/>
  <c r="ER13" i="28" s="1"/>
  <c r="EL13" i="28"/>
  <c r="EM13" i="28" s="1"/>
  <c r="EG13" i="28"/>
  <c r="EH13" i="28" s="1"/>
  <c r="EE13" i="28"/>
  <c r="EF13" i="28" s="1"/>
  <c r="DZ13" i="28"/>
  <c r="EA13" i="28" s="1"/>
  <c r="DU13" i="28"/>
  <c r="DV13" i="28" s="1"/>
  <c r="DP13" i="28"/>
  <c r="DQ13" i="28" s="1"/>
  <c r="DN13" i="28"/>
  <c r="DO13" i="28" s="1"/>
  <c r="DI13" i="28"/>
  <c r="DJ13" i="28" s="1"/>
  <c r="DD13" i="28"/>
  <c r="DE13" i="28" s="1"/>
  <c r="CY13" i="28"/>
  <c r="CZ13" i="28" s="1"/>
  <c r="CW13" i="28"/>
  <c r="CX13" i="28" s="1"/>
  <c r="CR13" i="28"/>
  <c r="CS13" i="28" s="1"/>
  <c r="CM13" i="28"/>
  <c r="CN13" i="28" s="1"/>
  <c r="CH13" i="28"/>
  <c r="CI13" i="28" s="1"/>
  <c r="CG13" i="28"/>
  <c r="CF13" i="28"/>
  <c r="CA13" i="28"/>
  <c r="CB13" i="28" s="1"/>
  <c r="BV13" i="28"/>
  <c r="BW13" i="28" s="1"/>
  <c r="BQ13" i="28"/>
  <c r="BR13" i="28" s="1"/>
  <c r="BO13" i="28"/>
  <c r="BP13" i="28" s="1"/>
  <c r="BJ13" i="28"/>
  <c r="BK13" i="28" s="1"/>
  <c r="BE13" i="28"/>
  <c r="BF13" i="28" s="1"/>
  <c r="AZ13" i="28"/>
  <c r="BA13" i="28" s="1"/>
  <c r="AX13" i="28"/>
  <c r="AY13" i="28" s="1"/>
  <c r="AS13" i="28"/>
  <c r="AT13" i="28" s="1"/>
  <c r="AN13" i="28"/>
  <c r="AO13" i="28" s="1"/>
  <c r="AI13" i="28"/>
  <c r="AJ13" i="28" s="1"/>
  <c r="AG13" i="28"/>
  <c r="AH13" i="28" s="1"/>
  <c r="AB13" i="28"/>
  <c r="AC13" i="28" s="1"/>
  <c r="W13" i="28"/>
  <c r="X13" i="28" s="1"/>
  <c r="R13" i="28"/>
  <c r="S13" i="28" s="1"/>
  <c r="Q13" i="28"/>
  <c r="P13" i="28"/>
  <c r="K13" i="28"/>
  <c r="L13" i="28" s="1"/>
  <c r="F13" i="28"/>
  <c r="G13" i="28" s="1"/>
  <c r="SP12" i="28"/>
  <c r="SO12" i="28"/>
  <c r="SJ12" i="28"/>
  <c r="SK12" i="28" s="1"/>
  <c r="SE12" i="28"/>
  <c r="RY12" i="28"/>
  <c r="RX12" i="28"/>
  <c r="RS12" i="28"/>
  <c r="RT12" i="28" s="1"/>
  <c r="RN12" i="28"/>
  <c r="RH12" i="28"/>
  <c r="RG12" i="28"/>
  <c r="RB12" i="28"/>
  <c r="RC12" i="28" s="1"/>
  <c r="QW12" i="28"/>
  <c r="QQ12" i="28"/>
  <c r="QP12" i="28"/>
  <c r="QK12" i="28"/>
  <c r="QL12" i="28" s="1"/>
  <c r="QF12" i="28"/>
  <c r="PZ12" i="28"/>
  <c r="PY12" i="28"/>
  <c r="PT12" i="28"/>
  <c r="PU12" i="28" s="1"/>
  <c r="PO12" i="28"/>
  <c r="PI12" i="28"/>
  <c r="PH12" i="28"/>
  <c r="PC12" i="28"/>
  <c r="PD12" i="28" s="1"/>
  <c r="OX12" i="28"/>
  <c r="OR12" i="28"/>
  <c r="OQ12" i="28"/>
  <c r="OL12" i="28"/>
  <c r="OM12" i="28" s="1"/>
  <c r="OG12" i="28"/>
  <c r="OA12" i="28"/>
  <c r="NZ12" i="28"/>
  <c r="NU12" i="28"/>
  <c r="NV12" i="28" s="1"/>
  <c r="NP12" i="28"/>
  <c r="NJ12" i="28"/>
  <c r="NI12" i="28"/>
  <c r="ND12" i="28"/>
  <c r="NE12" i="28" s="1"/>
  <c r="MY12" i="28"/>
  <c r="MS12" i="28"/>
  <c r="MR12" i="28"/>
  <c r="MM12" i="28"/>
  <c r="MN12" i="28" s="1"/>
  <c r="MH12" i="28"/>
  <c r="MB12" i="28"/>
  <c r="MA12" i="28"/>
  <c r="LV12" i="28"/>
  <c r="LW12" i="28" s="1"/>
  <c r="LQ12" i="28"/>
  <c r="LK12" i="28"/>
  <c r="LJ12" i="28"/>
  <c r="LE12" i="28"/>
  <c r="LF12" i="28" s="1"/>
  <c r="KZ12" i="28"/>
  <c r="KT12" i="28"/>
  <c r="KS12" i="28"/>
  <c r="KN12" i="28"/>
  <c r="KO12" i="28" s="1"/>
  <c r="KI12" i="28"/>
  <c r="KC12" i="28"/>
  <c r="KB12" i="28"/>
  <c r="JW12" i="28"/>
  <c r="JX12" i="28" s="1"/>
  <c r="JR12" i="28"/>
  <c r="JL12" i="28"/>
  <c r="JK12" i="28"/>
  <c r="JF12" i="28"/>
  <c r="JG12" i="28" s="1"/>
  <c r="JA12" i="28"/>
  <c r="IU12" i="28"/>
  <c r="IT12" i="28"/>
  <c r="IO12" i="28"/>
  <c r="IP12" i="28" s="1"/>
  <c r="IJ12" i="28"/>
  <c r="ID12" i="28"/>
  <c r="IC12" i="28"/>
  <c r="HX12" i="28"/>
  <c r="HY12" i="28" s="1"/>
  <c r="HS12" i="28"/>
  <c r="HM12" i="28"/>
  <c r="HL12" i="28"/>
  <c r="HG12" i="28"/>
  <c r="HH12" i="28" s="1"/>
  <c r="HB12" i="28"/>
  <c r="GV12" i="28"/>
  <c r="GU12" i="28"/>
  <c r="GP12" i="28"/>
  <c r="GQ12" i="28" s="1"/>
  <c r="GK12" i="28"/>
  <c r="GE12" i="28"/>
  <c r="GD12" i="28"/>
  <c r="FY12" i="28"/>
  <c r="FZ12" i="28" s="1"/>
  <c r="FT12" i="28"/>
  <c r="FN12" i="28"/>
  <c r="FM12" i="28"/>
  <c r="FH12" i="28"/>
  <c r="FI12" i="28" s="1"/>
  <c r="FC12" i="28"/>
  <c r="EW12" i="28"/>
  <c r="EV12" i="28"/>
  <c r="EQ12" i="28"/>
  <c r="ER12" i="28" s="1"/>
  <c r="EL12" i="28"/>
  <c r="EF12" i="28"/>
  <c r="EE12" i="28"/>
  <c r="DZ12" i="28"/>
  <c r="EA12" i="28" s="1"/>
  <c r="DU12" i="28"/>
  <c r="EG12" i="28" s="1"/>
  <c r="EH12" i="28" s="1"/>
  <c r="DO12" i="28"/>
  <c r="DN12" i="28"/>
  <c r="DI12" i="28"/>
  <c r="DJ12" i="28" s="1"/>
  <c r="DD12" i="28"/>
  <c r="CW12" i="28"/>
  <c r="CX12" i="28" s="1"/>
  <c r="CR12" i="28"/>
  <c r="CS12" i="28" s="1"/>
  <c r="CM12" i="28"/>
  <c r="CN12" i="28" s="1"/>
  <c r="CF12" i="28"/>
  <c r="CG12" i="28" s="1"/>
  <c r="CA12" i="28"/>
  <c r="CB12" i="28" s="1"/>
  <c r="BV12" i="28"/>
  <c r="BW12" i="28" s="1"/>
  <c r="BO12" i="28"/>
  <c r="BP12" i="28" s="1"/>
  <c r="BJ12" i="28"/>
  <c r="BK12" i="28" s="1"/>
  <c r="BE12" i="28"/>
  <c r="AX12" i="28"/>
  <c r="AY12" i="28" s="1"/>
  <c r="AS12" i="28"/>
  <c r="AT12" i="28" s="1"/>
  <c r="AO12" i="28"/>
  <c r="AN12" i="28"/>
  <c r="AG12" i="28"/>
  <c r="AH12" i="28" s="1"/>
  <c r="AB12" i="28"/>
  <c r="AC12" i="28" s="1"/>
  <c r="W12" i="28"/>
  <c r="P12" i="28"/>
  <c r="Q12" i="28" s="1"/>
  <c r="K12" i="28"/>
  <c r="L12" i="28" s="1"/>
  <c r="G12" i="28"/>
  <c r="F12" i="28"/>
  <c r="SO11" i="28"/>
  <c r="SP11" i="28" s="1"/>
  <c r="SJ11" i="28"/>
  <c r="SK11" i="28" s="1"/>
  <c r="SE11" i="28"/>
  <c r="RX11" i="28"/>
  <c r="RY11" i="28" s="1"/>
  <c r="RS11" i="28"/>
  <c r="RT11" i="28" s="1"/>
  <c r="RO11" i="28"/>
  <c r="RN11" i="28"/>
  <c r="RG11" i="28"/>
  <c r="RH11" i="28" s="1"/>
  <c r="RB11" i="28"/>
  <c r="RC11" i="28" s="1"/>
  <c r="QW11" i="28"/>
  <c r="QP11" i="28"/>
  <c r="QQ11" i="28" s="1"/>
  <c r="QK11" i="28"/>
  <c r="QL11" i="28" s="1"/>
  <c r="QF11" i="28"/>
  <c r="QG11" i="28" s="1"/>
  <c r="PY11" i="28"/>
  <c r="PZ11" i="28" s="1"/>
  <c r="PT11" i="28"/>
  <c r="PU11" i="28" s="1"/>
  <c r="PO11" i="28"/>
  <c r="PH11" i="28"/>
  <c r="PI11" i="28" s="1"/>
  <c r="PC11" i="28"/>
  <c r="PD11" i="28" s="1"/>
  <c r="OX11" i="28"/>
  <c r="OY11" i="28" s="1"/>
  <c r="OQ11" i="28"/>
  <c r="OR11" i="28" s="1"/>
  <c r="OL11" i="28"/>
  <c r="OM11" i="28" s="1"/>
  <c r="OG11" i="28"/>
  <c r="NZ11" i="28"/>
  <c r="OA11" i="28" s="1"/>
  <c r="NU11" i="28"/>
  <c r="NV11" i="28" s="1"/>
  <c r="NP11" i="28"/>
  <c r="NQ11" i="28" s="1"/>
  <c r="NJ11" i="28"/>
  <c r="NI11" i="28"/>
  <c r="ND11" i="28"/>
  <c r="NE11" i="28" s="1"/>
  <c r="MY11" i="28"/>
  <c r="NK11" i="28" s="1"/>
  <c r="NL11" i="28" s="1"/>
  <c r="MS11" i="28"/>
  <c r="MR11" i="28"/>
  <c r="MM11" i="28"/>
  <c r="MN11" i="28" s="1"/>
  <c r="MH11" i="28"/>
  <c r="MI11" i="28" s="1"/>
  <c r="MA11" i="28"/>
  <c r="MB11" i="28" s="1"/>
  <c r="LV11" i="28"/>
  <c r="LW11" i="28" s="1"/>
  <c r="LQ11" i="28"/>
  <c r="MC11" i="28" s="1"/>
  <c r="MD11" i="28" s="1"/>
  <c r="LJ11" i="28"/>
  <c r="LK11" i="28" s="1"/>
  <c r="LE11" i="28"/>
  <c r="LF11" i="28" s="1"/>
  <c r="LA11" i="28"/>
  <c r="KZ11" i="28"/>
  <c r="KS11" i="28"/>
  <c r="KT11" i="28" s="1"/>
  <c r="KN11" i="28"/>
  <c r="KO11" i="28" s="1"/>
  <c r="KI11" i="28"/>
  <c r="KB11" i="28"/>
  <c r="KC11" i="28" s="1"/>
  <c r="JW11" i="28"/>
  <c r="JX11" i="28" s="1"/>
  <c r="JR11" i="28"/>
  <c r="JS11" i="28" s="1"/>
  <c r="JK11" i="28"/>
  <c r="JL11" i="28" s="1"/>
  <c r="JF11" i="28"/>
  <c r="JG11" i="28" s="1"/>
  <c r="JA11" i="28"/>
  <c r="IT11" i="28"/>
  <c r="IU11" i="28" s="1"/>
  <c r="IO11" i="28"/>
  <c r="IP11" i="28" s="1"/>
  <c r="IJ11" i="28"/>
  <c r="IK11" i="28" s="1"/>
  <c r="ID11" i="28"/>
  <c r="IC11" i="28"/>
  <c r="HX11" i="28"/>
  <c r="HY11" i="28" s="1"/>
  <c r="HS11" i="28"/>
  <c r="IE11" i="28" s="1"/>
  <c r="IF11" i="28" s="1"/>
  <c r="HM11" i="28"/>
  <c r="HL11" i="28"/>
  <c r="HG11" i="28"/>
  <c r="HH11" i="28" s="1"/>
  <c r="HB11" i="28"/>
  <c r="HC11" i="28" s="1"/>
  <c r="GU11" i="28"/>
  <c r="GV11" i="28" s="1"/>
  <c r="GP11" i="28"/>
  <c r="GQ11" i="28" s="1"/>
  <c r="GK11" i="28"/>
  <c r="GW11" i="28" s="1"/>
  <c r="GX11" i="28" s="1"/>
  <c r="GD11" i="28"/>
  <c r="GE11" i="28" s="1"/>
  <c r="FY11" i="28"/>
  <c r="FZ11" i="28" s="1"/>
  <c r="FU11" i="28"/>
  <c r="FT11" i="28"/>
  <c r="FM11" i="28"/>
  <c r="FN11" i="28" s="1"/>
  <c r="FH11" i="28"/>
  <c r="FI11" i="28" s="1"/>
  <c r="FC11" i="28"/>
  <c r="EV11" i="28"/>
  <c r="EW11" i="28" s="1"/>
  <c r="EQ11" i="28"/>
  <c r="ER11" i="28" s="1"/>
  <c r="EL11" i="28"/>
  <c r="EM11" i="28" s="1"/>
  <c r="EE11" i="28"/>
  <c r="EF11" i="28" s="1"/>
  <c r="DZ11" i="28"/>
  <c r="EA11" i="28" s="1"/>
  <c r="DU11" i="28"/>
  <c r="DN11" i="28"/>
  <c r="DO11" i="28" s="1"/>
  <c r="DI11" i="28"/>
  <c r="DJ11" i="28" s="1"/>
  <c r="DD11" i="28"/>
  <c r="DE11" i="28" s="1"/>
  <c r="CX11" i="28"/>
  <c r="CW11" i="28"/>
  <c r="CR11" i="28"/>
  <c r="CS11" i="28" s="1"/>
  <c r="CM11" i="28"/>
  <c r="CY11" i="28" s="1"/>
  <c r="CZ11" i="28" s="1"/>
  <c r="CG11" i="28"/>
  <c r="CF11" i="28"/>
  <c r="CA11" i="28"/>
  <c r="CB11" i="28" s="1"/>
  <c r="BV11" i="28"/>
  <c r="BW11" i="28" s="1"/>
  <c r="BO11" i="28"/>
  <c r="BP11" i="28" s="1"/>
  <c r="BJ11" i="28"/>
  <c r="BK11" i="28" s="1"/>
  <c r="BE11" i="28"/>
  <c r="BQ11" i="28" s="1"/>
  <c r="BR11" i="28" s="1"/>
  <c r="AX11" i="28"/>
  <c r="AY11" i="28" s="1"/>
  <c r="AS11" i="28"/>
  <c r="AT11" i="28" s="1"/>
  <c r="AO11" i="28"/>
  <c r="AN11" i="28"/>
  <c r="AG11" i="28"/>
  <c r="AH11" i="28" s="1"/>
  <c r="AB11" i="28"/>
  <c r="AC11" i="28" s="1"/>
  <c r="W11" i="28"/>
  <c r="P11" i="28"/>
  <c r="Q11" i="28" s="1"/>
  <c r="K11" i="28"/>
  <c r="L11" i="28" s="1"/>
  <c r="F11" i="28"/>
  <c r="G11" i="28" s="1"/>
  <c r="SQ10" i="28"/>
  <c r="SR10" i="28" s="1"/>
  <c r="SP10" i="28"/>
  <c r="SO10" i="28"/>
  <c r="SJ10" i="28"/>
  <c r="SK10" i="28" s="1"/>
  <c r="SE10" i="28"/>
  <c r="SF10" i="28" s="1"/>
  <c r="RZ10" i="28"/>
  <c r="SA10" i="28" s="1"/>
  <c r="RX10" i="28"/>
  <c r="RY10" i="28" s="1"/>
  <c r="RS10" i="28"/>
  <c r="RT10" i="28" s="1"/>
  <c r="RO10" i="28"/>
  <c r="RN10" i="28"/>
  <c r="RI10" i="28"/>
  <c r="RJ10" i="28" s="1"/>
  <c r="RG10" i="28"/>
  <c r="RH10" i="28" s="1"/>
  <c r="RB10" i="28"/>
  <c r="RC10" i="28" s="1"/>
  <c r="QW10" i="28"/>
  <c r="QX10" i="28" s="1"/>
  <c r="QR10" i="28"/>
  <c r="QS10" i="28" s="1"/>
  <c r="QQ10" i="28"/>
  <c r="QP10" i="28"/>
  <c r="QK10" i="28"/>
  <c r="QL10" i="28" s="1"/>
  <c r="QF10" i="28"/>
  <c r="QG10" i="28" s="1"/>
  <c r="QA10" i="28"/>
  <c r="QB10" i="28" s="1"/>
  <c r="PY10" i="28"/>
  <c r="PZ10" i="28" s="1"/>
  <c r="PT10" i="28"/>
  <c r="PU10" i="28" s="1"/>
  <c r="PO10" i="28"/>
  <c r="PP10" i="28" s="1"/>
  <c r="PJ10" i="28"/>
  <c r="PK10" i="28" s="1"/>
  <c r="PH10" i="28"/>
  <c r="PI10" i="28" s="1"/>
  <c r="PC10" i="28"/>
  <c r="PD10" i="28" s="1"/>
  <c r="OX10" i="28"/>
  <c r="OY10" i="28" s="1"/>
  <c r="OS10" i="28"/>
  <c r="OT10" i="28" s="1"/>
  <c r="OQ10" i="28"/>
  <c r="OR10" i="28" s="1"/>
  <c r="OL10" i="28"/>
  <c r="OM10" i="28" s="1"/>
  <c r="OG10" i="28"/>
  <c r="OH10" i="28" s="1"/>
  <c r="OB10" i="28"/>
  <c r="OC10" i="28" s="1"/>
  <c r="NZ10" i="28"/>
  <c r="OA10" i="28" s="1"/>
  <c r="NU10" i="28"/>
  <c r="NV10" i="28" s="1"/>
  <c r="NP10" i="28"/>
  <c r="NQ10" i="28" s="1"/>
  <c r="NK10" i="28"/>
  <c r="NL10" i="28" s="1"/>
  <c r="NJ10" i="28"/>
  <c r="NI10" i="28"/>
  <c r="ND10" i="28"/>
  <c r="NE10" i="28" s="1"/>
  <c r="MY10" i="28"/>
  <c r="MZ10" i="28" s="1"/>
  <c r="MT10" i="28"/>
  <c r="MU10" i="28" s="1"/>
  <c r="MR10" i="28"/>
  <c r="MS10" i="28" s="1"/>
  <c r="MM10" i="28"/>
  <c r="MN10" i="28" s="1"/>
  <c r="MH10" i="28"/>
  <c r="MI10" i="28" s="1"/>
  <c r="MC10" i="28"/>
  <c r="MD10" i="28" s="1"/>
  <c r="MA10" i="28"/>
  <c r="MB10" i="28" s="1"/>
  <c r="LV10" i="28"/>
  <c r="LW10" i="28" s="1"/>
  <c r="LQ10" i="28"/>
  <c r="LR10" i="28" s="1"/>
  <c r="LL10" i="28"/>
  <c r="LM10" i="28" s="1"/>
  <c r="LK10" i="28"/>
  <c r="LJ10" i="28"/>
  <c r="LE10" i="28"/>
  <c r="LF10" i="28" s="1"/>
  <c r="KZ10" i="28"/>
  <c r="LA10" i="28" s="1"/>
  <c r="KU10" i="28"/>
  <c r="KV10" i="28" s="1"/>
  <c r="KS10" i="28"/>
  <c r="KT10" i="28" s="1"/>
  <c r="KN10" i="28"/>
  <c r="KO10" i="28" s="1"/>
  <c r="KI10" i="28"/>
  <c r="KJ10" i="28" s="1"/>
  <c r="KD10" i="28"/>
  <c r="KE10" i="28" s="1"/>
  <c r="KB10" i="28"/>
  <c r="KC10" i="28" s="1"/>
  <c r="JW10" i="28"/>
  <c r="JX10" i="28" s="1"/>
  <c r="JR10" i="28"/>
  <c r="JS10" i="28" s="1"/>
  <c r="JM10" i="28"/>
  <c r="JN10" i="28" s="1"/>
  <c r="JK10" i="28"/>
  <c r="JL10" i="28" s="1"/>
  <c r="JF10" i="28"/>
  <c r="JG10" i="28" s="1"/>
  <c r="JA10" i="28"/>
  <c r="JB10" i="28" s="1"/>
  <c r="IV10" i="28"/>
  <c r="IW10" i="28" s="1"/>
  <c r="IT10" i="28"/>
  <c r="IU10" i="28" s="1"/>
  <c r="IO10" i="28"/>
  <c r="IP10" i="28" s="1"/>
  <c r="IJ10" i="28"/>
  <c r="IK10" i="28" s="1"/>
  <c r="IE10" i="28"/>
  <c r="IF10" i="28" s="1"/>
  <c r="ID10" i="28"/>
  <c r="IC10" i="28"/>
  <c r="HX10" i="28"/>
  <c r="HY10" i="28" s="1"/>
  <c r="HS10" i="28"/>
  <c r="HT10" i="28" s="1"/>
  <c r="HN10" i="28"/>
  <c r="HO10" i="28" s="1"/>
  <c r="HL10" i="28"/>
  <c r="HM10" i="28" s="1"/>
  <c r="HG10" i="28"/>
  <c r="HH10" i="28" s="1"/>
  <c r="HC10" i="28"/>
  <c r="HB10" i="28"/>
  <c r="GW10" i="28"/>
  <c r="GX10" i="28" s="1"/>
  <c r="GU10" i="28"/>
  <c r="GV10" i="28" s="1"/>
  <c r="GP10" i="28"/>
  <c r="GQ10" i="28" s="1"/>
  <c r="GK10" i="28"/>
  <c r="GL10" i="28" s="1"/>
  <c r="GF10" i="28"/>
  <c r="GG10" i="28" s="1"/>
  <c r="GD10" i="28"/>
  <c r="GE10" i="28" s="1"/>
  <c r="FY10" i="28"/>
  <c r="FZ10" i="28" s="1"/>
  <c r="FT10" i="28"/>
  <c r="FU10" i="28" s="1"/>
  <c r="FO10" i="28"/>
  <c r="FP10" i="28" s="1"/>
  <c r="FM10" i="28"/>
  <c r="FN10" i="28" s="1"/>
  <c r="FH10" i="28"/>
  <c r="FI10" i="28" s="1"/>
  <c r="FC10" i="28"/>
  <c r="FD10" i="28" s="1"/>
  <c r="EX10" i="28"/>
  <c r="EY10" i="28" s="1"/>
  <c r="EV10" i="28"/>
  <c r="EW10" i="28" s="1"/>
  <c r="EQ10" i="28"/>
  <c r="ER10" i="28" s="1"/>
  <c r="EL10" i="28"/>
  <c r="EM10" i="28" s="1"/>
  <c r="EG10" i="28"/>
  <c r="EH10" i="28" s="1"/>
  <c r="EE10" i="28"/>
  <c r="EF10" i="28" s="1"/>
  <c r="DZ10" i="28"/>
  <c r="EA10" i="28" s="1"/>
  <c r="DU10" i="28"/>
  <c r="DV10" i="28" s="1"/>
  <c r="DP10" i="28"/>
  <c r="DQ10" i="28" s="1"/>
  <c r="DN10" i="28"/>
  <c r="DO10" i="28" s="1"/>
  <c r="DI10" i="28"/>
  <c r="DJ10" i="28" s="1"/>
  <c r="DD10" i="28"/>
  <c r="DE10" i="28" s="1"/>
  <c r="CY10" i="28"/>
  <c r="CZ10" i="28" s="1"/>
  <c r="CW10" i="28"/>
  <c r="CX10" i="28" s="1"/>
  <c r="CR10" i="28"/>
  <c r="CS10" i="28" s="1"/>
  <c r="CM10" i="28"/>
  <c r="CN10" i="28" s="1"/>
  <c r="CH10" i="28"/>
  <c r="CI10" i="28" s="1"/>
  <c r="CF10" i="28"/>
  <c r="CG10" i="28" s="1"/>
  <c r="CA10" i="28"/>
  <c r="CB10" i="28" s="1"/>
  <c r="BV10" i="28"/>
  <c r="BW10" i="28" s="1"/>
  <c r="BQ10" i="28"/>
  <c r="BR10" i="28" s="1"/>
  <c r="BO10" i="28"/>
  <c r="BP10" i="28" s="1"/>
  <c r="BJ10" i="28"/>
  <c r="BK10" i="28" s="1"/>
  <c r="BE10" i="28"/>
  <c r="BF10" i="28" s="1"/>
  <c r="AZ10" i="28"/>
  <c r="BA10" i="28" s="1"/>
  <c r="AX10" i="28"/>
  <c r="AY10" i="28" s="1"/>
  <c r="AS10" i="28"/>
  <c r="AT10" i="28" s="1"/>
  <c r="AN10" i="28"/>
  <c r="AO10" i="28" s="1"/>
  <c r="AI10" i="28"/>
  <c r="AJ10" i="28" s="1"/>
  <c r="AG10" i="28"/>
  <c r="AH10" i="28" s="1"/>
  <c r="AB10" i="28"/>
  <c r="AC10" i="28" s="1"/>
  <c r="W10" i="28"/>
  <c r="X10" i="28" s="1"/>
  <c r="R10" i="28"/>
  <c r="S10" i="28" s="1"/>
  <c r="P10" i="28"/>
  <c r="Q10" i="28" s="1"/>
  <c r="K10" i="28"/>
  <c r="L10" i="28" s="1"/>
  <c r="F10" i="28"/>
  <c r="G10" i="28" s="1"/>
  <c r="SO9" i="28"/>
  <c r="SP9" i="28" s="1"/>
  <c r="SJ9" i="28"/>
  <c r="SK9" i="28" s="1"/>
  <c r="SE9" i="28"/>
  <c r="SQ9" i="28" s="1"/>
  <c r="SR9" i="28" s="1"/>
  <c r="RX9" i="28"/>
  <c r="RY9" i="28" s="1"/>
  <c r="RS9" i="28"/>
  <c r="RN9" i="28"/>
  <c r="RO9" i="28" s="1"/>
  <c r="RH9" i="28"/>
  <c r="RG9" i="28"/>
  <c r="RB9" i="28"/>
  <c r="RC9" i="28" s="1"/>
  <c r="QW9" i="28"/>
  <c r="QP9" i="28"/>
  <c r="QQ9" i="28" s="1"/>
  <c r="QK9" i="28"/>
  <c r="QL9" i="28" s="1"/>
  <c r="QF9" i="28"/>
  <c r="QG9" i="28" s="1"/>
  <c r="PY9" i="28"/>
  <c r="PZ9" i="28" s="1"/>
  <c r="PT9" i="28"/>
  <c r="PU9" i="28" s="1"/>
  <c r="PO9" i="28"/>
  <c r="PH9" i="28"/>
  <c r="PI9" i="28" s="1"/>
  <c r="PC9" i="28"/>
  <c r="PD9" i="28" s="1"/>
  <c r="OX9" i="28"/>
  <c r="OY9" i="28" s="1"/>
  <c r="OQ9" i="28"/>
  <c r="OR9" i="28" s="1"/>
  <c r="OM9" i="28"/>
  <c r="OL9" i="28"/>
  <c r="OG9" i="28"/>
  <c r="OH9" i="28" s="1"/>
  <c r="NZ9" i="28"/>
  <c r="OA9" i="28" s="1"/>
  <c r="NU9" i="28"/>
  <c r="NV9" i="28" s="1"/>
  <c r="NP9" i="28"/>
  <c r="NQ9" i="28" s="1"/>
  <c r="NI9" i="28"/>
  <c r="NJ9" i="28" s="1"/>
  <c r="ND9" i="28"/>
  <c r="NE9" i="28" s="1"/>
  <c r="MY9" i="28"/>
  <c r="MZ9" i="28" s="1"/>
  <c r="MR9" i="28"/>
  <c r="MS9" i="28" s="1"/>
  <c r="MM9" i="28"/>
  <c r="MN9" i="28" s="1"/>
  <c r="MH9" i="28"/>
  <c r="MI9" i="28" s="1"/>
  <c r="MA9" i="28"/>
  <c r="MB9" i="28" s="1"/>
  <c r="LV9" i="28"/>
  <c r="LW9" i="28" s="1"/>
  <c r="LQ9" i="28"/>
  <c r="LR9" i="28" s="1"/>
  <c r="LJ9" i="28"/>
  <c r="LK9" i="28" s="1"/>
  <c r="LE9" i="28"/>
  <c r="LF9" i="28" s="1"/>
  <c r="KZ9" i="28"/>
  <c r="LA9" i="28" s="1"/>
  <c r="KS9" i="28"/>
  <c r="KT9" i="28" s="1"/>
  <c r="KN9" i="28"/>
  <c r="KO9" i="28" s="1"/>
  <c r="KI9" i="28"/>
  <c r="KJ9" i="28" s="1"/>
  <c r="KB9" i="28"/>
  <c r="KC9" i="28" s="1"/>
  <c r="JW9" i="28"/>
  <c r="JX9" i="28" s="1"/>
  <c r="JR9" i="28"/>
  <c r="JS9" i="28" s="1"/>
  <c r="JK9" i="28"/>
  <c r="JL9" i="28" s="1"/>
  <c r="JF9" i="28"/>
  <c r="JG9" i="28" s="1"/>
  <c r="JA9" i="28"/>
  <c r="JB9" i="28" s="1"/>
  <c r="IT9" i="28"/>
  <c r="IU9" i="28" s="1"/>
  <c r="IO9" i="28"/>
  <c r="IP9" i="28" s="1"/>
  <c r="IJ9" i="28"/>
  <c r="IK9" i="28" s="1"/>
  <c r="IC9" i="28"/>
  <c r="ID9" i="28" s="1"/>
  <c r="HX9" i="28"/>
  <c r="HY9" i="28" s="1"/>
  <c r="HS9" i="28"/>
  <c r="HT9" i="28" s="1"/>
  <c r="HL9" i="28"/>
  <c r="HM9" i="28" s="1"/>
  <c r="HG9" i="28"/>
  <c r="HH9" i="28" s="1"/>
  <c r="HB9" i="28"/>
  <c r="HC9" i="28" s="1"/>
  <c r="GU9" i="28"/>
  <c r="GV9" i="28" s="1"/>
  <c r="GP9" i="28"/>
  <c r="GQ9" i="28" s="1"/>
  <c r="GK9" i="28"/>
  <c r="GL9" i="28" s="1"/>
  <c r="GD9" i="28"/>
  <c r="GE9" i="28" s="1"/>
  <c r="FY9" i="28"/>
  <c r="FZ9" i="28" s="1"/>
  <c r="FT9" i="28"/>
  <c r="FU9" i="28" s="1"/>
  <c r="FM9" i="28"/>
  <c r="FN9" i="28" s="1"/>
  <c r="FH9" i="28"/>
  <c r="FI9" i="28" s="1"/>
  <c r="FC9" i="28"/>
  <c r="FD9" i="28" s="1"/>
  <c r="EV9" i="28"/>
  <c r="EW9" i="28" s="1"/>
  <c r="EQ9" i="28"/>
  <c r="ER9" i="28" s="1"/>
  <c r="EL9" i="28"/>
  <c r="EM9" i="28" s="1"/>
  <c r="EE9" i="28"/>
  <c r="EF9" i="28" s="1"/>
  <c r="DZ9" i="28"/>
  <c r="EA9" i="28" s="1"/>
  <c r="DU9" i="28"/>
  <c r="DV9" i="28" s="1"/>
  <c r="DN9" i="28"/>
  <c r="DO9" i="28" s="1"/>
  <c r="DI9" i="28"/>
  <c r="DJ9" i="28" s="1"/>
  <c r="DD9" i="28"/>
  <c r="DE9" i="28" s="1"/>
  <c r="CW9" i="28"/>
  <c r="CX9" i="28" s="1"/>
  <c r="CR9" i="28"/>
  <c r="CS9" i="28" s="1"/>
  <c r="CM9" i="28"/>
  <c r="CN9" i="28" s="1"/>
  <c r="CF9" i="28"/>
  <c r="CG9" i="28" s="1"/>
  <c r="CA9" i="28"/>
  <c r="CB9" i="28" s="1"/>
  <c r="BV9" i="28"/>
  <c r="BW9" i="28" s="1"/>
  <c r="BO9" i="28"/>
  <c r="BP9" i="28" s="1"/>
  <c r="BK9" i="28"/>
  <c r="BJ9" i="28"/>
  <c r="BE9" i="28"/>
  <c r="BF9" i="28" s="1"/>
  <c r="AX9" i="28"/>
  <c r="AY9" i="28" s="1"/>
  <c r="AS9" i="28"/>
  <c r="AT9" i="28" s="1"/>
  <c r="AN9" i="28"/>
  <c r="AO9" i="28" s="1"/>
  <c r="AG9" i="28"/>
  <c r="AH9" i="28" s="1"/>
  <c r="AB9" i="28"/>
  <c r="AC9" i="28" s="1"/>
  <c r="W9" i="28"/>
  <c r="X9" i="28" s="1"/>
  <c r="P9" i="28"/>
  <c r="Q9" i="28" s="1"/>
  <c r="K9" i="28"/>
  <c r="L9" i="28" s="1"/>
  <c r="F9" i="28"/>
  <c r="G9" i="28" s="1"/>
  <c r="SO8" i="28"/>
  <c r="SP8" i="28" s="1"/>
  <c r="SJ8" i="28"/>
  <c r="SK8" i="28" s="1"/>
  <c r="SE8" i="28"/>
  <c r="SF8" i="28" s="1"/>
  <c r="RX8" i="28"/>
  <c r="RY8" i="28" s="1"/>
  <c r="RS8" i="28"/>
  <c r="RT8" i="28" s="1"/>
  <c r="RN8" i="28"/>
  <c r="RO8" i="28" s="1"/>
  <c r="RG8" i="28"/>
  <c r="RH8" i="28" s="1"/>
  <c r="RB8" i="28"/>
  <c r="RC8" i="28" s="1"/>
  <c r="QW8" i="28"/>
  <c r="QX8" i="28" s="1"/>
  <c r="QP8" i="28"/>
  <c r="QQ8" i="28" s="1"/>
  <c r="QK8" i="28"/>
  <c r="QL8" i="28" s="1"/>
  <c r="QF8" i="28"/>
  <c r="QG8" i="28" s="1"/>
  <c r="PY8" i="28"/>
  <c r="PZ8" i="28" s="1"/>
  <c r="PU8" i="28"/>
  <c r="PT8" i="28"/>
  <c r="PO8" i="28"/>
  <c r="PP8" i="28" s="1"/>
  <c r="PH8" i="28"/>
  <c r="PI8" i="28" s="1"/>
  <c r="PC8" i="28"/>
  <c r="PD8" i="28" s="1"/>
  <c r="OX8" i="28"/>
  <c r="OY8" i="28" s="1"/>
  <c r="OQ8" i="28"/>
  <c r="OR8" i="28" s="1"/>
  <c r="OL8" i="28"/>
  <c r="OM8" i="28" s="1"/>
  <c r="OG8" i="28"/>
  <c r="OH8" i="28" s="1"/>
  <c r="NZ8" i="28"/>
  <c r="OA8" i="28" s="1"/>
  <c r="NU8" i="28"/>
  <c r="NV8" i="28" s="1"/>
  <c r="NP8" i="28"/>
  <c r="NQ8" i="28" s="1"/>
  <c r="NI8" i="28"/>
  <c r="NJ8" i="28" s="1"/>
  <c r="ND8" i="28"/>
  <c r="NE8" i="28" s="1"/>
  <c r="MY8" i="28"/>
  <c r="MZ8" i="28" s="1"/>
  <c r="MR8" i="28"/>
  <c r="MS8" i="28" s="1"/>
  <c r="MM8" i="28"/>
  <c r="MN8" i="28" s="1"/>
  <c r="MH8" i="28"/>
  <c r="MI8" i="28" s="1"/>
  <c r="MA8" i="28"/>
  <c r="MB8" i="28" s="1"/>
  <c r="LV8" i="28"/>
  <c r="LW8" i="28" s="1"/>
  <c r="LQ8" i="28"/>
  <c r="LR8" i="28" s="1"/>
  <c r="LJ8" i="28"/>
  <c r="LK8" i="28" s="1"/>
  <c r="LE8" i="28"/>
  <c r="LF8" i="28" s="1"/>
  <c r="KZ8" i="28"/>
  <c r="LA8" i="28" s="1"/>
  <c r="KS8" i="28"/>
  <c r="KT8" i="28" s="1"/>
  <c r="KO8" i="28"/>
  <c r="KN8" i="28"/>
  <c r="KI8" i="28"/>
  <c r="KJ8" i="28" s="1"/>
  <c r="KB8" i="28"/>
  <c r="KC8" i="28" s="1"/>
  <c r="JW8" i="28"/>
  <c r="JX8" i="28" s="1"/>
  <c r="JR8" i="28"/>
  <c r="JS8" i="28" s="1"/>
  <c r="JK8" i="28"/>
  <c r="JL8" i="28" s="1"/>
  <c r="JF8" i="28"/>
  <c r="JG8" i="28" s="1"/>
  <c r="JA8" i="28"/>
  <c r="JB8" i="28" s="1"/>
  <c r="IT8" i="28"/>
  <c r="IU8" i="28" s="1"/>
  <c r="IO8" i="28"/>
  <c r="IP8" i="28" s="1"/>
  <c r="IJ8" i="28"/>
  <c r="IK8" i="28" s="1"/>
  <c r="IC8" i="28"/>
  <c r="ID8" i="28" s="1"/>
  <c r="HX8" i="28"/>
  <c r="HY8" i="28" s="1"/>
  <c r="HS8" i="28"/>
  <c r="HT8" i="28" s="1"/>
  <c r="HL8" i="28"/>
  <c r="HM8" i="28" s="1"/>
  <c r="HG8" i="28"/>
  <c r="HH8" i="28" s="1"/>
  <c r="HB8" i="28"/>
  <c r="HC8" i="28" s="1"/>
  <c r="GU8" i="28"/>
  <c r="GV8" i="28" s="1"/>
  <c r="GP8" i="28"/>
  <c r="GQ8" i="28" s="1"/>
  <c r="GK8" i="28"/>
  <c r="GL8" i="28" s="1"/>
  <c r="GD8" i="28"/>
  <c r="GE8" i="28" s="1"/>
  <c r="FY8" i="28"/>
  <c r="FZ8" i="28" s="1"/>
  <c r="FT8" i="28"/>
  <c r="FU8" i="28" s="1"/>
  <c r="FM8" i="28"/>
  <c r="FN8" i="28" s="1"/>
  <c r="FI8" i="28"/>
  <c r="FH8" i="28"/>
  <c r="FC8" i="28"/>
  <c r="FD8" i="28" s="1"/>
  <c r="EV8" i="28"/>
  <c r="EW8" i="28" s="1"/>
  <c r="EQ8" i="28"/>
  <c r="ER8" i="28" s="1"/>
  <c r="EL8" i="28"/>
  <c r="EM8" i="28" s="1"/>
  <c r="EE8" i="28"/>
  <c r="EF8" i="28" s="1"/>
  <c r="DZ8" i="28"/>
  <c r="EA8" i="28" s="1"/>
  <c r="DU8" i="28"/>
  <c r="DV8" i="28" s="1"/>
  <c r="DN8" i="28"/>
  <c r="DO8" i="28" s="1"/>
  <c r="DI8" i="28"/>
  <c r="DJ8" i="28" s="1"/>
  <c r="DD8" i="28"/>
  <c r="DE8" i="28" s="1"/>
  <c r="CW8" i="28"/>
  <c r="CX8" i="28" s="1"/>
  <c r="CR8" i="28"/>
  <c r="CS8" i="28" s="1"/>
  <c r="CM8" i="28"/>
  <c r="CN8" i="28" s="1"/>
  <c r="CF8" i="28"/>
  <c r="CG8" i="28" s="1"/>
  <c r="CA8" i="28"/>
  <c r="CB8" i="28" s="1"/>
  <c r="BV8" i="28"/>
  <c r="BW8" i="28" s="1"/>
  <c r="BO8" i="28"/>
  <c r="BP8" i="28" s="1"/>
  <c r="BJ8" i="28"/>
  <c r="BK8" i="28" s="1"/>
  <c r="BE8" i="28"/>
  <c r="BF8" i="28" s="1"/>
  <c r="AX8" i="28"/>
  <c r="AY8" i="28" s="1"/>
  <c r="AS8" i="28"/>
  <c r="AT8" i="28" s="1"/>
  <c r="AN8" i="28"/>
  <c r="AO8" i="28" s="1"/>
  <c r="AG8" i="28"/>
  <c r="AH8" i="28" s="1"/>
  <c r="AC8" i="28"/>
  <c r="AB8" i="28"/>
  <c r="W8" i="28"/>
  <c r="X8" i="28" s="1"/>
  <c r="P8" i="28"/>
  <c r="Q8" i="28" s="1"/>
  <c r="K8" i="28"/>
  <c r="L8" i="28" s="1"/>
  <c r="F8" i="28"/>
  <c r="G8" i="28" s="1"/>
  <c r="SO7" i="28"/>
  <c r="SP7" i="28" s="1"/>
  <c r="SJ7" i="28"/>
  <c r="SK7" i="28" s="1"/>
  <c r="SE7" i="28"/>
  <c r="SF7" i="28" s="1"/>
  <c r="RX7" i="28"/>
  <c r="RY7" i="28" s="1"/>
  <c r="RS7" i="28"/>
  <c r="RT7" i="28" s="1"/>
  <c r="RN7" i="28"/>
  <c r="RO7" i="28" s="1"/>
  <c r="RG7" i="28"/>
  <c r="RH7" i="28" s="1"/>
  <c r="RB7" i="28"/>
  <c r="RC7" i="28" s="1"/>
  <c r="QW7" i="28"/>
  <c r="QX7" i="28" s="1"/>
  <c r="QP7" i="28"/>
  <c r="QQ7" i="28" s="1"/>
  <c r="QK7" i="28"/>
  <c r="QL7" i="28" s="1"/>
  <c r="QF7" i="28"/>
  <c r="PY7" i="28"/>
  <c r="PZ7" i="28" s="1"/>
  <c r="PT7" i="28"/>
  <c r="PU7" i="28" s="1"/>
  <c r="PO7" i="28"/>
  <c r="PP7" i="28" s="1"/>
  <c r="PH7" i="28"/>
  <c r="PI7" i="28" s="1"/>
  <c r="PC7" i="28"/>
  <c r="PD7" i="28" s="1"/>
  <c r="OX7" i="28"/>
  <c r="OY7" i="28" s="1"/>
  <c r="OQ7" i="28"/>
  <c r="OR7" i="28" s="1"/>
  <c r="OL7" i="28"/>
  <c r="OM7" i="28" s="1"/>
  <c r="OG7" i="28"/>
  <c r="OH7" i="28" s="1"/>
  <c r="NZ7" i="28"/>
  <c r="OA7" i="28" s="1"/>
  <c r="NU7" i="28"/>
  <c r="NV7" i="28" s="1"/>
  <c r="NP7" i="28"/>
  <c r="NQ7" i="28" s="1"/>
  <c r="NI7" i="28"/>
  <c r="NJ7" i="28" s="1"/>
  <c r="ND7" i="28"/>
  <c r="NE7" i="28" s="1"/>
  <c r="MY7" i="28"/>
  <c r="MZ7" i="28" s="1"/>
  <c r="MR7" i="28"/>
  <c r="MS7" i="28" s="1"/>
  <c r="MM7" i="28"/>
  <c r="MN7" i="28" s="1"/>
  <c r="MH7" i="28"/>
  <c r="MI7" i="28" s="1"/>
  <c r="MA7" i="28"/>
  <c r="MB7" i="28" s="1"/>
  <c r="LV7" i="28"/>
  <c r="LW7" i="28" s="1"/>
  <c r="LQ7" i="28"/>
  <c r="LR7" i="28" s="1"/>
  <c r="LL7" i="28"/>
  <c r="LM7" i="28" s="1"/>
  <c r="LJ7" i="28"/>
  <c r="LK7" i="28" s="1"/>
  <c r="LE7" i="28"/>
  <c r="LF7" i="28" s="1"/>
  <c r="KZ7" i="28"/>
  <c r="LA7" i="28" s="1"/>
  <c r="KS7" i="28"/>
  <c r="KT7" i="28" s="1"/>
  <c r="KN7" i="28"/>
  <c r="KO7" i="28" s="1"/>
  <c r="KI7" i="28"/>
  <c r="KJ7" i="28" s="1"/>
  <c r="KB7" i="28"/>
  <c r="KC7" i="28" s="1"/>
  <c r="JW7" i="28"/>
  <c r="JX7" i="28" s="1"/>
  <c r="JR7" i="28"/>
  <c r="JS7" i="28" s="1"/>
  <c r="JK7" i="28"/>
  <c r="JL7" i="28" s="1"/>
  <c r="JF7" i="28"/>
  <c r="JG7" i="28" s="1"/>
  <c r="JA7" i="28"/>
  <c r="JB7" i="28" s="1"/>
  <c r="IT7" i="28"/>
  <c r="IU7" i="28" s="1"/>
  <c r="IO7" i="28"/>
  <c r="IP7" i="28" s="1"/>
  <c r="IJ7" i="28"/>
  <c r="IK7" i="28" s="1"/>
  <c r="IC7" i="28"/>
  <c r="ID7" i="28" s="1"/>
  <c r="HX7" i="28"/>
  <c r="HY7" i="28" s="1"/>
  <c r="HS7" i="28"/>
  <c r="HT7" i="28" s="1"/>
  <c r="HL7" i="28"/>
  <c r="HM7" i="28" s="1"/>
  <c r="HG7" i="28"/>
  <c r="HH7" i="28" s="1"/>
  <c r="HB7" i="28"/>
  <c r="HC7" i="28" s="1"/>
  <c r="GU7" i="28"/>
  <c r="GV7" i="28" s="1"/>
  <c r="GQ7" i="28"/>
  <c r="GP7" i="28"/>
  <c r="GK7" i="28"/>
  <c r="GL7" i="28" s="1"/>
  <c r="GD7" i="28"/>
  <c r="GE7" i="28" s="1"/>
  <c r="FY7" i="28"/>
  <c r="FZ7" i="28" s="1"/>
  <c r="FT7" i="28"/>
  <c r="FU7" i="28" s="1"/>
  <c r="FM7" i="28"/>
  <c r="FN7" i="28" s="1"/>
  <c r="FH7" i="28"/>
  <c r="FI7" i="28" s="1"/>
  <c r="FC7" i="28"/>
  <c r="FD7" i="28" s="1"/>
  <c r="EV7" i="28"/>
  <c r="EW7" i="28" s="1"/>
  <c r="EQ7" i="28"/>
  <c r="ER7" i="28" s="1"/>
  <c r="EL7" i="28"/>
  <c r="EM7" i="28" s="1"/>
  <c r="EE7" i="28"/>
  <c r="EF7" i="28" s="1"/>
  <c r="DZ7" i="28"/>
  <c r="EA7" i="28" s="1"/>
  <c r="DU7" i="28"/>
  <c r="DV7" i="28" s="1"/>
  <c r="DN7" i="28"/>
  <c r="DO7" i="28" s="1"/>
  <c r="DI7" i="28"/>
  <c r="DJ7" i="28" s="1"/>
  <c r="DD7" i="28"/>
  <c r="DE7" i="28" s="1"/>
  <c r="CW7" i="28"/>
  <c r="CX7" i="28" s="1"/>
  <c r="CS7" i="28"/>
  <c r="CR7" i="28"/>
  <c r="CM7" i="28"/>
  <c r="CN7" i="28" s="1"/>
  <c r="CF7" i="28"/>
  <c r="CG7" i="28" s="1"/>
  <c r="CA7" i="28"/>
  <c r="CB7" i="28" s="1"/>
  <c r="BV7" i="28"/>
  <c r="BW7" i="28" s="1"/>
  <c r="BO7" i="28"/>
  <c r="BP7" i="28" s="1"/>
  <c r="BJ7" i="28"/>
  <c r="BK7" i="28" s="1"/>
  <c r="BE7" i="28"/>
  <c r="BF7" i="28" s="1"/>
  <c r="AX7" i="28"/>
  <c r="AY7" i="28" s="1"/>
  <c r="AS7" i="28"/>
  <c r="AN7" i="28"/>
  <c r="AO7" i="28" s="1"/>
  <c r="AG7" i="28"/>
  <c r="AH7" i="28" s="1"/>
  <c r="AB7" i="28"/>
  <c r="AC7" i="28" s="1"/>
  <c r="W7" i="28"/>
  <c r="X7" i="28" s="1"/>
  <c r="P7" i="28"/>
  <c r="Q7" i="28" s="1"/>
  <c r="K7" i="28"/>
  <c r="L7" i="28" s="1"/>
  <c r="F7" i="28"/>
  <c r="G7" i="28" s="1"/>
  <c r="SO6" i="28"/>
  <c r="SP6" i="28" s="1"/>
  <c r="SJ6" i="28"/>
  <c r="SK6" i="28" s="1"/>
  <c r="SE6" i="28"/>
  <c r="SF6" i="28" s="1"/>
  <c r="RX6" i="28"/>
  <c r="RY6" i="28" s="1"/>
  <c r="RS6" i="28"/>
  <c r="RT6" i="28" s="1"/>
  <c r="RN6" i="28"/>
  <c r="RO6" i="28" s="1"/>
  <c r="RG6" i="28"/>
  <c r="RH6" i="28" s="1"/>
  <c r="RB6" i="28"/>
  <c r="RC6" i="28" s="1"/>
  <c r="QW6" i="28"/>
  <c r="QX6" i="28" s="1"/>
  <c r="QP6" i="28"/>
  <c r="QQ6" i="28" s="1"/>
  <c r="QK6" i="28"/>
  <c r="QL6" i="28" s="1"/>
  <c r="QF6" i="28"/>
  <c r="QG6" i="28" s="1"/>
  <c r="PY6" i="28"/>
  <c r="PZ6" i="28" s="1"/>
  <c r="PT6" i="28"/>
  <c r="PU6" i="28" s="1"/>
  <c r="PO6" i="28"/>
  <c r="PP6" i="28" s="1"/>
  <c r="PH6" i="28"/>
  <c r="PI6" i="28" s="1"/>
  <c r="PC6" i="28"/>
  <c r="PD6" i="28" s="1"/>
  <c r="OX6" i="28"/>
  <c r="OQ6" i="28"/>
  <c r="OR6" i="28" s="1"/>
  <c r="OL6" i="28"/>
  <c r="OM6" i="28" s="1"/>
  <c r="OG6" i="28"/>
  <c r="OH6" i="28" s="1"/>
  <c r="NZ6" i="28"/>
  <c r="OA6" i="28" s="1"/>
  <c r="NU6" i="28"/>
  <c r="NV6" i="28" s="1"/>
  <c r="NP6" i="28"/>
  <c r="NQ6" i="28" s="1"/>
  <c r="NI6" i="28"/>
  <c r="NJ6" i="28" s="1"/>
  <c r="ND6" i="28"/>
  <c r="NE6" i="28" s="1"/>
  <c r="MY6" i="28"/>
  <c r="MZ6" i="28" s="1"/>
  <c r="MR6" i="28"/>
  <c r="MS6" i="28" s="1"/>
  <c r="MM6" i="28"/>
  <c r="MN6" i="28" s="1"/>
  <c r="MH6" i="28"/>
  <c r="MI6" i="28" s="1"/>
  <c r="MA6" i="28"/>
  <c r="MB6" i="28" s="1"/>
  <c r="LW6" i="28"/>
  <c r="LV6" i="28"/>
  <c r="LQ6" i="28"/>
  <c r="LR6" i="28" s="1"/>
  <c r="LJ6" i="28"/>
  <c r="LK6" i="28" s="1"/>
  <c r="LE6" i="28"/>
  <c r="LF6" i="28" s="1"/>
  <c r="KZ6" i="28"/>
  <c r="LA6" i="28" s="1"/>
  <c r="KS6" i="28"/>
  <c r="KT6" i="28" s="1"/>
  <c r="KN6" i="28"/>
  <c r="KO6" i="28" s="1"/>
  <c r="KI6" i="28"/>
  <c r="KJ6" i="28" s="1"/>
  <c r="KB6" i="28"/>
  <c r="KC6" i="28" s="1"/>
  <c r="JW6" i="28"/>
  <c r="JX6" i="28" s="1"/>
  <c r="JR6" i="28"/>
  <c r="JS6" i="28" s="1"/>
  <c r="JK6" i="28"/>
  <c r="JL6" i="28" s="1"/>
  <c r="JF6" i="28"/>
  <c r="JG6" i="28" s="1"/>
  <c r="JA6" i="28"/>
  <c r="JB6" i="28" s="1"/>
  <c r="IT6" i="28"/>
  <c r="IU6" i="28" s="1"/>
  <c r="IO6" i="28"/>
  <c r="IP6" i="28" s="1"/>
  <c r="IJ6" i="28"/>
  <c r="IK6" i="28" s="1"/>
  <c r="IC6" i="28"/>
  <c r="ID6" i="28" s="1"/>
  <c r="HX6" i="28"/>
  <c r="HY6" i="28" s="1"/>
  <c r="HS6" i="28"/>
  <c r="HT6" i="28" s="1"/>
  <c r="HL6" i="28"/>
  <c r="HM6" i="28" s="1"/>
  <c r="HG6" i="28"/>
  <c r="HH6" i="28" s="1"/>
  <c r="HB6" i="28"/>
  <c r="HC6" i="28" s="1"/>
  <c r="GU6" i="28"/>
  <c r="GV6" i="28" s="1"/>
  <c r="GP6" i="28"/>
  <c r="GQ6" i="28" s="1"/>
  <c r="GK6" i="28"/>
  <c r="GL6" i="28" s="1"/>
  <c r="GD6" i="28"/>
  <c r="GE6" i="28" s="1"/>
  <c r="FY6" i="28"/>
  <c r="FZ6" i="28" s="1"/>
  <c r="FT6" i="28"/>
  <c r="FU6" i="28" s="1"/>
  <c r="FM6" i="28"/>
  <c r="FN6" i="28" s="1"/>
  <c r="FI6" i="28"/>
  <c r="FH6" i="28"/>
  <c r="FC6" i="28"/>
  <c r="FD6" i="28" s="1"/>
  <c r="EV6" i="28"/>
  <c r="EW6" i="28" s="1"/>
  <c r="EQ6" i="28"/>
  <c r="ER6" i="28" s="1"/>
  <c r="EL6" i="28"/>
  <c r="EM6" i="28" s="1"/>
  <c r="EE6" i="28"/>
  <c r="EF6" i="28" s="1"/>
  <c r="DZ6" i="28"/>
  <c r="EA6" i="28" s="1"/>
  <c r="DU6" i="28"/>
  <c r="DV6" i="28" s="1"/>
  <c r="DN6" i="28"/>
  <c r="DO6" i="28" s="1"/>
  <c r="DI6" i="28"/>
  <c r="DJ6" i="28" s="1"/>
  <c r="DD6" i="28"/>
  <c r="DE6" i="28" s="1"/>
  <c r="CW6" i="28"/>
  <c r="CX6" i="28" s="1"/>
  <c r="CR6" i="28"/>
  <c r="CS6" i="28" s="1"/>
  <c r="CM6" i="28"/>
  <c r="CN6" i="28" s="1"/>
  <c r="CF6" i="28"/>
  <c r="CG6" i="28" s="1"/>
  <c r="CA6" i="28"/>
  <c r="CB6" i="28" s="1"/>
  <c r="BV6" i="28"/>
  <c r="BW6" i="28" s="1"/>
  <c r="BO6" i="28"/>
  <c r="BP6" i="28" s="1"/>
  <c r="BK6" i="28"/>
  <c r="BJ6" i="28"/>
  <c r="BE6" i="28"/>
  <c r="BF6" i="28" s="1"/>
  <c r="AX6" i="28"/>
  <c r="AY6" i="28" s="1"/>
  <c r="AS6" i="28"/>
  <c r="AT6" i="28" s="1"/>
  <c r="AN6" i="28"/>
  <c r="AO6" i="28" s="1"/>
  <c r="AG6" i="28"/>
  <c r="AH6" i="28" s="1"/>
  <c r="AB6" i="28"/>
  <c r="AC6" i="28" s="1"/>
  <c r="W6" i="28"/>
  <c r="X6" i="28" s="1"/>
  <c r="P6" i="28"/>
  <c r="Q6" i="28" s="1"/>
  <c r="K6" i="28"/>
  <c r="L6" i="28" s="1"/>
  <c r="F6" i="28"/>
  <c r="G6" i="28" s="1"/>
  <c r="SO5" i="28"/>
  <c r="SP5" i="28" s="1"/>
  <c r="SJ5" i="28"/>
  <c r="SK5" i="28" s="1"/>
  <c r="SE5" i="28"/>
  <c r="SF5" i="28" s="1"/>
  <c r="RX5" i="28"/>
  <c r="RY5" i="28" s="1"/>
  <c r="RS5" i="28"/>
  <c r="RT5" i="28" s="1"/>
  <c r="RN5" i="28"/>
  <c r="RO5" i="28" s="1"/>
  <c r="RG5" i="28"/>
  <c r="RH5" i="28" s="1"/>
  <c r="RB5" i="28"/>
  <c r="RC5" i="28" s="1"/>
  <c r="QW5" i="28"/>
  <c r="QX5" i="28" s="1"/>
  <c r="QP5" i="28"/>
  <c r="QQ5" i="28" s="1"/>
  <c r="QK5" i="28"/>
  <c r="QL5" i="28" s="1"/>
  <c r="QF5" i="28"/>
  <c r="QG5" i="28" s="1"/>
  <c r="PY5" i="28"/>
  <c r="PZ5" i="28" s="1"/>
  <c r="PT5" i="28"/>
  <c r="PU5" i="28" s="1"/>
  <c r="PO5" i="28"/>
  <c r="PP5" i="28" s="1"/>
  <c r="PH5" i="28"/>
  <c r="PI5" i="28" s="1"/>
  <c r="PC5" i="28"/>
  <c r="PD5" i="28" s="1"/>
  <c r="OX5" i="28"/>
  <c r="OY5" i="28" s="1"/>
  <c r="OQ5" i="28"/>
  <c r="OR5" i="28" s="1"/>
  <c r="OM5" i="28"/>
  <c r="OL5" i="28"/>
  <c r="OG5" i="28"/>
  <c r="OH5" i="28" s="1"/>
  <c r="NZ5" i="28"/>
  <c r="OA5" i="28" s="1"/>
  <c r="NU5" i="28"/>
  <c r="NV5" i="28" s="1"/>
  <c r="NP5" i="28"/>
  <c r="NI5" i="28"/>
  <c r="NJ5" i="28" s="1"/>
  <c r="ND5" i="28"/>
  <c r="NE5" i="28" s="1"/>
  <c r="MY5" i="28"/>
  <c r="MZ5" i="28" s="1"/>
  <c r="MR5" i="28"/>
  <c r="MS5" i="28" s="1"/>
  <c r="MM5" i="28"/>
  <c r="MN5" i="28" s="1"/>
  <c r="MH5" i="28"/>
  <c r="MI5" i="28" s="1"/>
  <c r="MA5" i="28"/>
  <c r="MB5" i="28" s="1"/>
  <c r="LV5" i="28"/>
  <c r="LW5" i="28" s="1"/>
  <c r="LQ5" i="28"/>
  <c r="LR5" i="28" s="1"/>
  <c r="LJ5" i="28"/>
  <c r="LK5" i="28" s="1"/>
  <c r="LE5" i="28"/>
  <c r="LF5" i="28" s="1"/>
  <c r="KZ5" i="28"/>
  <c r="LA5" i="28" s="1"/>
  <c r="KS5" i="28"/>
  <c r="KT5" i="28" s="1"/>
  <c r="KN5" i="28"/>
  <c r="KO5" i="28" s="1"/>
  <c r="KI5" i="28"/>
  <c r="KJ5" i="28" s="1"/>
  <c r="KB5" i="28"/>
  <c r="KC5" i="28" s="1"/>
  <c r="JW5" i="28"/>
  <c r="JX5" i="28" s="1"/>
  <c r="JR5" i="28"/>
  <c r="JS5" i="28" s="1"/>
  <c r="JK5" i="28"/>
  <c r="JL5" i="28" s="1"/>
  <c r="JF5" i="28"/>
  <c r="JG5" i="28" s="1"/>
  <c r="JA5" i="28"/>
  <c r="JB5" i="28" s="1"/>
  <c r="IT5" i="28"/>
  <c r="IU5" i="28" s="1"/>
  <c r="IO5" i="28"/>
  <c r="IP5" i="28" s="1"/>
  <c r="IJ5" i="28"/>
  <c r="IK5" i="28" s="1"/>
  <c r="IC5" i="28"/>
  <c r="ID5" i="28" s="1"/>
  <c r="HX5" i="28"/>
  <c r="HY5" i="28" s="1"/>
  <c r="HS5" i="28"/>
  <c r="HT5" i="28" s="1"/>
  <c r="HL5" i="28"/>
  <c r="HM5" i="28" s="1"/>
  <c r="HG5" i="28"/>
  <c r="HH5" i="28" s="1"/>
  <c r="HB5" i="28"/>
  <c r="HC5" i="28" s="1"/>
  <c r="GU5" i="28"/>
  <c r="GV5" i="28" s="1"/>
  <c r="GP5" i="28"/>
  <c r="GQ5" i="28" s="1"/>
  <c r="GK5" i="28"/>
  <c r="GL5" i="28" s="1"/>
  <c r="GD5" i="28"/>
  <c r="GE5" i="28" s="1"/>
  <c r="FY5" i="28"/>
  <c r="FZ5" i="28" s="1"/>
  <c r="FT5" i="28"/>
  <c r="FU5" i="28" s="1"/>
  <c r="FM5" i="28"/>
  <c r="FN5" i="28" s="1"/>
  <c r="FH5" i="28"/>
  <c r="FI5" i="28" s="1"/>
  <c r="FC5" i="28"/>
  <c r="FD5" i="28" s="1"/>
  <c r="EV5" i="28"/>
  <c r="EW5" i="28" s="1"/>
  <c r="EQ5" i="28"/>
  <c r="ER5" i="28" s="1"/>
  <c r="EL5" i="28"/>
  <c r="EM5" i="28" s="1"/>
  <c r="EE5" i="28"/>
  <c r="EF5" i="28" s="1"/>
  <c r="EA5" i="28"/>
  <c r="DZ5" i="28"/>
  <c r="DU5" i="28"/>
  <c r="DV5" i="28" s="1"/>
  <c r="DN5" i="28"/>
  <c r="DO5" i="28" s="1"/>
  <c r="DI5" i="28"/>
  <c r="DJ5" i="28" s="1"/>
  <c r="DD5" i="28"/>
  <c r="DE5" i="28" s="1"/>
  <c r="CW5" i="28"/>
  <c r="CX5" i="28" s="1"/>
  <c r="CR5" i="28"/>
  <c r="CS5" i="28" s="1"/>
  <c r="CM5" i="28"/>
  <c r="CN5" i="28" s="1"/>
  <c r="CF5" i="28"/>
  <c r="CG5" i="28" s="1"/>
  <c r="CA5" i="28"/>
  <c r="CB5" i="28" s="1"/>
  <c r="BV5" i="28"/>
  <c r="BW5" i="28" s="1"/>
  <c r="BO5" i="28"/>
  <c r="BP5" i="28" s="1"/>
  <c r="BJ5" i="28"/>
  <c r="BK5" i="28" s="1"/>
  <c r="BE5" i="28"/>
  <c r="BF5" i="28" s="1"/>
  <c r="AX5" i="28"/>
  <c r="AY5" i="28" s="1"/>
  <c r="AS5" i="28"/>
  <c r="AT5" i="28" s="1"/>
  <c r="AN5" i="28"/>
  <c r="AO5" i="28" s="1"/>
  <c r="AG5" i="28"/>
  <c r="AH5" i="28" s="1"/>
  <c r="AC5" i="28"/>
  <c r="AB5" i="28"/>
  <c r="W5" i="28"/>
  <c r="X5" i="28" s="1"/>
  <c r="P5" i="28"/>
  <c r="Q5" i="28" s="1"/>
  <c r="K5" i="28"/>
  <c r="L5" i="28" s="1"/>
  <c r="F5" i="28"/>
  <c r="G5" i="28" s="1"/>
  <c r="SQ4" i="28"/>
  <c r="SR4" i="28" s="1"/>
  <c r="SO4" i="28"/>
  <c r="SP4" i="28" s="1"/>
  <c r="SJ4" i="28"/>
  <c r="SK4" i="28" s="1"/>
  <c r="SE4" i="28"/>
  <c r="SF4" i="28" s="1"/>
  <c r="RZ4" i="28"/>
  <c r="SA4" i="28" s="1"/>
  <c r="RX4" i="28"/>
  <c r="RY4" i="28" s="1"/>
  <c r="RS4" i="28"/>
  <c r="RT4" i="28" s="1"/>
  <c r="RN4" i="28"/>
  <c r="RO4" i="28" s="1"/>
  <c r="RI4" i="28"/>
  <c r="RJ4" i="28" s="1"/>
  <c r="RG4" i="28"/>
  <c r="RH4" i="28" s="1"/>
  <c r="RB4" i="28"/>
  <c r="RC4" i="28" s="1"/>
  <c r="QW4" i="28"/>
  <c r="QX4" i="28" s="1"/>
  <c r="QR4" i="28"/>
  <c r="QS4" i="28" s="1"/>
  <c r="QP4" i="28"/>
  <c r="QQ4" i="28" s="1"/>
  <c r="QK4" i="28"/>
  <c r="QL4" i="28" s="1"/>
  <c r="QF4" i="28"/>
  <c r="QG4" i="28" s="1"/>
  <c r="QA4" i="28"/>
  <c r="QB4" i="28" s="1"/>
  <c r="PY4" i="28"/>
  <c r="PZ4" i="28" s="1"/>
  <c r="PT4" i="28"/>
  <c r="PU4" i="28" s="1"/>
  <c r="PO4" i="28"/>
  <c r="PP4" i="28" s="1"/>
  <c r="PJ4" i="28"/>
  <c r="PK4" i="28" s="1"/>
  <c r="PH4" i="28"/>
  <c r="PI4" i="28" s="1"/>
  <c r="PC4" i="28"/>
  <c r="PD4" i="28" s="1"/>
  <c r="OX4" i="28"/>
  <c r="OY4" i="28" s="1"/>
  <c r="OS4" i="28"/>
  <c r="OT4" i="28" s="1"/>
  <c r="OQ4" i="28"/>
  <c r="OR4" i="28" s="1"/>
  <c r="OL4" i="28"/>
  <c r="OM4" i="28" s="1"/>
  <c r="OG4" i="28"/>
  <c r="OH4" i="28" s="1"/>
  <c r="OB4" i="28"/>
  <c r="OC4" i="28" s="1"/>
  <c r="NZ4" i="28"/>
  <c r="OA4" i="28" s="1"/>
  <c r="NU4" i="28"/>
  <c r="NV4" i="28" s="1"/>
  <c r="NP4" i="28"/>
  <c r="NQ4" i="28" s="1"/>
  <c r="NL4" i="28"/>
  <c r="NK4" i="28"/>
  <c r="NI4" i="28"/>
  <c r="NJ4" i="28" s="1"/>
  <c r="ND4" i="28"/>
  <c r="NE4" i="28" s="1"/>
  <c r="MY4" i="28"/>
  <c r="MZ4" i="28" s="1"/>
  <c r="MT4" i="28"/>
  <c r="MU4" i="28" s="1"/>
  <c r="MR4" i="28"/>
  <c r="MS4" i="28" s="1"/>
  <c r="MM4" i="28"/>
  <c r="MN4" i="28" s="1"/>
  <c r="MH4" i="28"/>
  <c r="MI4" i="28" s="1"/>
  <c r="MC4" i="28"/>
  <c r="MD4" i="28" s="1"/>
  <c r="MA4" i="28"/>
  <c r="MB4" i="28" s="1"/>
  <c r="LW4" i="28"/>
  <c r="LV4" i="28"/>
  <c r="LQ4" i="28"/>
  <c r="LR4" i="28" s="1"/>
  <c r="LL4" i="28"/>
  <c r="LM4" i="28" s="1"/>
  <c r="LJ4" i="28"/>
  <c r="LK4" i="28" s="1"/>
  <c r="LE4" i="28"/>
  <c r="LF4" i="28" s="1"/>
  <c r="KZ4" i="28"/>
  <c r="LA4" i="28" s="1"/>
  <c r="KU4" i="28"/>
  <c r="KV4" i="28" s="1"/>
  <c r="KS4" i="28"/>
  <c r="KT4" i="28" s="1"/>
  <c r="KN4" i="28"/>
  <c r="KO4" i="28" s="1"/>
  <c r="KI4" i="28"/>
  <c r="KJ4" i="28" s="1"/>
  <c r="KD4" i="28"/>
  <c r="KE4" i="28" s="1"/>
  <c r="KB4" i="28"/>
  <c r="KC4" i="28" s="1"/>
  <c r="JW4" i="28"/>
  <c r="JX4" i="28" s="1"/>
  <c r="JR4" i="28"/>
  <c r="JS4" i="28" s="1"/>
  <c r="JM4" i="28"/>
  <c r="JN4" i="28" s="1"/>
  <c r="JK4" i="28"/>
  <c r="JL4" i="28" s="1"/>
  <c r="JF4" i="28"/>
  <c r="JG4" i="28" s="1"/>
  <c r="JA4" i="28"/>
  <c r="JB4" i="28" s="1"/>
  <c r="IV4" i="28"/>
  <c r="IW4" i="28" s="1"/>
  <c r="IT4" i="28"/>
  <c r="IU4" i="28" s="1"/>
  <c r="IO4" i="28"/>
  <c r="IP4" i="28" s="1"/>
  <c r="IJ4" i="28"/>
  <c r="IK4" i="28" s="1"/>
  <c r="IE4" i="28"/>
  <c r="IF4" i="28" s="1"/>
  <c r="IC4" i="28"/>
  <c r="ID4" i="28" s="1"/>
  <c r="HX4" i="28"/>
  <c r="HY4" i="28" s="1"/>
  <c r="HS4" i="28"/>
  <c r="HT4" i="28" s="1"/>
  <c r="HN4" i="28"/>
  <c r="HO4" i="28" s="1"/>
  <c r="HL4" i="28"/>
  <c r="HM4" i="28" s="1"/>
  <c r="HG4" i="28"/>
  <c r="HH4" i="28" s="1"/>
  <c r="HB4" i="28"/>
  <c r="HC4" i="28" s="1"/>
  <c r="GW4" i="28"/>
  <c r="GX4" i="28" s="1"/>
  <c r="GU4" i="28"/>
  <c r="GV4" i="28" s="1"/>
  <c r="GP4" i="28"/>
  <c r="GQ4" i="28" s="1"/>
  <c r="GK4" i="28"/>
  <c r="GL4" i="28" s="1"/>
  <c r="GF4" i="28"/>
  <c r="GG4" i="28" s="1"/>
  <c r="GD4" i="28"/>
  <c r="GE4" i="28" s="1"/>
  <c r="FY4" i="28"/>
  <c r="FZ4" i="28" s="1"/>
  <c r="FU4" i="28"/>
  <c r="FT4" i="28"/>
  <c r="FO4" i="28"/>
  <c r="FP4" i="28" s="1"/>
  <c r="FM4" i="28"/>
  <c r="FN4" i="28" s="1"/>
  <c r="FH4" i="28"/>
  <c r="FI4" i="28" s="1"/>
  <c r="FC4" i="28"/>
  <c r="FD4" i="28" s="1"/>
  <c r="EX4" i="28"/>
  <c r="EY4" i="28" s="1"/>
  <c r="EV4" i="28"/>
  <c r="EW4" i="28" s="1"/>
  <c r="EQ4" i="28"/>
  <c r="ER4" i="28" s="1"/>
  <c r="EM4" i="28"/>
  <c r="EL4" i="28"/>
  <c r="EG4" i="28"/>
  <c r="EH4" i="28" s="1"/>
  <c r="EE4" i="28"/>
  <c r="EF4" i="28" s="1"/>
  <c r="DZ4" i="28"/>
  <c r="EA4" i="28" s="1"/>
  <c r="DU4" i="28"/>
  <c r="DV4" i="28" s="1"/>
  <c r="DP4" i="28"/>
  <c r="DQ4" i="28" s="1"/>
  <c r="DO4" i="28"/>
  <c r="DN4" i="28"/>
  <c r="DI4" i="28"/>
  <c r="DJ4" i="28" s="1"/>
  <c r="DD4" i="28"/>
  <c r="DE4" i="28" s="1"/>
  <c r="CY4" i="28"/>
  <c r="CZ4" i="28" s="1"/>
  <c r="CW4" i="28"/>
  <c r="CX4" i="28" s="1"/>
  <c r="CR4" i="28"/>
  <c r="CS4" i="28" s="1"/>
  <c r="CM4" i="28"/>
  <c r="CN4" i="28" s="1"/>
  <c r="CH4" i="28"/>
  <c r="CI4" i="28" s="1"/>
  <c r="CF4" i="28"/>
  <c r="CG4" i="28" s="1"/>
  <c r="CA4" i="28"/>
  <c r="CB4" i="28" s="1"/>
  <c r="BW4" i="28"/>
  <c r="BV4" i="28"/>
  <c r="BQ4" i="28"/>
  <c r="BR4" i="28" s="1"/>
  <c r="BO4" i="28"/>
  <c r="BP4" i="28" s="1"/>
  <c r="BJ4" i="28"/>
  <c r="BK4" i="28" s="1"/>
  <c r="BE4" i="28"/>
  <c r="BF4" i="28" s="1"/>
  <c r="AZ4" i="28"/>
  <c r="BA4" i="28" s="1"/>
  <c r="AY4" i="28"/>
  <c r="AX4" i="28"/>
  <c r="AS4" i="28"/>
  <c r="AT4" i="28" s="1"/>
  <c r="AO4" i="28"/>
  <c r="AN4" i="28"/>
  <c r="AI4" i="28"/>
  <c r="AJ4" i="28" s="1"/>
  <c r="AG4" i="28"/>
  <c r="AH4" i="28" s="1"/>
  <c r="AB4" i="28"/>
  <c r="AC4" i="28" s="1"/>
  <c r="W4" i="28"/>
  <c r="X4" i="28" s="1"/>
  <c r="R4" i="28"/>
  <c r="S4" i="28" s="1"/>
  <c r="Q4" i="28"/>
  <c r="P4" i="28"/>
  <c r="K4" i="28"/>
  <c r="L4" i="28" s="1"/>
  <c r="F4" i="28"/>
  <c r="G4" i="28" s="1"/>
  <c r="AM3" i="28"/>
  <c r="BD3" i="28" s="1"/>
  <c r="BU3" i="28" s="1"/>
  <c r="CL3" i="28" s="1"/>
  <c r="DC3" i="28" s="1"/>
  <c r="DT3" i="28" s="1"/>
  <c r="EK3" i="28" s="1"/>
  <c r="FB3" i="28" s="1"/>
  <c r="FS3" i="28" s="1"/>
  <c r="GJ3" i="28" s="1"/>
  <c r="HA3" i="28" s="1"/>
  <c r="HR3" i="28" s="1"/>
  <c r="II3" i="28" s="1"/>
  <c r="IZ3" i="28" s="1"/>
  <c r="JQ3" i="28" s="1"/>
  <c r="KH3" i="28" s="1"/>
  <c r="KY3" i="28" s="1"/>
  <c r="LP3" i="28" s="1"/>
  <c r="MG3" i="28" s="1"/>
  <c r="MX3" i="28" s="1"/>
  <c r="NO3" i="28" s="1"/>
  <c r="OF3" i="28" s="1"/>
  <c r="OW3" i="28" s="1"/>
  <c r="PN3" i="28" s="1"/>
  <c r="QE3" i="28" s="1"/>
  <c r="QV3" i="28" s="1"/>
  <c r="RM3" i="28" s="1"/>
  <c r="SD3" i="28" s="1"/>
  <c r="AF3" i="28"/>
  <c r="AW3" i="28" s="1"/>
  <c r="BN3" i="28" s="1"/>
  <c r="CE3" i="28" s="1"/>
  <c r="CV3" i="28" s="1"/>
  <c r="DM3" i="28" s="1"/>
  <c r="ED3" i="28" s="1"/>
  <c r="EU3" i="28" s="1"/>
  <c r="FL3" i="28" s="1"/>
  <c r="GC3" i="28" s="1"/>
  <c r="GT3" i="28" s="1"/>
  <c r="HK3" i="28" s="1"/>
  <c r="IB3" i="28" s="1"/>
  <c r="IS3" i="28" s="1"/>
  <c r="JJ3" i="28" s="1"/>
  <c r="KA3" i="28" s="1"/>
  <c r="KR3" i="28" s="1"/>
  <c r="LI3" i="28" s="1"/>
  <c r="LZ3" i="28" s="1"/>
  <c r="MQ3" i="28" s="1"/>
  <c r="NH3" i="28" s="1"/>
  <c r="NY3" i="28" s="1"/>
  <c r="OP3" i="28" s="1"/>
  <c r="PG3" i="28" s="1"/>
  <c r="PX3" i="28" s="1"/>
  <c r="QO3" i="28" s="1"/>
  <c r="RF3" i="28" s="1"/>
  <c r="RW3" i="28" s="1"/>
  <c r="SN3" i="28" s="1"/>
  <c r="AE3" i="28"/>
  <c r="AV3" i="28" s="1"/>
  <c r="BM3" i="28" s="1"/>
  <c r="CD3" i="28" s="1"/>
  <c r="CU3" i="28" s="1"/>
  <c r="DL3" i="28" s="1"/>
  <c r="EC3" i="28" s="1"/>
  <c r="ET3" i="28" s="1"/>
  <c r="FK3" i="28" s="1"/>
  <c r="GB3" i="28" s="1"/>
  <c r="GS3" i="28" s="1"/>
  <c r="HJ3" i="28" s="1"/>
  <c r="IA3" i="28" s="1"/>
  <c r="IR3" i="28" s="1"/>
  <c r="JI3" i="28" s="1"/>
  <c r="JZ3" i="28" s="1"/>
  <c r="KQ3" i="28" s="1"/>
  <c r="LH3" i="28" s="1"/>
  <c r="LY3" i="28" s="1"/>
  <c r="MP3" i="28" s="1"/>
  <c r="NG3" i="28" s="1"/>
  <c r="NX3" i="28" s="1"/>
  <c r="OO3" i="28" s="1"/>
  <c r="PF3" i="28" s="1"/>
  <c r="PW3" i="28" s="1"/>
  <c r="QN3" i="28" s="1"/>
  <c r="RE3" i="28" s="1"/>
  <c r="RV3" i="28" s="1"/>
  <c r="SM3" i="28" s="1"/>
  <c r="AD3" i="28"/>
  <c r="AU3" i="28" s="1"/>
  <c r="BL3" i="28" s="1"/>
  <c r="CC3" i="28" s="1"/>
  <c r="CT3" i="28" s="1"/>
  <c r="DK3" i="28" s="1"/>
  <c r="EB3" i="28" s="1"/>
  <c r="ES3" i="28" s="1"/>
  <c r="FJ3" i="28" s="1"/>
  <c r="GA3" i="28" s="1"/>
  <c r="GR3" i="28" s="1"/>
  <c r="HI3" i="28" s="1"/>
  <c r="HZ3" i="28" s="1"/>
  <c r="IQ3" i="28" s="1"/>
  <c r="JH3" i="28" s="1"/>
  <c r="JY3" i="28" s="1"/>
  <c r="KP3" i="28" s="1"/>
  <c r="LG3" i="28" s="1"/>
  <c r="LX3" i="28" s="1"/>
  <c r="MO3" i="28" s="1"/>
  <c r="NF3" i="28" s="1"/>
  <c r="NW3" i="28" s="1"/>
  <c r="ON3" i="28" s="1"/>
  <c r="PE3" i="28" s="1"/>
  <c r="PV3" i="28" s="1"/>
  <c r="QM3" i="28" s="1"/>
  <c r="RD3" i="28" s="1"/>
  <c r="RU3" i="28" s="1"/>
  <c r="SL3" i="28" s="1"/>
  <c r="AA3" i="28"/>
  <c r="AR3" i="28" s="1"/>
  <c r="BI3" i="28" s="1"/>
  <c r="BZ3" i="28" s="1"/>
  <c r="CQ3" i="28" s="1"/>
  <c r="DH3" i="28" s="1"/>
  <c r="DY3" i="28" s="1"/>
  <c r="EP3" i="28" s="1"/>
  <c r="FG3" i="28" s="1"/>
  <c r="FX3" i="28" s="1"/>
  <c r="GO3" i="28" s="1"/>
  <c r="HF3" i="28" s="1"/>
  <c r="HW3" i="28" s="1"/>
  <c r="IN3" i="28" s="1"/>
  <c r="JE3" i="28" s="1"/>
  <c r="JV3" i="28" s="1"/>
  <c r="KM3" i="28" s="1"/>
  <c r="LD3" i="28" s="1"/>
  <c r="LU3" i="28" s="1"/>
  <c r="ML3" i="28" s="1"/>
  <c r="NC3" i="28" s="1"/>
  <c r="NT3" i="28" s="1"/>
  <c r="OK3" i="28" s="1"/>
  <c r="PB3" i="28" s="1"/>
  <c r="PS3" i="28" s="1"/>
  <c r="QJ3" i="28" s="1"/>
  <c r="RA3" i="28" s="1"/>
  <c r="RR3" i="28" s="1"/>
  <c r="SI3" i="28" s="1"/>
  <c r="Z3" i="28"/>
  <c r="AQ3" i="28" s="1"/>
  <c r="BH3" i="28" s="1"/>
  <c r="BY3" i="28" s="1"/>
  <c r="CP3" i="28" s="1"/>
  <c r="DG3" i="28" s="1"/>
  <c r="DX3" i="28" s="1"/>
  <c r="EO3" i="28" s="1"/>
  <c r="FF3" i="28" s="1"/>
  <c r="FW3" i="28" s="1"/>
  <c r="GN3" i="28" s="1"/>
  <c r="HE3" i="28" s="1"/>
  <c r="HV3" i="28" s="1"/>
  <c r="IM3" i="28" s="1"/>
  <c r="JD3" i="28" s="1"/>
  <c r="JU3" i="28" s="1"/>
  <c r="KL3" i="28" s="1"/>
  <c r="LC3" i="28" s="1"/>
  <c r="LT3" i="28" s="1"/>
  <c r="MK3" i="28" s="1"/>
  <c r="NB3" i="28" s="1"/>
  <c r="NS3" i="28" s="1"/>
  <c r="OJ3" i="28" s="1"/>
  <c r="PA3" i="28" s="1"/>
  <c r="PR3" i="28" s="1"/>
  <c r="QI3" i="28" s="1"/>
  <c r="QZ3" i="28" s="1"/>
  <c r="RQ3" i="28" s="1"/>
  <c r="SH3" i="28" s="1"/>
  <c r="Y3" i="28"/>
  <c r="AP3" i="28" s="1"/>
  <c r="BG3" i="28" s="1"/>
  <c r="BX3" i="28" s="1"/>
  <c r="CO3" i="28" s="1"/>
  <c r="DF3" i="28" s="1"/>
  <c r="DW3" i="28" s="1"/>
  <c r="EN3" i="28" s="1"/>
  <c r="FE3" i="28" s="1"/>
  <c r="FV3" i="28" s="1"/>
  <c r="GM3" i="28" s="1"/>
  <c r="HD3" i="28" s="1"/>
  <c r="HU3" i="28" s="1"/>
  <c r="IL3" i="28" s="1"/>
  <c r="JC3" i="28" s="1"/>
  <c r="JT3" i="28" s="1"/>
  <c r="KK3" i="28" s="1"/>
  <c r="LB3" i="28" s="1"/>
  <c r="LS3" i="28" s="1"/>
  <c r="MJ3" i="28" s="1"/>
  <c r="NA3" i="28" s="1"/>
  <c r="NR3" i="28" s="1"/>
  <c r="OI3" i="28" s="1"/>
  <c r="OZ3" i="28" s="1"/>
  <c r="PQ3" i="28" s="1"/>
  <c r="QH3" i="28" s="1"/>
  <c r="QY3" i="28" s="1"/>
  <c r="RP3" i="28" s="1"/>
  <c r="SG3" i="28" s="1"/>
  <c r="V3" i="28"/>
  <c r="U3" i="28"/>
  <c r="AL3" i="28" s="1"/>
  <c r="BC3" i="28" s="1"/>
  <c r="BT3" i="28" s="1"/>
  <c r="CK3" i="28" s="1"/>
  <c r="DB3" i="28" s="1"/>
  <c r="DS3" i="28" s="1"/>
  <c r="EJ3" i="28" s="1"/>
  <c r="FA3" i="28" s="1"/>
  <c r="FR3" i="28" s="1"/>
  <c r="GI3" i="28" s="1"/>
  <c r="GZ3" i="28" s="1"/>
  <c r="HQ3" i="28" s="1"/>
  <c r="IH3" i="28" s="1"/>
  <c r="IY3" i="28" s="1"/>
  <c r="JP3" i="28" s="1"/>
  <c r="KG3" i="28" s="1"/>
  <c r="KX3" i="28" s="1"/>
  <c r="LO3" i="28" s="1"/>
  <c r="MF3" i="28" s="1"/>
  <c r="MW3" i="28" s="1"/>
  <c r="NN3" i="28" s="1"/>
  <c r="OE3" i="28" s="1"/>
  <c r="OV3" i="28" s="1"/>
  <c r="PM3" i="28" s="1"/>
  <c r="QD3" i="28" s="1"/>
  <c r="QU3" i="28" s="1"/>
  <c r="RL3" i="28" s="1"/>
  <c r="SC3" i="28" s="1"/>
  <c r="T3" i="28"/>
  <c r="AK3" i="28" s="1"/>
  <c r="BB3" i="28" s="1"/>
  <c r="BS3" i="28" s="1"/>
  <c r="CJ3" i="28" s="1"/>
  <c r="DA3" i="28" s="1"/>
  <c r="DR3" i="28" s="1"/>
  <c r="EI3" i="28" s="1"/>
  <c r="EZ3" i="28" s="1"/>
  <c r="FQ3" i="28" s="1"/>
  <c r="GH3" i="28" s="1"/>
  <c r="GY3" i="28" s="1"/>
  <c r="HP3" i="28" s="1"/>
  <c r="IG3" i="28" s="1"/>
  <c r="IX3" i="28" s="1"/>
  <c r="JO3" i="28" s="1"/>
  <c r="KF3" i="28" s="1"/>
  <c r="KW3" i="28" s="1"/>
  <c r="LN3" i="28" s="1"/>
  <c r="ME3" i="28" s="1"/>
  <c r="MV3" i="28" s="1"/>
  <c r="NM3" i="28" s="1"/>
  <c r="OD3" i="28" s="1"/>
  <c r="OU3" i="28" s="1"/>
  <c r="PL3" i="28" s="1"/>
  <c r="QC3" i="28" s="1"/>
  <c r="QT3" i="28" s="1"/>
  <c r="RK3" i="28" s="1"/>
  <c r="SB3" i="28" s="1"/>
  <c r="AK1" i="28"/>
  <c r="T1" i="28"/>
  <c r="R24" i="26"/>
  <c r="SN22" i="26"/>
  <c r="SM22" i="26"/>
  <c r="SL22" i="26"/>
  <c r="SI22" i="26"/>
  <c r="SH22" i="26"/>
  <c r="SG22" i="26"/>
  <c r="SD22" i="26"/>
  <c r="SC22" i="26"/>
  <c r="SB22" i="26"/>
  <c r="RW22" i="26"/>
  <c r="RV22" i="26"/>
  <c r="RU22" i="26"/>
  <c r="RR22" i="26"/>
  <c r="RQ22" i="26"/>
  <c r="RP22" i="26"/>
  <c r="RM22" i="26"/>
  <c r="RL22" i="26"/>
  <c r="RK22" i="26"/>
  <c r="RF22" i="26"/>
  <c r="RE22" i="26"/>
  <c r="RD22" i="26"/>
  <c r="RA22" i="26"/>
  <c r="QZ22" i="26"/>
  <c r="QY22" i="26"/>
  <c r="QV22" i="26"/>
  <c r="QU22" i="26"/>
  <c r="QT22" i="26"/>
  <c r="QO22" i="26"/>
  <c r="QN22" i="26"/>
  <c r="QM22" i="26"/>
  <c r="QJ22" i="26"/>
  <c r="QI22" i="26"/>
  <c r="QH22" i="26"/>
  <c r="QE22" i="26"/>
  <c r="QD22" i="26"/>
  <c r="QC22" i="26"/>
  <c r="PX22" i="26"/>
  <c r="PW22" i="26"/>
  <c r="PV22" i="26"/>
  <c r="PS22" i="26"/>
  <c r="PR22" i="26"/>
  <c r="PQ22" i="26"/>
  <c r="PN22" i="26"/>
  <c r="PM22" i="26"/>
  <c r="PL22" i="26"/>
  <c r="PG22" i="26"/>
  <c r="PF22" i="26"/>
  <c r="PE22" i="26"/>
  <c r="PB22" i="26"/>
  <c r="PA22" i="26"/>
  <c r="OZ22" i="26"/>
  <c r="OW22" i="26"/>
  <c r="OV22" i="26"/>
  <c r="OU22" i="26"/>
  <c r="OP22" i="26"/>
  <c r="OO22" i="26"/>
  <c r="ON22" i="26"/>
  <c r="OK22" i="26"/>
  <c r="OJ22" i="26"/>
  <c r="OI22" i="26"/>
  <c r="OF22" i="26"/>
  <c r="OE22" i="26"/>
  <c r="OD22" i="26"/>
  <c r="NY22" i="26"/>
  <c r="NX22" i="26"/>
  <c r="NW22" i="26"/>
  <c r="NT22" i="26"/>
  <c r="NS22" i="26"/>
  <c r="NR22" i="26"/>
  <c r="NO22" i="26"/>
  <c r="NN22" i="26"/>
  <c r="NM22" i="26"/>
  <c r="NH22" i="26"/>
  <c r="NG22" i="26"/>
  <c r="NF22" i="26"/>
  <c r="NC22" i="26"/>
  <c r="NB22" i="26"/>
  <c r="NA22" i="26"/>
  <c r="MX22" i="26"/>
  <c r="MW22" i="26"/>
  <c r="MV22" i="26"/>
  <c r="MQ22" i="26"/>
  <c r="MP22" i="26"/>
  <c r="MO22" i="26"/>
  <c r="ML22" i="26"/>
  <c r="MK22" i="26"/>
  <c r="MJ22" i="26"/>
  <c r="MG22" i="26"/>
  <c r="MF22" i="26"/>
  <c r="ME22" i="26"/>
  <c r="LZ22" i="26"/>
  <c r="LY22" i="26"/>
  <c r="LX22" i="26"/>
  <c r="LU22" i="26"/>
  <c r="LT22" i="26"/>
  <c r="LS22" i="26"/>
  <c r="LP22" i="26"/>
  <c r="LO22" i="26"/>
  <c r="LN22" i="26"/>
  <c r="LI22" i="26"/>
  <c r="LH22" i="26"/>
  <c r="LG22" i="26"/>
  <c r="LD22" i="26"/>
  <c r="LC22" i="26"/>
  <c r="LB22" i="26"/>
  <c r="KY22" i="26"/>
  <c r="KX22" i="26"/>
  <c r="KW22" i="26"/>
  <c r="KR22" i="26"/>
  <c r="KQ22" i="26"/>
  <c r="KP22" i="26"/>
  <c r="KM22" i="26"/>
  <c r="KL22" i="26"/>
  <c r="KK22" i="26"/>
  <c r="KH22" i="26"/>
  <c r="KG22" i="26"/>
  <c r="KF22" i="26"/>
  <c r="KA22" i="26"/>
  <c r="JZ22" i="26"/>
  <c r="JY22" i="26"/>
  <c r="JV22" i="26"/>
  <c r="JU22" i="26"/>
  <c r="JT22" i="26"/>
  <c r="JQ22" i="26"/>
  <c r="JP22" i="26"/>
  <c r="JO22" i="26"/>
  <c r="JJ22" i="26"/>
  <c r="JI22" i="26"/>
  <c r="JH22" i="26"/>
  <c r="JE22" i="26"/>
  <c r="JD22" i="26"/>
  <c r="JC22" i="26"/>
  <c r="IZ22" i="26"/>
  <c r="IY22" i="26"/>
  <c r="IX22" i="26"/>
  <c r="IS22" i="26"/>
  <c r="IR22" i="26"/>
  <c r="IQ22" i="26"/>
  <c r="IN22" i="26"/>
  <c r="IM22" i="26"/>
  <c r="IL22" i="26"/>
  <c r="II22" i="26"/>
  <c r="IH22" i="26"/>
  <c r="IG22" i="26"/>
  <c r="IB22" i="26"/>
  <c r="IA22" i="26"/>
  <c r="HZ22" i="26"/>
  <c r="HW22" i="26"/>
  <c r="HV22" i="26"/>
  <c r="HU22" i="26"/>
  <c r="HR22" i="26"/>
  <c r="HQ22" i="26"/>
  <c r="HP22" i="26"/>
  <c r="HK22" i="26"/>
  <c r="HJ22" i="26"/>
  <c r="HI22" i="26"/>
  <c r="HF22" i="26"/>
  <c r="HE22" i="26"/>
  <c r="HD22" i="26"/>
  <c r="HA22" i="26"/>
  <c r="GZ22" i="26"/>
  <c r="GY22" i="26"/>
  <c r="GT22" i="26"/>
  <c r="GS22" i="26"/>
  <c r="GR22" i="26"/>
  <c r="GO22" i="26"/>
  <c r="GN22" i="26"/>
  <c r="GM22" i="26"/>
  <c r="GJ22" i="26"/>
  <c r="GI22" i="26"/>
  <c r="GH22" i="26"/>
  <c r="GC22" i="26"/>
  <c r="GB22" i="26"/>
  <c r="GA22" i="26"/>
  <c r="FX22" i="26"/>
  <c r="FW22" i="26"/>
  <c r="FV22" i="26"/>
  <c r="FS22" i="26"/>
  <c r="FR22" i="26"/>
  <c r="FQ22" i="26"/>
  <c r="FL22" i="26"/>
  <c r="FK22" i="26"/>
  <c r="FJ22" i="26"/>
  <c r="FG22" i="26"/>
  <c r="FF22" i="26"/>
  <c r="FE22" i="26"/>
  <c r="FB22" i="26"/>
  <c r="FA22" i="26"/>
  <c r="EZ22" i="26"/>
  <c r="EU22" i="26"/>
  <c r="ET22" i="26"/>
  <c r="ES22" i="26"/>
  <c r="EP22" i="26"/>
  <c r="EO22" i="26"/>
  <c r="EN22" i="26"/>
  <c r="EK22" i="26"/>
  <c r="EJ22" i="26"/>
  <c r="EI22" i="26"/>
  <c r="ED22" i="26"/>
  <c r="EC22" i="26"/>
  <c r="EB22" i="26"/>
  <c r="DY22" i="26"/>
  <c r="DX22" i="26"/>
  <c r="DW22" i="26"/>
  <c r="DT22" i="26"/>
  <c r="DS22" i="26"/>
  <c r="DR22" i="26"/>
  <c r="DM22" i="26"/>
  <c r="DL22" i="26"/>
  <c r="DK22" i="26"/>
  <c r="DH22" i="26"/>
  <c r="DG22" i="26"/>
  <c r="DF22" i="26"/>
  <c r="DC22" i="26"/>
  <c r="DB22" i="26"/>
  <c r="DA22" i="26"/>
  <c r="CV22" i="26"/>
  <c r="CU22" i="26"/>
  <c r="CT22" i="26"/>
  <c r="CQ22" i="26"/>
  <c r="CP22" i="26"/>
  <c r="CO22" i="26"/>
  <c r="CL22" i="26"/>
  <c r="CK22" i="26"/>
  <c r="CJ22" i="26"/>
  <c r="CE22" i="26"/>
  <c r="CD22" i="26"/>
  <c r="CC22" i="26"/>
  <c r="BZ22" i="26"/>
  <c r="BY22" i="26"/>
  <c r="BX22" i="26"/>
  <c r="BU22" i="26"/>
  <c r="BT22" i="26"/>
  <c r="BS22" i="26"/>
  <c r="BN22" i="26"/>
  <c r="BM22" i="26"/>
  <c r="BL22" i="26"/>
  <c r="BI22" i="26"/>
  <c r="BH22" i="26"/>
  <c r="BG22" i="26"/>
  <c r="BD22" i="26"/>
  <c r="BC22" i="26"/>
  <c r="BB22" i="26"/>
  <c r="AW22" i="26"/>
  <c r="AV22" i="26"/>
  <c r="AU22" i="26"/>
  <c r="AR22" i="26"/>
  <c r="AQ22" i="26"/>
  <c r="AP22" i="26"/>
  <c r="AM22" i="26"/>
  <c r="AL22" i="26"/>
  <c r="AK22" i="26"/>
  <c r="AF22" i="26"/>
  <c r="AE22" i="26"/>
  <c r="AD22" i="26"/>
  <c r="AA22" i="26"/>
  <c r="Z22" i="26"/>
  <c r="Y22" i="26"/>
  <c r="V22" i="26"/>
  <c r="U22" i="26"/>
  <c r="T22" i="26"/>
  <c r="O22" i="26"/>
  <c r="N22" i="26"/>
  <c r="M22" i="26"/>
  <c r="J22" i="26"/>
  <c r="I22" i="26"/>
  <c r="H22" i="26"/>
  <c r="E22" i="26"/>
  <c r="D22" i="26"/>
  <c r="C22" i="26"/>
  <c r="SO21" i="26"/>
  <c r="SP21" i="26" s="1"/>
  <c r="SJ21" i="26"/>
  <c r="SK21" i="26" s="1"/>
  <c r="SE21" i="26"/>
  <c r="SF21" i="26" s="1"/>
  <c r="RX21" i="26"/>
  <c r="RY21" i="26" s="1"/>
  <c r="RS21" i="26"/>
  <c r="RT21" i="26" s="1"/>
  <c r="RN21" i="26"/>
  <c r="RO21" i="26" s="1"/>
  <c r="RG21" i="26"/>
  <c r="RH21" i="26" s="1"/>
  <c r="RB21" i="26"/>
  <c r="RC21" i="26" s="1"/>
  <c r="QW21" i="26"/>
  <c r="QX21" i="26" s="1"/>
  <c r="QP21" i="26"/>
  <c r="QQ21" i="26" s="1"/>
  <c r="QK21" i="26"/>
  <c r="QL21" i="26" s="1"/>
  <c r="QF21" i="26"/>
  <c r="QG21" i="26" s="1"/>
  <c r="PY21" i="26"/>
  <c r="PZ21" i="26" s="1"/>
  <c r="PT21" i="26"/>
  <c r="PU21" i="26" s="1"/>
  <c r="PO21" i="26"/>
  <c r="PP21" i="26" s="1"/>
  <c r="PH21" i="26"/>
  <c r="PI21" i="26" s="1"/>
  <c r="PC21" i="26"/>
  <c r="PD21" i="26" s="1"/>
  <c r="OX21" i="26"/>
  <c r="OY21" i="26" s="1"/>
  <c r="OQ21" i="26"/>
  <c r="OR21" i="26" s="1"/>
  <c r="OL21" i="26"/>
  <c r="OM21" i="26" s="1"/>
  <c r="OG21" i="26"/>
  <c r="OH21" i="26" s="1"/>
  <c r="NZ21" i="26"/>
  <c r="OA21" i="26" s="1"/>
  <c r="NU21" i="26"/>
  <c r="NV21" i="26" s="1"/>
  <c r="NP21" i="26"/>
  <c r="NI21" i="26"/>
  <c r="NJ21" i="26" s="1"/>
  <c r="ND21" i="26"/>
  <c r="NE21" i="26" s="1"/>
  <c r="MY21" i="26"/>
  <c r="MZ21" i="26" s="1"/>
  <c r="MR21" i="26"/>
  <c r="MS21" i="26" s="1"/>
  <c r="MM21" i="26"/>
  <c r="MN21" i="26" s="1"/>
  <c r="MH21" i="26"/>
  <c r="MA21" i="26"/>
  <c r="MB21" i="26" s="1"/>
  <c r="LV21" i="26"/>
  <c r="LW21" i="26" s="1"/>
  <c r="LQ21" i="26"/>
  <c r="LR21" i="26" s="1"/>
  <c r="LJ21" i="26"/>
  <c r="LK21" i="26" s="1"/>
  <c r="LE21" i="26"/>
  <c r="KZ21" i="26"/>
  <c r="LA21" i="26" s="1"/>
  <c r="KS21" i="26"/>
  <c r="KT21" i="26" s="1"/>
  <c r="KO21" i="26"/>
  <c r="KN21" i="26"/>
  <c r="KI21" i="26"/>
  <c r="KJ21" i="26" s="1"/>
  <c r="KB21" i="26"/>
  <c r="KC21" i="26" s="1"/>
  <c r="JW21" i="26"/>
  <c r="JX21" i="26" s="1"/>
  <c r="JR21" i="26"/>
  <c r="JS21" i="26" s="1"/>
  <c r="JK21" i="26"/>
  <c r="JL21" i="26" s="1"/>
  <c r="JG21" i="26"/>
  <c r="JF21" i="26"/>
  <c r="JA21" i="26"/>
  <c r="JB21" i="26" s="1"/>
  <c r="IT21" i="26"/>
  <c r="IU21" i="26" s="1"/>
  <c r="IO21" i="26"/>
  <c r="IP21" i="26" s="1"/>
  <c r="IJ21" i="26"/>
  <c r="IK21" i="26" s="1"/>
  <c r="IC21" i="26"/>
  <c r="ID21" i="26" s="1"/>
  <c r="HY21" i="26"/>
  <c r="HX21" i="26"/>
  <c r="HS21" i="26"/>
  <c r="HT21" i="26" s="1"/>
  <c r="HL21" i="26"/>
  <c r="HM21" i="26" s="1"/>
  <c r="HG21" i="26"/>
  <c r="HH21" i="26" s="1"/>
  <c r="HB21" i="26"/>
  <c r="GU21" i="26"/>
  <c r="GV21" i="26" s="1"/>
  <c r="GP21" i="26"/>
  <c r="GQ21" i="26" s="1"/>
  <c r="GK21" i="26"/>
  <c r="GL21" i="26" s="1"/>
  <c r="GD21" i="26"/>
  <c r="GE21" i="26" s="1"/>
  <c r="FY21" i="26"/>
  <c r="FT21" i="26"/>
  <c r="FU21" i="26" s="1"/>
  <c r="FM21" i="26"/>
  <c r="FN21" i="26" s="1"/>
  <c r="FI21" i="26"/>
  <c r="FH21" i="26"/>
  <c r="FC21" i="26"/>
  <c r="FD21" i="26" s="1"/>
  <c r="EV21" i="26"/>
  <c r="EW21" i="26" s="1"/>
  <c r="EQ21" i="26"/>
  <c r="ER21" i="26" s="1"/>
  <c r="EL21" i="26"/>
  <c r="EE21" i="26"/>
  <c r="EF21" i="26" s="1"/>
  <c r="DZ21" i="26"/>
  <c r="EA21" i="26" s="1"/>
  <c r="DU21" i="26"/>
  <c r="DV21" i="26" s="1"/>
  <c r="DN21" i="26"/>
  <c r="DO21" i="26" s="1"/>
  <c r="DI21" i="26"/>
  <c r="DJ21" i="26" s="1"/>
  <c r="DD21" i="26"/>
  <c r="CW21" i="26"/>
  <c r="CX21" i="26" s="1"/>
  <c r="CR21" i="26"/>
  <c r="CS21" i="26" s="1"/>
  <c r="CM21" i="26"/>
  <c r="CN21" i="26" s="1"/>
  <c r="CF21" i="26"/>
  <c r="CG21" i="26" s="1"/>
  <c r="CA21" i="26"/>
  <c r="CB21" i="26" s="1"/>
  <c r="BV21" i="26"/>
  <c r="BO21" i="26"/>
  <c r="BP21" i="26" s="1"/>
  <c r="BJ21" i="26"/>
  <c r="BK21" i="26" s="1"/>
  <c r="BE21" i="26"/>
  <c r="BF21" i="26" s="1"/>
  <c r="AX21" i="26"/>
  <c r="AY21" i="26" s="1"/>
  <c r="AS21" i="26"/>
  <c r="AN21" i="26"/>
  <c r="AO21" i="26" s="1"/>
  <c r="AG21" i="26"/>
  <c r="AH21" i="26" s="1"/>
  <c r="AC21" i="26"/>
  <c r="AB21" i="26"/>
  <c r="W21" i="26"/>
  <c r="X21" i="26" s="1"/>
  <c r="P21" i="26"/>
  <c r="Q21" i="26" s="1"/>
  <c r="K21" i="26"/>
  <c r="L21" i="26" s="1"/>
  <c r="F21" i="26"/>
  <c r="G21" i="26" s="1"/>
  <c r="SQ20" i="26"/>
  <c r="SR20" i="26" s="1"/>
  <c r="SO20" i="26"/>
  <c r="SP20" i="26" s="1"/>
  <c r="SK20" i="26"/>
  <c r="SJ20" i="26"/>
  <c r="SE20" i="26"/>
  <c r="SF20" i="26" s="1"/>
  <c r="RZ20" i="26"/>
  <c r="SA20" i="26" s="1"/>
  <c r="RX20" i="26"/>
  <c r="RY20" i="26" s="1"/>
  <c r="RS20" i="26"/>
  <c r="RT20" i="26" s="1"/>
  <c r="RN20" i="26"/>
  <c r="RO20" i="26" s="1"/>
  <c r="RI20" i="26"/>
  <c r="RJ20" i="26" s="1"/>
  <c r="RG20" i="26"/>
  <c r="RH20" i="26" s="1"/>
  <c r="RB20" i="26"/>
  <c r="RC20" i="26" s="1"/>
  <c r="QW20" i="26"/>
  <c r="QX20" i="26" s="1"/>
  <c r="QR20" i="26"/>
  <c r="QS20" i="26" s="1"/>
  <c r="QP20" i="26"/>
  <c r="QQ20" i="26" s="1"/>
  <c r="QK20" i="26"/>
  <c r="QL20" i="26" s="1"/>
  <c r="QG20" i="26"/>
  <c r="QF20" i="26"/>
  <c r="QA20" i="26"/>
  <c r="QB20" i="26" s="1"/>
  <c r="PY20" i="26"/>
  <c r="PZ20" i="26" s="1"/>
  <c r="PT20" i="26"/>
  <c r="PU20" i="26" s="1"/>
  <c r="PO20" i="26"/>
  <c r="PP20" i="26" s="1"/>
  <c r="PJ20" i="26"/>
  <c r="PK20" i="26" s="1"/>
  <c r="PH20" i="26"/>
  <c r="PI20" i="26" s="1"/>
  <c r="PC20" i="26"/>
  <c r="PD20" i="26" s="1"/>
  <c r="OX20" i="26"/>
  <c r="OY20" i="26" s="1"/>
  <c r="OS20" i="26"/>
  <c r="OT20" i="26" s="1"/>
  <c r="OQ20" i="26"/>
  <c r="OR20" i="26" s="1"/>
  <c r="OL20" i="26"/>
  <c r="OM20" i="26" s="1"/>
  <c r="OG20" i="26"/>
  <c r="OH20" i="26" s="1"/>
  <c r="OB20" i="26"/>
  <c r="OC20" i="26" s="1"/>
  <c r="NZ20" i="26"/>
  <c r="OA20" i="26" s="1"/>
  <c r="NU20" i="26"/>
  <c r="NV20" i="26" s="1"/>
  <c r="NQ20" i="26"/>
  <c r="NP20" i="26"/>
  <c r="NK20" i="26"/>
  <c r="NL20" i="26" s="1"/>
  <c r="NI20" i="26"/>
  <c r="NJ20" i="26" s="1"/>
  <c r="ND20" i="26"/>
  <c r="NE20" i="26" s="1"/>
  <c r="MY20" i="26"/>
  <c r="MZ20" i="26" s="1"/>
  <c r="MT20" i="26"/>
  <c r="MU20" i="26" s="1"/>
  <c r="MR20" i="26"/>
  <c r="MS20" i="26" s="1"/>
  <c r="MM20" i="26"/>
  <c r="MN20" i="26" s="1"/>
  <c r="MI20" i="26"/>
  <c r="MH20" i="26"/>
  <c r="MC20" i="26"/>
  <c r="MD20" i="26" s="1"/>
  <c r="MA20" i="26"/>
  <c r="MB20" i="26" s="1"/>
  <c r="LV20" i="26"/>
  <c r="LW20" i="26" s="1"/>
  <c r="LQ20" i="26"/>
  <c r="LR20" i="26" s="1"/>
  <c r="LL20" i="26"/>
  <c r="LM20" i="26" s="1"/>
  <c r="LK20" i="26"/>
  <c r="LJ20" i="26"/>
  <c r="LE20" i="26"/>
  <c r="LF20" i="26" s="1"/>
  <c r="KZ20" i="26"/>
  <c r="LA20" i="26" s="1"/>
  <c r="KU20" i="26"/>
  <c r="KV20" i="26" s="1"/>
  <c r="KS20" i="26"/>
  <c r="KT20" i="26" s="1"/>
  <c r="KN20" i="26"/>
  <c r="KO20" i="26" s="1"/>
  <c r="KI20" i="26"/>
  <c r="KJ20" i="26" s="1"/>
  <c r="KD20" i="26"/>
  <c r="KE20" i="26" s="1"/>
  <c r="KC20" i="26"/>
  <c r="KB20" i="26"/>
  <c r="JW20" i="26"/>
  <c r="JX20" i="26" s="1"/>
  <c r="JS20" i="26"/>
  <c r="JR20" i="26"/>
  <c r="JM20" i="26"/>
  <c r="JN20" i="26" s="1"/>
  <c r="JK20" i="26"/>
  <c r="JL20" i="26" s="1"/>
  <c r="JF20" i="26"/>
  <c r="JG20" i="26" s="1"/>
  <c r="JA20" i="26"/>
  <c r="JB20" i="26" s="1"/>
  <c r="IV20" i="26"/>
  <c r="IW20" i="26" s="1"/>
  <c r="IT20" i="26"/>
  <c r="IU20" i="26" s="1"/>
  <c r="IO20" i="26"/>
  <c r="IP20" i="26" s="1"/>
  <c r="IJ20" i="26"/>
  <c r="IK20" i="26" s="1"/>
  <c r="IE20" i="26"/>
  <c r="IF20" i="26" s="1"/>
  <c r="IC20" i="26"/>
  <c r="ID20" i="26" s="1"/>
  <c r="HX20" i="26"/>
  <c r="HY20" i="26" s="1"/>
  <c r="HS20" i="26"/>
  <c r="HT20" i="26" s="1"/>
  <c r="HN20" i="26"/>
  <c r="HO20" i="26" s="1"/>
  <c r="HM20" i="26"/>
  <c r="HL20" i="26"/>
  <c r="HG20" i="26"/>
  <c r="HH20" i="26" s="1"/>
  <c r="HB20" i="26"/>
  <c r="HC20" i="26" s="1"/>
  <c r="GW20" i="26"/>
  <c r="GX20" i="26" s="1"/>
  <c r="GU20" i="26"/>
  <c r="GV20" i="26" s="1"/>
  <c r="GP20" i="26"/>
  <c r="GQ20" i="26" s="1"/>
  <c r="GK20" i="26"/>
  <c r="GL20" i="26" s="1"/>
  <c r="GF20" i="26"/>
  <c r="GG20" i="26" s="1"/>
  <c r="GD20" i="26"/>
  <c r="GE20" i="26" s="1"/>
  <c r="FY20" i="26"/>
  <c r="FZ20" i="26" s="1"/>
  <c r="FT20" i="26"/>
  <c r="FU20" i="26" s="1"/>
  <c r="FO20" i="26"/>
  <c r="FP20" i="26" s="1"/>
  <c r="FM20" i="26"/>
  <c r="FN20" i="26" s="1"/>
  <c r="FH20" i="26"/>
  <c r="FI20" i="26" s="1"/>
  <c r="FC20" i="26"/>
  <c r="FD20" i="26" s="1"/>
  <c r="EX20" i="26"/>
  <c r="EY20" i="26" s="1"/>
  <c r="EW20" i="26"/>
  <c r="EV20" i="26"/>
  <c r="EQ20" i="26"/>
  <c r="ER20" i="26" s="1"/>
  <c r="EL20" i="26"/>
  <c r="EM20" i="26" s="1"/>
  <c r="EG20" i="26"/>
  <c r="EH20" i="26" s="1"/>
  <c r="EE20" i="26"/>
  <c r="EF20" i="26" s="1"/>
  <c r="DZ20" i="26"/>
  <c r="EA20" i="26" s="1"/>
  <c r="DU20" i="26"/>
  <c r="DV20" i="26" s="1"/>
  <c r="DP20" i="26"/>
  <c r="DQ20" i="26" s="1"/>
  <c r="DO20" i="26"/>
  <c r="DN20" i="26"/>
  <c r="DI20" i="26"/>
  <c r="DJ20" i="26" s="1"/>
  <c r="DD20" i="26"/>
  <c r="DE20" i="26" s="1"/>
  <c r="CY20" i="26"/>
  <c r="CZ20" i="26" s="1"/>
  <c r="CW20" i="26"/>
  <c r="CX20" i="26" s="1"/>
  <c r="CR20" i="26"/>
  <c r="CS20" i="26" s="1"/>
  <c r="CM20" i="26"/>
  <c r="CN20" i="26" s="1"/>
  <c r="CH20" i="26"/>
  <c r="CI20" i="26" s="1"/>
  <c r="CG20" i="26"/>
  <c r="CF20" i="26"/>
  <c r="CA20" i="26"/>
  <c r="CB20" i="26" s="1"/>
  <c r="BW20" i="26"/>
  <c r="BV20" i="26"/>
  <c r="BQ20" i="26"/>
  <c r="BR20" i="26" s="1"/>
  <c r="BO20" i="26"/>
  <c r="BP20" i="26" s="1"/>
  <c r="BJ20" i="26"/>
  <c r="BK20" i="26" s="1"/>
  <c r="BE20" i="26"/>
  <c r="BF20" i="26" s="1"/>
  <c r="AZ20" i="26"/>
  <c r="BA20" i="26" s="1"/>
  <c r="AX20" i="26"/>
  <c r="AY20" i="26" s="1"/>
  <c r="AS20" i="26"/>
  <c r="AT20" i="26" s="1"/>
  <c r="AN20" i="26"/>
  <c r="AO20" i="26" s="1"/>
  <c r="AI20" i="26"/>
  <c r="AJ20" i="26" s="1"/>
  <c r="AG20" i="26"/>
  <c r="AH20" i="26" s="1"/>
  <c r="AB20" i="26"/>
  <c r="AC20" i="26" s="1"/>
  <c r="W20" i="26"/>
  <c r="X20" i="26" s="1"/>
  <c r="R20" i="26"/>
  <c r="S20" i="26" s="1"/>
  <c r="Q20" i="26"/>
  <c r="P20" i="26"/>
  <c r="K20" i="26"/>
  <c r="L20" i="26" s="1"/>
  <c r="G20" i="26"/>
  <c r="F20" i="26"/>
  <c r="SO19" i="26"/>
  <c r="SP19" i="26" s="1"/>
  <c r="SJ19" i="26"/>
  <c r="SK19" i="26" s="1"/>
  <c r="SE19" i="26"/>
  <c r="RY19" i="26"/>
  <c r="RX19" i="26"/>
  <c r="RS19" i="26"/>
  <c r="RT19" i="26" s="1"/>
  <c r="RN19" i="26"/>
  <c r="RZ19" i="26" s="1"/>
  <c r="SA19" i="26" s="1"/>
  <c r="RH19" i="26"/>
  <c r="RG19" i="26"/>
  <c r="RB19" i="26"/>
  <c r="RC19" i="26" s="1"/>
  <c r="QW19" i="26"/>
  <c r="QQ19" i="26"/>
  <c r="QP19" i="26"/>
  <c r="QK19" i="26"/>
  <c r="QL19" i="26" s="1"/>
  <c r="QF19" i="26"/>
  <c r="QR19" i="26" s="1"/>
  <c r="QS19" i="26" s="1"/>
  <c r="PY19" i="26"/>
  <c r="PZ19" i="26" s="1"/>
  <c r="PT19" i="26"/>
  <c r="PU19" i="26" s="1"/>
  <c r="PO19" i="26"/>
  <c r="PI19" i="26"/>
  <c r="PH19" i="26"/>
  <c r="PC19" i="26"/>
  <c r="PD19" i="26" s="1"/>
  <c r="OX19" i="26"/>
  <c r="PJ19" i="26" s="1"/>
  <c r="PK19" i="26" s="1"/>
  <c r="OQ19" i="26"/>
  <c r="OR19" i="26" s="1"/>
  <c r="OL19" i="26"/>
  <c r="OM19" i="26" s="1"/>
  <c r="OG19" i="26"/>
  <c r="OA19" i="26"/>
  <c r="NZ19" i="26"/>
  <c r="NU19" i="26"/>
  <c r="NV19" i="26" s="1"/>
  <c r="NP19" i="26"/>
  <c r="OB19" i="26" s="1"/>
  <c r="OC19" i="26" s="1"/>
  <c r="NI19" i="26"/>
  <c r="NJ19" i="26" s="1"/>
  <c r="ND19" i="26"/>
  <c r="NE19" i="26" s="1"/>
  <c r="MY19" i="26"/>
  <c r="MR19" i="26"/>
  <c r="MS19" i="26" s="1"/>
  <c r="MM19" i="26"/>
  <c r="MN19" i="26" s="1"/>
  <c r="MH19" i="26"/>
  <c r="MA19" i="26"/>
  <c r="MB19" i="26" s="1"/>
  <c r="LV19" i="26"/>
  <c r="LW19" i="26" s="1"/>
  <c r="LQ19" i="26"/>
  <c r="LJ19" i="26"/>
  <c r="LK19" i="26" s="1"/>
  <c r="LE19" i="26"/>
  <c r="LF19" i="26" s="1"/>
  <c r="KZ19" i="26"/>
  <c r="LA19" i="26" s="1"/>
  <c r="KS19" i="26"/>
  <c r="KT19" i="26" s="1"/>
  <c r="KN19" i="26"/>
  <c r="KI19" i="26"/>
  <c r="KJ19" i="26" s="1"/>
  <c r="KB19" i="26"/>
  <c r="KC19" i="26" s="1"/>
  <c r="JW19" i="26"/>
  <c r="JR19" i="26"/>
  <c r="JS19" i="26" s="1"/>
  <c r="JK19" i="26"/>
  <c r="JL19" i="26" s="1"/>
  <c r="JF19" i="26"/>
  <c r="JA19" i="26"/>
  <c r="JB19" i="26" s="1"/>
  <c r="IT19" i="26"/>
  <c r="IU19" i="26" s="1"/>
  <c r="IO19" i="26"/>
  <c r="IJ19" i="26"/>
  <c r="IK19" i="26" s="1"/>
  <c r="IC19" i="26"/>
  <c r="ID19" i="26" s="1"/>
  <c r="HX19" i="26"/>
  <c r="HS19" i="26"/>
  <c r="HT19" i="26" s="1"/>
  <c r="HL19" i="26"/>
  <c r="HM19" i="26" s="1"/>
  <c r="HG19" i="26"/>
  <c r="HB19" i="26"/>
  <c r="HC19" i="26" s="1"/>
  <c r="GU19" i="26"/>
  <c r="GV19" i="26" s="1"/>
  <c r="GP19" i="26"/>
  <c r="GK19" i="26"/>
  <c r="GL19" i="26" s="1"/>
  <c r="GD19" i="26"/>
  <c r="GE19" i="26" s="1"/>
  <c r="FY19" i="26"/>
  <c r="FT19" i="26"/>
  <c r="FU19" i="26" s="1"/>
  <c r="FM19" i="26"/>
  <c r="FN19" i="26" s="1"/>
  <c r="FH19" i="26"/>
  <c r="FC19" i="26"/>
  <c r="FD19" i="26" s="1"/>
  <c r="EV19" i="26"/>
  <c r="EW19" i="26" s="1"/>
  <c r="EQ19" i="26"/>
  <c r="EL19" i="26"/>
  <c r="EM19" i="26" s="1"/>
  <c r="EE19" i="26"/>
  <c r="EF19" i="26" s="1"/>
  <c r="DZ19" i="26"/>
  <c r="DU19" i="26"/>
  <c r="DV19" i="26" s="1"/>
  <c r="DN19" i="26"/>
  <c r="DO19" i="26" s="1"/>
  <c r="DI19" i="26"/>
  <c r="DD19" i="26"/>
  <c r="DE19" i="26" s="1"/>
  <c r="CW19" i="26"/>
  <c r="CX19" i="26" s="1"/>
  <c r="CR19" i="26"/>
  <c r="CM19" i="26"/>
  <c r="CN19" i="26" s="1"/>
  <c r="CF19" i="26"/>
  <c r="CG19" i="26" s="1"/>
  <c r="CA19" i="26"/>
  <c r="BV19" i="26"/>
  <c r="BW19" i="26" s="1"/>
  <c r="BO19" i="26"/>
  <c r="BP19" i="26" s="1"/>
  <c r="BJ19" i="26"/>
  <c r="BE19" i="26"/>
  <c r="BF19" i="26" s="1"/>
  <c r="AX19" i="26"/>
  <c r="AY19" i="26" s="1"/>
  <c r="AS19" i="26"/>
  <c r="AN19" i="26"/>
  <c r="AO19" i="26" s="1"/>
  <c r="AG19" i="26"/>
  <c r="AH19" i="26" s="1"/>
  <c r="AB19" i="26"/>
  <c r="W19" i="26"/>
  <c r="X19" i="26" s="1"/>
  <c r="P19" i="26"/>
  <c r="Q19" i="26" s="1"/>
  <c r="K19" i="26"/>
  <c r="F19" i="26"/>
  <c r="G19" i="26" s="1"/>
  <c r="SO18" i="26"/>
  <c r="SP18" i="26" s="1"/>
  <c r="SJ18" i="26"/>
  <c r="SE18" i="26"/>
  <c r="SF18" i="26" s="1"/>
  <c r="RX18" i="26"/>
  <c r="RY18" i="26" s="1"/>
  <c r="RS18" i="26"/>
  <c r="RN18" i="26"/>
  <c r="RO18" i="26" s="1"/>
  <c r="RG18" i="26"/>
  <c r="RH18" i="26" s="1"/>
  <c r="RB18" i="26"/>
  <c r="QW18" i="26"/>
  <c r="QX18" i="26" s="1"/>
  <c r="QP18" i="26"/>
  <c r="QQ18" i="26" s="1"/>
  <c r="QK18" i="26"/>
  <c r="QF18" i="26"/>
  <c r="QG18" i="26" s="1"/>
  <c r="PY18" i="26"/>
  <c r="PZ18" i="26" s="1"/>
  <c r="PT18" i="26"/>
  <c r="PO18" i="26"/>
  <c r="PP18" i="26" s="1"/>
  <c r="PH18" i="26"/>
  <c r="PI18" i="26" s="1"/>
  <c r="PC18" i="26"/>
  <c r="OX18" i="26"/>
  <c r="OY18" i="26" s="1"/>
  <c r="OQ18" i="26"/>
  <c r="OR18" i="26" s="1"/>
  <c r="OL18" i="26"/>
  <c r="OG18" i="26"/>
  <c r="OH18" i="26" s="1"/>
  <c r="NZ18" i="26"/>
  <c r="OA18" i="26" s="1"/>
  <c r="NU18" i="26"/>
  <c r="NP18" i="26"/>
  <c r="NQ18" i="26" s="1"/>
  <c r="NI18" i="26"/>
  <c r="NJ18" i="26" s="1"/>
  <c r="ND18" i="26"/>
  <c r="MY18" i="26"/>
  <c r="MZ18" i="26" s="1"/>
  <c r="MR18" i="26"/>
  <c r="MS18" i="26" s="1"/>
  <c r="MM18" i="26"/>
  <c r="MH18" i="26"/>
  <c r="MI18" i="26" s="1"/>
  <c r="MA18" i="26"/>
  <c r="MB18" i="26" s="1"/>
  <c r="LV18" i="26"/>
  <c r="LQ18" i="26"/>
  <c r="LR18" i="26" s="1"/>
  <c r="LJ18" i="26"/>
  <c r="LK18" i="26" s="1"/>
  <c r="LE18" i="26"/>
  <c r="KZ18" i="26"/>
  <c r="LA18" i="26" s="1"/>
  <c r="KS18" i="26"/>
  <c r="KT18" i="26" s="1"/>
  <c r="KN18" i="26"/>
  <c r="KI18" i="26"/>
  <c r="KJ18" i="26" s="1"/>
  <c r="KB18" i="26"/>
  <c r="KC18" i="26" s="1"/>
  <c r="JW18" i="26"/>
  <c r="JR18" i="26"/>
  <c r="JS18" i="26" s="1"/>
  <c r="JK18" i="26"/>
  <c r="JL18" i="26" s="1"/>
  <c r="JF18" i="26"/>
  <c r="JA18" i="26"/>
  <c r="JB18" i="26" s="1"/>
  <c r="IT18" i="26"/>
  <c r="IU18" i="26" s="1"/>
  <c r="IO18" i="26"/>
  <c r="IJ18" i="26"/>
  <c r="IK18" i="26" s="1"/>
  <c r="IC18" i="26"/>
  <c r="ID18" i="26" s="1"/>
  <c r="HX18" i="26"/>
  <c r="HS18" i="26"/>
  <c r="HT18" i="26" s="1"/>
  <c r="HL18" i="26"/>
  <c r="HM18" i="26" s="1"/>
  <c r="HG18" i="26"/>
  <c r="HB18" i="26"/>
  <c r="HC18" i="26" s="1"/>
  <c r="GU18" i="26"/>
  <c r="GV18" i="26" s="1"/>
  <c r="GP18" i="26"/>
  <c r="GK18" i="26"/>
  <c r="GL18" i="26" s="1"/>
  <c r="GD18" i="26"/>
  <c r="FY18" i="26"/>
  <c r="FZ18" i="26" s="1"/>
  <c r="FT18" i="26"/>
  <c r="FU18" i="26" s="1"/>
  <c r="FM18" i="26"/>
  <c r="FN18" i="26" s="1"/>
  <c r="FH18" i="26"/>
  <c r="FI18" i="26" s="1"/>
  <c r="FC18" i="26"/>
  <c r="FD18" i="26" s="1"/>
  <c r="EV18" i="26"/>
  <c r="EQ18" i="26"/>
  <c r="ER18" i="26" s="1"/>
  <c r="EL18" i="26"/>
  <c r="EM18" i="26" s="1"/>
  <c r="EE18" i="26"/>
  <c r="EF18" i="26" s="1"/>
  <c r="DZ18" i="26"/>
  <c r="EA18" i="26" s="1"/>
  <c r="DU18" i="26"/>
  <c r="DV18" i="26" s="1"/>
  <c r="DN18" i="26"/>
  <c r="DI18" i="26"/>
  <c r="DJ18" i="26" s="1"/>
  <c r="DD18" i="26"/>
  <c r="DE18" i="26" s="1"/>
  <c r="CW18" i="26"/>
  <c r="CX18" i="26" s="1"/>
  <c r="CR18" i="26"/>
  <c r="CS18" i="26" s="1"/>
  <c r="CN18" i="26"/>
  <c r="CM18" i="26"/>
  <c r="CY18" i="26" s="1"/>
  <c r="CZ18" i="26" s="1"/>
  <c r="CF18" i="26"/>
  <c r="CA18" i="26"/>
  <c r="CB18" i="26" s="1"/>
  <c r="BW18" i="26"/>
  <c r="BV18" i="26"/>
  <c r="BO18" i="26"/>
  <c r="BP18" i="26" s="1"/>
  <c r="BJ18" i="26"/>
  <c r="BK18" i="26" s="1"/>
  <c r="BE18" i="26"/>
  <c r="BF18" i="26" s="1"/>
  <c r="AX18" i="26"/>
  <c r="AS18" i="26"/>
  <c r="AT18" i="26" s="1"/>
  <c r="AN18" i="26"/>
  <c r="AO18" i="26" s="1"/>
  <c r="AG18" i="26"/>
  <c r="AH18" i="26" s="1"/>
  <c r="AB18" i="26"/>
  <c r="AC18" i="26" s="1"/>
  <c r="W18" i="26"/>
  <c r="X18" i="26" s="1"/>
  <c r="P18" i="26"/>
  <c r="K18" i="26"/>
  <c r="L18" i="26" s="1"/>
  <c r="F18" i="26"/>
  <c r="G18" i="26" s="1"/>
  <c r="SO17" i="26"/>
  <c r="SP17" i="26" s="1"/>
  <c r="SJ17" i="26"/>
  <c r="SK17" i="26" s="1"/>
  <c r="SE17" i="26"/>
  <c r="SF17" i="26" s="1"/>
  <c r="RX17" i="26"/>
  <c r="RS17" i="26"/>
  <c r="RT17" i="26" s="1"/>
  <c r="RN17" i="26"/>
  <c r="RO17" i="26" s="1"/>
  <c r="RG17" i="26"/>
  <c r="RH17" i="26" s="1"/>
  <c r="RB17" i="26"/>
  <c r="RC17" i="26" s="1"/>
  <c r="QW17" i="26"/>
  <c r="QX17" i="26" s="1"/>
  <c r="QP17" i="26"/>
  <c r="QK17" i="26"/>
  <c r="QL17" i="26" s="1"/>
  <c r="QF17" i="26"/>
  <c r="QG17" i="26" s="1"/>
  <c r="PY17" i="26"/>
  <c r="PZ17" i="26" s="1"/>
  <c r="PT17" i="26"/>
  <c r="PU17" i="26" s="1"/>
  <c r="PO17" i="26"/>
  <c r="PP17" i="26" s="1"/>
  <c r="PH17" i="26"/>
  <c r="PC17" i="26"/>
  <c r="PD17" i="26" s="1"/>
  <c r="OX17" i="26"/>
  <c r="OY17" i="26" s="1"/>
  <c r="OQ17" i="26"/>
  <c r="OR17" i="26" s="1"/>
  <c r="OL17" i="26"/>
  <c r="OM17" i="26" s="1"/>
  <c r="OG17" i="26"/>
  <c r="NZ17" i="26"/>
  <c r="NU17" i="26"/>
  <c r="NV17" i="26" s="1"/>
  <c r="NP17" i="26"/>
  <c r="NQ17" i="26" s="1"/>
  <c r="NI17" i="26"/>
  <c r="NJ17" i="26" s="1"/>
  <c r="ND17" i="26"/>
  <c r="NE17" i="26" s="1"/>
  <c r="MY17" i="26"/>
  <c r="MR17" i="26"/>
  <c r="MM17" i="26"/>
  <c r="MN17" i="26" s="1"/>
  <c r="MH17" i="26"/>
  <c r="MI17" i="26" s="1"/>
  <c r="MA17" i="26"/>
  <c r="MB17" i="26" s="1"/>
  <c r="LV17" i="26"/>
  <c r="LW17" i="26" s="1"/>
  <c r="LR17" i="26"/>
  <c r="LQ17" i="26"/>
  <c r="LJ17" i="26"/>
  <c r="LE17" i="26"/>
  <c r="LF17" i="26" s="1"/>
  <c r="KZ17" i="26"/>
  <c r="LA17" i="26" s="1"/>
  <c r="KS17" i="26"/>
  <c r="KT17" i="26" s="1"/>
  <c r="KN17" i="26"/>
  <c r="KO17" i="26" s="1"/>
  <c r="KI17" i="26"/>
  <c r="KJ17" i="26" s="1"/>
  <c r="KB17" i="26"/>
  <c r="JW17" i="26"/>
  <c r="JX17" i="26" s="1"/>
  <c r="JR17" i="26"/>
  <c r="JS17" i="26" s="1"/>
  <c r="JK17" i="26"/>
  <c r="JL17" i="26" s="1"/>
  <c r="JF17" i="26"/>
  <c r="JG17" i="26" s="1"/>
  <c r="JA17" i="26"/>
  <c r="JB17" i="26" s="1"/>
  <c r="IT17" i="26"/>
  <c r="IO17" i="26"/>
  <c r="IP17" i="26" s="1"/>
  <c r="IJ17" i="26"/>
  <c r="IK17" i="26" s="1"/>
  <c r="IC17" i="26"/>
  <c r="ID17" i="26" s="1"/>
  <c r="HX17" i="26"/>
  <c r="HY17" i="26" s="1"/>
  <c r="HS17" i="26"/>
  <c r="HT17" i="26" s="1"/>
  <c r="HM17" i="26"/>
  <c r="HL17" i="26"/>
  <c r="HH17" i="26"/>
  <c r="HG17" i="26"/>
  <c r="HB17" i="26"/>
  <c r="HC17" i="26" s="1"/>
  <c r="GU17" i="26"/>
  <c r="GV17" i="26" s="1"/>
  <c r="GQ17" i="26"/>
  <c r="GP17" i="26"/>
  <c r="GK17" i="26"/>
  <c r="GL17" i="26" s="1"/>
  <c r="GE17" i="26"/>
  <c r="GD17" i="26"/>
  <c r="FZ17" i="26"/>
  <c r="FY17" i="26"/>
  <c r="FT17" i="26"/>
  <c r="FU17" i="26" s="1"/>
  <c r="FN17" i="26"/>
  <c r="FM17" i="26"/>
  <c r="FH17" i="26"/>
  <c r="FI17" i="26" s="1"/>
  <c r="FC17" i="26"/>
  <c r="FD17" i="26" s="1"/>
  <c r="EW17" i="26"/>
  <c r="EV17" i="26"/>
  <c r="EQ17" i="26"/>
  <c r="EX17" i="26" s="1"/>
  <c r="EY17" i="26" s="1"/>
  <c r="EL17" i="26"/>
  <c r="EM17" i="26" s="1"/>
  <c r="EE17" i="26"/>
  <c r="EF17" i="26" s="1"/>
  <c r="DZ17" i="26"/>
  <c r="EG17" i="26" s="1"/>
  <c r="EH17" i="26" s="1"/>
  <c r="DU17" i="26"/>
  <c r="DV17" i="26" s="1"/>
  <c r="DN17" i="26"/>
  <c r="DO17" i="26" s="1"/>
  <c r="DI17" i="26"/>
  <c r="DJ17" i="26" s="1"/>
  <c r="DD17" i="26"/>
  <c r="DE17" i="26" s="1"/>
  <c r="CX17" i="26"/>
  <c r="CW17" i="26"/>
  <c r="CS17" i="26"/>
  <c r="CR17" i="26"/>
  <c r="CM17" i="26"/>
  <c r="CN17" i="26" s="1"/>
  <c r="CF17" i="26"/>
  <c r="CG17" i="26" s="1"/>
  <c r="CB17" i="26"/>
  <c r="CA17" i="26"/>
  <c r="CH17" i="26" s="1"/>
  <c r="CI17" i="26" s="1"/>
  <c r="BV17" i="26"/>
  <c r="BW17" i="26" s="1"/>
  <c r="BO17" i="26"/>
  <c r="BP17" i="26" s="1"/>
  <c r="BJ17" i="26"/>
  <c r="BK17" i="26" s="1"/>
  <c r="BE17" i="26"/>
  <c r="BF17" i="26" s="1"/>
  <c r="AY17" i="26"/>
  <c r="AX17" i="26"/>
  <c r="AT17" i="26"/>
  <c r="AS17" i="26"/>
  <c r="AN17" i="26"/>
  <c r="AO17" i="26" s="1"/>
  <c r="AG17" i="26"/>
  <c r="AH17" i="26" s="1"/>
  <c r="AC17" i="26"/>
  <c r="AB17" i="26"/>
  <c r="W17" i="26"/>
  <c r="X17" i="26" s="1"/>
  <c r="Q17" i="26"/>
  <c r="P17" i="26"/>
  <c r="K17" i="26"/>
  <c r="L17" i="26" s="1"/>
  <c r="F17" i="26"/>
  <c r="G17" i="26" s="1"/>
  <c r="SQ16" i="26"/>
  <c r="SR16" i="26" s="1"/>
  <c r="SO16" i="26"/>
  <c r="SP16" i="26" s="1"/>
  <c r="SJ16" i="26"/>
  <c r="SK16" i="26" s="1"/>
  <c r="SE16" i="26"/>
  <c r="SF16" i="26" s="1"/>
  <c r="SA16" i="26"/>
  <c r="RZ16" i="26"/>
  <c r="RY16" i="26"/>
  <c r="RX16" i="26"/>
  <c r="RT16" i="26"/>
  <c r="RS16" i="26"/>
  <c r="RN16" i="26"/>
  <c r="RO16" i="26" s="1"/>
  <c r="RI16" i="26"/>
  <c r="RJ16" i="26" s="1"/>
  <c r="RH16" i="26"/>
  <c r="RG16" i="26"/>
  <c r="RC16" i="26"/>
  <c r="RB16" i="26"/>
  <c r="QX16" i="26"/>
  <c r="QW16" i="26"/>
  <c r="QR16" i="26"/>
  <c r="QS16" i="26" s="1"/>
  <c r="QP16" i="26"/>
  <c r="QQ16" i="26" s="1"/>
  <c r="QL16" i="26"/>
  <c r="QK16" i="26"/>
  <c r="QF16" i="26"/>
  <c r="QG16" i="26" s="1"/>
  <c r="QB16" i="26"/>
  <c r="QA16" i="26"/>
  <c r="PY16" i="26"/>
  <c r="PZ16" i="26" s="1"/>
  <c r="PT16" i="26"/>
  <c r="PU16" i="26" s="1"/>
  <c r="PO16" i="26"/>
  <c r="PP16" i="26" s="1"/>
  <c r="PJ16" i="26"/>
  <c r="PK16" i="26" s="1"/>
  <c r="PH16" i="26"/>
  <c r="PI16" i="26" s="1"/>
  <c r="PC16" i="26"/>
  <c r="PD16" i="26" s="1"/>
  <c r="OX16" i="26"/>
  <c r="OY16" i="26" s="1"/>
  <c r="OT16" i="26"/>
  <c r="OS16" i="26"/>
  <c r="OR16" i="26"/>
  <c r="OQ16" i="26"/>
  <c r="OM16" i="26"/>
  <c r="OL16" i="26"/>
  <c r="OH16" i="26"/>
  <c r="OG16" i="26"/>
  <c r="OB16" i="26"/>
  <c r="OC16" i="26" s="1"/>
  <c r="NZ16" i="26"/>
  <c r="OA16" i="26" s="1"/>
  <c r="NV16" i="26"/>
  <c r="NU16" i="26"/>
  <c r="NP16" i="26"/>
  <c r="NQ16" i="26" s="1"/>
  <c r="NL16" i="26"/>
  <c r="NK16" i="26"/>
  <c r="NI16" i="26"/>
  <c r="NJ16" i="26" s="1"/>
  <c r="ND16" i="26"/>
  <c r="NE16" i="26" s="1"/>
  <c r="MY16" i="26"/>
  <c r="MZ16" i="26" s="1"/>
  <c r="MT16" i="26"/>
  <c r="MU16" i="26" s="1"/>
  <c r="MR16" i="26"/>
  <c r="MS16" i="26" s="1"/>
  <c r="MM16" i="26"/>
  <c r="MN16" i="26" s="1"/>
  <c r="MH16" i="26"/>
  <c r="MI16" i="26" s="1"/>
  <c r="MD16" i="26"/>
  <c r="MC16" i="26"/>
  <c r="MB16" i="26"/>
  <c r="MA16" i="26"/>
  <c r="LW16" i="26"/>
  <c r="LV16" i="26"/>
  <c r="LQ16" i="26"/>
  <c r="LR16" i="26" s="1"/>
  <c r="LL16" i="26"/>
  <c r="LM16" i="26" s="1"/>
  <c r="LK16" i="26"/>
  <c r="LJ16" i="26"/>
  <c r="LF16" i="26"/>
  <c r="LE16" i="26"/>
  <c r="LA16" i="26"/>
  <c r="KZ16" i="26"/>
  <c r="KV16" i="26"/>
  <c r="KU16" i="26"/>
  <c r="KT16" i="26"/>
  <c r="KS16" i="26"/>
  <c r="KO16" i="26"/>
  <c r="KN16" i="26"/>
  <c r="KI16" i="26"/>
  <c r="KJ16" i="26" s="1"/>
  <c r="KD16" i="26"/>
  <c r="KE16" i="26" s="1"/>
  <c r="KC16" i="26"/>
  <c r="KB16" i="26"/>
  <c r="JW16" i="26"/>
  <c r="JX16" i="26" s="1"/>
  <c r="JR16" i="26"/>
  <c r="JS16" i="26" s="1"/>
  <c r="JN16" i="26"/>
  <c r="JM16" i="26"/>
  <c r="JK16" i="26"/>
  <c r="JL16" i="26" s="1"/>
  <c r="JG16" i="26"/>
  <c r="JF16" i="26"/>
  <c r="JA16" i="26"/>
  <c r="JB16" i="26" s="1"/>
  <c r="IW16" i="26"/>
  <c r="IV16" i="26"/>
  <c r="IT16" i="26"/>
  <c r="IU16" i="26" s="1"/>
  <c r="IO16" i="26"/>
  <c r="IP16" i="26" s="1"/>
  <c r="IJ16" i="26"/>
  <c r="IK16" i="26" s="1"/>
  <c r="IE16" i="26"/>
  <c r="IF16" i="26" s="1"/>
  <c r="ID16" i="26"/>
  <c r="IC16" i="26"/>
  <c r="HX16" i="26"/>
  <c r="HY16" i="26" s="1"/>
  <c r="HS16" i="26"/>
  <c r="HT16" i="26" s="1"/>
  <c r="HN16" i="26"/>
  <c r="HO16" i="26" s="1"/>
  <c r="HL16" i="26"/>
  <c r="HM16" i="26" s="1"/>
  <c r="HH16" i="26"/>
  <c r="HG16" i="26"/>
  <c r="HB16" i="26"/>
  <c r="HC16" i="26" s="1"/>
  <c r="GW16" i="26"/>
  <c r="GX16" i="26" s="1"/>
  <c r="GU16" i="26"/>
  <c r="GV16" i="26" s="1"/>
  <c r="GP16" i="26"/>
  <c r="GQ16" i="26" s="1"/>
  <c r="GK16" i="26"/>
  <c r="GL16" i="26" s="1"/>
  <c r="GF16" i="26"/>
  <c r="GG16" i="26" s="1"/>
  <c r="GD16" i="26"/>
  <c r="GE16" i="26" s="1"/>
  <c r="FY16" i="26"/>
  <c r="FZ16" i="26" s="1"/>
  <c r="FT16" i="26"/>
  <c r="FU16" i="26" s="1"/>
  <c r="FO16" i="26"/>
  <c r="FP16" i="26" s="1"/>
  <c r="FM16" i="26"/>
  <c r="FN16" i="26" s="1"/>
  <c r="FI16" i="26"/>
  <c r="FH16" i="26"/>
  <c r="FC16" i="26"/>
  <c r="FD16" i="26" s="1"/>
  <c r="EX16" i="26"/>
  <c r="EY16" i="26" s="1"/>
  <c r="EV16" i="26"/>
  <c r="EW16" i="26" s="1"/>
  <c r="EQ16" i="26"/>
  <c r="ER16" i="26" s="1"/>
  <c r="EL16" i="26"/>
  <c r="EM16" i="26" s="1"/>
  <c r="EG16" i="26"/>
  <c r="EH16" i="26" s="1"/>
  <c r="EF16" i="26"/>
  <c r="EE16" i="26"/>
  <c r="EA16" i="26"/>
  <c r="DZ16" i="26"/>
  <c r="DU16" i="26"/>
  <c r="DV16" i="26" s="1"/>
  <c r="DP16" i="26"/>
  <c r="DQ16" i="26" s="1"/>
  <c r="DO16" i="26"/>
  <c r="DN16" i="26"/>
  <c r="DJ16" i="26"/>
  <c r="DI16" i="26"/>
  <c r="DE16" i="26"/>
  <c r="DD16" i="26"/>
  <c r="CY16" i="26"/>
  <c r="CZ16" i="26" s="1"/>
  <c r="CW16" i="26"/>
  <c r="CX16" i="26" s="1"/>
  <c r="CS16" i="26"/>
  <c r="CR16" i="26"/>
  <c r="CM16" i="26"/>
  <c r="CN16" i="26" s="1"/>
  <c r="CH16" i="26"/>
  <c r="CI16" i="26" s="1"/>
  <c r="CG16" i="26"/>
  <c r="CF16" i="26"/>
  <c r="CA16" i="26"/>
  <c r="CB16" i="26" s="1"/>
  <c r="BV16" i="26"/>
  <c r="BW16" i="26" s="1"/>
  <c r="BQ16" i="26"/>
  <c r="BR16" i="26" s="1"/>
  <c r="BO16" i="26"/>
  <c r="BP16" i="26" s="1"/>
  <c r="BK16" i="26"/>
  <c r="BJ16" i="26"/>
  <c r="BE16" i="26"/>
  <c r="BF16" i="26" s="1"/>
  <c r="BA16" i="26"/>
  <c r="AZ16" i="26"/>
  <c r="AX16" i="26"/>
  <c r="AY16" i="26" s="1"/>
  <c r="AS16" i="26"/>
  <c r="AT16" i="26" s="1"/>
  <c r="AN16" i="26"/>
  <c r="AO16" i="26" s="1"/>
  <c r="AI16" i="26"/>
  <c r="AJ16" i="26" s="1"/>
  <c r="AG16" i="26"/>
  <c r="AH16" i="26" s="1"/>
  <c r="AB16" i="26"/>
  <c r="AC16" i="26" s="1"/>
  <c r="W16" i="26"/>
  <c r="X16" i="26" s="1"/>
  <c r="R16" i="26"/>
  <c r="S16" i="26" s="1"/>
  <c r="Q16" i="26"/>
  <c r="P16" i="26"/>
  <c r="L16" i="26"/>
  <c r="K16" i="26"/>
  <c r="F16" i="26"/>
  <c r="G16" i="26" s="1"/>
  <c r="SO15" i="26"/>
  <c r="SP15" i="26" s="1"/>
  <c r="SJ15" i="26"/>
  <c r="SF15" i="26"/>
  <c r="SE15" i="26"/>
  <c r="RX15" i="26"/>
  <c r="RY15" i="26" s="1"/>
  <c r="RT15" i="26"/>
  <c r="RS15" i="26"/>
  <c r="RZ15" i="26" s="1"/>
  <c r="SA15" i="26" s="1"/>
  <c r="RN15" i="26"/>
  <c r="RO15" i="26" s="1"/>
  <c r="RG15" i="26"/>
  <c r="RH15" i="26" s="1"/>
  <c r="RC15" i="26"/>
  <c r="RB15" i="26"/>
  <c r="QW15" i="26"/>
  <c r="QX15" i="26" s="1"/>
  <c r="QQ15" i="26"/>
  <c r="QP15" i="26"/>
  <c r="QK15" i="26"/>
  <c r="QR15" i="26" s="1"/>
  <c r="QS15" i="26" s="1"/>
  <c r="QG15" i="26"/>
  <c r="QF15" i="26"/>
  <c r="PY15" i="26"/>
  <c r="PZ15" i="26" s="1"/>
  <c r="PU15" i="26"/>
  <c r="PT15" i="26"/>
  <c r="PO15" i="26"/>
  <c r="PP15" i="26" s="1"/>
  <c r="PI15" i="26"/>
  <c r="PH15" i="26"/>
  <c r="PC15" i="26"/>
  <c r="PD15" i="26" s="1"/>
  <c r="OX15" i="26"/>
  <c r="OY15" i="26" s="1"/>
  <c r="OQ15" i="26"/>
  <c r="OR15" i="26" s="1"/>
  <c r="OM15" i="26"/>
  <c r="OL15" i="26"/>
  <c r="OS15" i="26" s="1"/>
  <c r="OT15" i="26" s="1"/>
  <c r="OG15" i="26"/>
  <c r="OH15" i="26" s="1"/>
  <c r="OA15" i="26"/>
  <c r="NZ15" i="26"/>
  <c r="NU15" i="26"/>
  <c r="NQ15" i="26"/>
  <c r="NP15" i="26"/>
  <c r="NI15" i="26"/>
  <c r="NJ15" i="26" s="1"/>
  <c r="NE15" i="26"/>
  <c r="ND15" i="26"/>
  <c r="NK15" i="26" s="1"/>
  <c r="NL15" i="26" s="1"/>
  <c r="MY15" i="26"/>
  <c r="MZ15" i="26" s="1"/>
  <c r="MS15" i="26"/>
  <c r="MR15" i="26"/>
  <c r="MM15" i="26"/>
  <c r="MI15" i="26"/>
  <c r="MH15" i="26"/>
  <c r="MA15" i="26"/>
  <c r="MB15" i="26" s="1"/>
  <c r="LW15" i="26"/>
  <c r="LV15" i="26"/>
  <c r="MC15" i="26" s="1"/>
  <c r="MD15" i="26" s="1"/>
  <c r="LQ15" i="26"/>
  <c r="LR15" i="26" s="1"/>
  <c r="LK15" i="26"/>
  <c r="LJ15" i="26"/>
  <c r="LE15" i="26"/>
  <c r="LA15" i="26"/>
  <c r="KZ15" i="26"/>
  <c r="KS15" i="26"/>
  <c r="KT15" i="26" s="1"/>
  <c r="KO15" i="26"/>
  <c r="KN15" i="26"/>
  <c r="KU15" i="26" s="1"/>
  <c r="KV15" i="26" s="1"/>
  <c r="KI15" i="26"/>
  <c r="KJ15" i="26" s="1"/>
  <c r="KC15" i="26"/>
  <c r="KB15" i="26"/>
  <c r="JW15" i="26"/>
  <c r="JR15" i="26"/>
  <c r="JS15" i="26" s="1"/>
  <c r="JK15" i="26"/>
  <c r="JL15" i="26" s="1"/>
  <c r="JF15" i="26"/>
  <c r="JM15" i="26" s="1"/>
  <c r="JN15" i="26" s="1"/>
  <c r="JA15" i="26"/>
  <c r="JB15" i="26" s="1"/>
  <c r="IT15" i="26"/>
  <c r="IU15" i="26" s="1"/>
  <c r="IO15" i="26"/>
  <c r="IJ15" i="26"/>
  <c r="IK15" i="26" s="1"/>
  <c r="IC15" i="26"/>
  <c r="ID15" i="26" s="1"/>
  <c r="HX15" i="26"/>
  <c r="IE15" i="26" s="1"/>
  <c r="IF15" i="26" s="1"/>
  <c r="HS15" i="26"/>
  <c r="HT15" i="26" s="1"/>
  <c r="HL15" i="26"/>
  <c r="HM15" i="26" s="1"/>
  <c r="HG15" i="26"/>
  <c r="HB15" i="26"/>
  <c r="HC15" i="26" s="1"/>
  <c r="GU15" i="26"/>
  <c r="GV15" i="26" s="1"/>
  <c r="GP15" i="26"/>
  <c r="GW15" i="26" s="1"/>
  <c r="GX15" i="26" s="1"/>
  <c r="GK15" i="26"/>
  <c r="GL15" i="26" s="1"/>
  <c r="GD15" i="26"/>
  <c r="GE15" i="26" s="1"/>
  <c r="FY15" i="26"/>
  <c r="FT15" i="26"/>
  <c r="FU15" i="26" s="1"/>
  <c r="FM15" i="26"/>
  <c r="FN15" i="26" s="1"/>
  <c r="FH15" i="26"/>
  <c r="FO15" i="26" s="1"/>
  <c r="FP15" i="26" s="1"/>
  <c r="FC15" i="26"/>
  <c r="FD15" i="26" s="1"/>
  <c r="EV15" i="26"/>
  <c r="EW15" i="26" s="1"/>
  <c r="EQ15" i="26"/>
  <c r="EL15" i="26"/>
  <c r="EM15" i="26" s="1"/>
  <c r="EE15" i="26"/>
  <c r="EF15" i="26" s="1"/>
  <c r="DZ15" i="26"/>
  <c r="EG15" i="26" s="1"/>
  <c r="EH15" i="26" s="1"/>
  <c r="DU15" i="26"/>
  <c r="DV15" i="26" s="1"/>
  <c r="DN15" i="26"/>
  <c r="DO15" i="26" s="1"/>
  <c r="DI15" i="26"/>
  <c r="DD15" i="26"/>
  <c r="DE15" i="26" s="1"/>
  <c r="CW15" i="26"/>
  <c r="CX15" i="26" s="1"/>
  <c r="CR15" i="26"/>
  <c r="CY15" i="26" s="1"/>
  <c r="CZ15" i="26" s="1"/>
  <c r="CM15" i="26"/>
  <c r="CN15" i="26" s="1"/>
  <c r="CF15" i="26"/>
  <c r="CG15" i="26" s="1"/>
  <c r="CA15" i="26"/>
  <c r="BV15" i="26"/>
  <c r="BW15" i="26" s="1"/>
  <c r="BO15" i="26"/>
  <c r="BP15" i="26" s="1"/>
  <c r="BJ15" i="26"/>
  <c r="BQ15" i="26" s="1"/>
  <c r="BR15" i="26" s="1"/>
  <c r="BE15" i="26"/>
  <c r="BF15" i="26" s="1"/>
  <c r="AX15" i="26"/>
  <c r="AY15" i="26" s="1"/>
  <c r="AS15" i="26"/>
  <c r="AN15" i="26"/>
  <c r="AO15" i="26" s="1"/>
  <c r="AG15" i="26"/>
  <c r="AH15" i="26" s="1"/>
  <c r="AB15" i="26"/>
  <c r="AI15" i="26" s="1"/>
  <c r="AJ15" i="26" s="1"/>
  <c r="W15" i="26"/>
  <c r="X15" i="26" s="1"/>
  <c r="P15" i="26"/>
  <c r="Q15" i="26" s="1"/>
  <c r="K15" i="26"/>
  <c r="F15" i="26"/>
  <c r="G15" i="26" s="1"/>
  <c r="SO14" i="26"/>
  <c r="SP14" i="26" s="1"/>
  <c r="SJ14" i="26"/>
  <c r="SK14" i="26" s="1"/>
  <c r="SE14" i="26"/>
  <c r="SF14" i="26" s="1"/>
  <c r="RY14" i="26"/>
  <c r="RX14" i="26"/>
  <c r="RT14" i="26"/>
  <c r="RS14" i="26"/>
  <c r="RN14" i="26"/>
  <c r="RO14" i="26" s="1"/>
  <c r="RG14" i="26"/>
  <c r="RH14" i="26" s="1"/>
  <c r="RB14" i="26"/>
  <c r="RC14" i="26" s="1"/>
  <c r="QW14" i="26"/>
  <c r="QX14" i="26" s="1"/>
  <c r="QQ14" i="26"/>
  <c r="QP14" i="26"/>
  <c r="QL14" i="26"/>
  <c r="QK14" i="26"/>
  <c r="QF14" i="26"/>
  <c r="QG14" i="26" s="1"/>
  <c r="PY14" i="26"/>
  <c r="PZ14" i="26" s="1"/>
  <c r="PT14" i="26"/>
  <c r="QA14" i="26" s="1"/>
  <c r="QB14" i="26" s="1"/>
  <c r="PO14" i="26"/>
  <c r="PP14" i="26" s="1"/>
  <c r="PI14" i="26"/>
  <c r="PH14" i="26"/>
  <c r="PD14" i="26"/>
  <c r="PC14" i="26"/>
  <c r="OX14" i="26"/>
  <c r="OY14" i="26" s="1"/>
  <c r="OQ14" i="26"/>
  <c r="OR14" i="26" s="1"/>
  <c r="OL14" i="26"/>
  <c r="OG14" i="26"/>
  <c r="OH14" i="26" s="1"/>
  <c r="NZ14" i="26"/>
  <c r="OA14" i="26" s="1"/>
  <c r="NU14" i="26"/>
  <c r="NP14" i="26"/>
  <c r="NQ14" i="26" s="1"/>
  <c r="NI14" i="26"/>
  <c r="NJ14" i="26" s="1"/>
  <c r="ND14" i="26"/>
  <c r="MY14" i="26"/>
  <c r="MZ14" i="26" s="1"/>
  <c r="MR14" i="26"/>
  <c r="MS14" i="26" s="1"/>
  <c r="MM14" i="26"/>
  <c r="MI14" i="26"/>
  <c r="MH14" i="26"/>
  <c r="MB14" i="26"/>
  <c r="MA14" i="26"/>
  <c r="LV14" i="26"/>
  <c r="LQ14" i="26"/>
  <c r="LR14" i="26" s="1"/>
  <c r="LJ14" i="26"/>
  <c r="LK14" i="26" s="1"/>
  <c r="LE14" i="26"/>
  <c r="LA14" i="26"/>
  <c r="KZ14" i="26"/>
  <c r="KT14" i="26"/>
  <c r="KS14" i="26"/>
  <c r="KN14" i="26"/>
  <c r="KU14" i="26" s="1"/>
  <c r="KV14" i="26" s="1"/>
  <c r="KI14" i="26"/>
  <c r="KJ14" i="26" s="1"/>
  <c r="KC14" i="26"/>
  <c r="KB14" i="26"/>
  <c r="JW14" i="26"/>
  <c r="KD14" i="26" s="1"/>
  <c r="KE14" i="26" s="1"/>
  <c r="JR14" i="26"/>
  <c r="JS14" i="26" s="1"/>
  <c r="JK14" i="26"/>
  <c r="JL14" i="26" s="1"/>
  <c r="JF14" i="26"/>
  <c r="JA14" i="26"/>
  <c r="JB14" i="26" s="1"/>
  <c r="IT14" i="26"/>
  <c r="IU14" i="26" s="1"/>
  <c r="IO14" i="26"/>
  <c r="IJ14" i="26"/>
  <c r="IK14" i="26" s="1"/>
  <c r="IC14" i="26"/>
  <c r="ID14" i="26" s="1"/>
  <c r="HX14" i="26"/>
  <c r="HS14" i="26"/>
  <c r="HT14" i="26" s="1"/>
  <c r="HL14" i="26"/>
  <c r="HM14" i="26" s="1"/>
  <c r="HG14" i="26"/>
  <c r="HB14" i="26"/>
  <c r="HC14" i="26" s="1"/>
  <c r="GU14" i="26"/>
  <c r="GV14" i="26" s="1"/>
  <c r="GP14" i="26"/>
  <c r="GK14" i="26"/>
  <c r="GL14" i="26" s="1"/>
  <c r="GD14" i="26"/>
  <c r="GE14" i="26" s="1"/>
  <c r="FY14" i="26"/>
  <c r="FT14" i="26"/>
  <c r="FU14" i="26" s="1"/>
  <c r="FM14" i="26"/>
  <c r="FN14" i="26" s="1"/>
  <c r="FH14" i="26"/>
  <c r="FC14" i="26"/>
  <c r="FD14" i="26" s="1"/>
  <c r="EV14" i="26"/>
  <c r="EW14" i="26" s="1"/>
  <c r="EQ14" i="26"/>
  <c r="EM14" i="26"/>
  <c r="EL14" i="26"/>
  <c r="EF14" i="26"/>
  <c r="EE14" i="26"/>
  <c r="DZ14" i="26"/>
  <c r="EA14" i="26" s="1"/>
  <c r="DU14" i="26"/>
  <c r="DP14" i="26"/>
  <c r="DQ14" i="26" s="1"/>
  <c r="DN14" i="26"/>
  <c r="DO14" i="26" s="1"/>
  <c r="DI14" i="26"/>
  <c r="DJ14" i="26" s="1"/>
  <c r="DE14" i="26"/>
  <c r="DD14" i="26"/>
  <c r="CX14" i="26"/>
  <c r="CW14" i="26"/>
  <c r="CR14" i="26"/>
  <c r="CS14" i="26" s="1"/>
  <c r="CM14" i="26"/>
  <c r="CF14" i="26"/>
  <c r="CG14" i="26" s="1"/>
  <c r="CA14" i="26"/>
  <c r="CB14" i="26" s="1"/>
  <c r="BV14" i="26"/>
  <c r="BW14" i="26" s="1"/>
  <c r="BO14" i="26"/>
  <c r="BP14" i="26" s="1"/>
  <c r="BK14" i="26"/>
  <c r="BJ14" i="26"/>
  <c r="BE14" i="26"/>
  <c r="BF14" i="26" s="1"/>
  <c r="AX14" i="26"/>
  <c r="AY14" i="26" s="1"/>
  <c r="AS14" i="26"/>
  <c r="AT14" i="26" s="1"/>
  <c r="AN14" i="26"/>
  <c r="AO14" i="26" s="1"/>
  <c r="AG14" i="26"/>
  <c r="AH14" i="26" s="1"/>
  <c r="AB14" i="26"/>
  <c r="AC14" i="26" s="1"/>
  <c r="W14" i="26"/>
  <c r="X14" i="26" s="1"/>
  <c r="P14" i="26"/>
  <c r="Q14" i="26" s="1"/>
  <c r="K14" i="26"/>
  <c r="L14" i="26" s="1"/>
  <c r="F14" i="26"/>
  <c r="G14" i="26" s="1"/>
  <c r="SQ13" i="26"/>
  <c r="SR13" i="26" s="1"/>
  <c r="SO13" i="26"/>
  <c r="SP13" i="26" s="1"/>
  <c r="SJ13" i="26"/>
  <c r="SK13" i="26" s="1"/>
  <c r="SE13" i="26"/>
  <c r="SF13" i="26" s="1"/>
  <c r="RZ13" i="26"/>
  <c r="SA13" i="26" s="1"/>
  <c r="RX13" i="26"/>
  <c r="RY13" i="26" s="1"/>
  <c r="RS13" i="26"/>
  <c r="RT13" i="26" s="1"/>
  <c r="RN13" i="26"/>
  <c r="RO13" i="26" s="1"/>
  <c r="RI13" i="26"/>
  <c r="RJ13" i="26" s="1"/>
  <c r="RG13" i="26"/>
  <c r="RH13" i="26" s="1"/>
  <c r="RB13" i="26"/>
  <c r="RC13" i="26" s="1"/>
  <c r="QW13" i="26"/>
  <c r="QX13" i="26" s="1"/>
  <c r="QR13" i="26"/>
  <c r="QS13" i="26" s="1"/>
  <c r="QP13" i="26"/>
  <c r="QQ13" i="26" s="1"/>
  <c r="QL13" i="26"/>
  <c r="QK13" i="26"/>
  <c r="QF13" i="26"/>
  <c r="QG13" i="26" s="1"/>
  <c r="QA13" i="26"/>
  <c r="QB13" i="26" s="1"/>
  <c r="PY13" i="26"/>
  <c r="PZ13" i="26" s="1"/>
  <c r="PT13" i="26"/>
  <c r="PU13" i="26" s="1"/>
  <c r="PO13" i="26"/>
  <c r="PP13" i="26" s="1"/>
  <c r="PJ13" i="26"/>
  <c r="PK13" i="26" s="1"/>
  <c r="PH13" i="26"/>
  <c r="PI13" i="26" s="1"/>
  <c r="PD13" i="26"/>
  <c r="PC13" i="26"/>
  <c r="OX13" i="26"/>
  <c r="OY13" i="26" s="1"/>
  <c r="OS13" i="26"/>
  <c r="OT13" i="26" s="1"/>
  <c r="OQ13" i="26"/>
  <c r="OR13" i="26" s="1"/>
  <c r="OL13" i="26"/>
  <c r="OM13" i="26" s="1"/>
  <c r="OG13" i="26"/>
  <c r="OH13" i="26" s="1"/>
  <c r="OB13" i="26"/>
  <c r="OC13" i="26" s="1"/>
  <c r="NZ13" i="26"/>
  <c r="OA13" i="26" s="1"/>
  <c r="NV13" i="26"/>
  <c r="NU13" i="26"/>
  <c r="NP13" i="26"/>
  <c r="NQ13" i="26" s="1"/>
  <c r="NK13" i="26"/>
  <c r="NL13" i="26" s="1"/>
  <c r="NI13" i="26"/>
  <c r="NJ13" i="26" s="1"/>
  <c r="ND13" i="26"/>
  <c r="NE13" i="26" s="1"/>
  <c r="MY13" i="26"/>
  <c r="MZ13" i="26" s="1"/>
  <c r="MT13" i="26"/>
  <c r="MU13" i="26" s="1"/>
  <c r="MR13" i="26"/>
  <c r="MS13" i="26" s="1"/>
  <c r="MN13" i="26"/>
  <c r="MM13" i="26"/>
  <c r="MH13" i="26"/>
  <c r="MI13" i="26" s="1"/>
  <c r="MC13" i="26"/>
  <c r="MD13" i="26" s="1"/>
  <c r="MA13" i="26"/>
  <c r="MB13" i="26" s="1"/>
  <c r="LV13" i="26"/>
  <c r="LW13" i="26" s="1"/>
  <c r="LQ13" i="26"/>
  <c r="LR13" i="26" s="1"/>
  <c r="LL13" i="26"/>
  <c r="LM13" i="26" s="1"/>
  <c r="LJ13" i="26"/>
  <c r="LK13" i="26" s="1"/>
  <c r="LE13" i="26"/>
  <c r="LF13" i="26" s="1"/>
  <c r="KZ13" i="26"/>
  <c r="LA13" i="26" s="1"/>
  <c r="KU13" i="26"/>
  <c r="KV13" i="26" s="1"/>
  <c r="KS13" i="26"/>
  <c r="KT13" i="26" s="1"/>
  <c r="KN13" i="26"/>
  <c r="KO13" i="26" s="1"/>
  <c r="KI13" i="26"/>
  <c r="KJ13" i="26" s="1"/>
  <c r="KD13" i="26"/>
  <c r="KE13" i="26" s="1"/>
  <c r="KB13" i="26"/>
  <c r="KC13" i="26" s="1"/>
  <c r="JW13" i="26"/>
  <c r="JX13" i="26" s="1"/>
  <c r="JR13" i="26"/>
  <c r="JS13" i="26" s="1"/>
  <c r="JN13" i="26"/>
  <c r="JM13" i="26"/>
  <c r="JK13" i="26"/>
  <c r="JL13" i="26" s="1"/>
  <c r="JF13" i="26"/>
  <c r="JG13" i="26" s="1"/>
  <c r="JA13" i="26"/>
  <c r="JB13" i="26" s="1"/>
  <c r="IV13" i="26"/>
  <c r="IW13" i="26" s="1"/>
  <c r="IT13" i="26"/>
  <c r="IU13" i="26" s="1"/>
  <c r="IO13" i="26"/>
  <c r="IP13" i="26" s="1"/>
  <c r="IJ13" i="26"/>
  <c r="IK13" i="26" s="1"/>
  <c r="IE13" i="26"/>
  <c r="IF13" i="26" s="1"/>
  <c r="IC13" i="26"/>
  <c r="ID13" i="26" s="1"/>
  <c r="HX13" i="26"/>
  <c r="HY13" i="26" s="1"/>
  <c r="HS13" i="26"/>
  <c r="HT13" i="26" s="1"/>
  <c r="HO13" i="26"/>
  <c r="HN13" i="26"/>
  <c r="HL13" i="26"/>
  <c r="HM13" i="26" s="1"/>
  <c r="HG13" i="26"/>
  <c r="HH13" i="26" s="1"/>
  <c r="HB13" i="26"/>
  <c r="HC13" i="26" s="1"/>
  <c r="GW13" i="26"/>
  <c r="GX13" i="26" s="1"/>
  <c r="GU13" i="26"/>
  <c r="GV13" i="26" s="1"/>
  <c r="GP13" i="26"/>
  <c r="GQ13" i="26" s="1"/>
  <c r="GK13" i="26"/>
  <c r="GL13" i="26" s="1"/>
  <c r="GF13" i="26"/>
  <c r="GG13" i="26" s="1"/>
  <c r="GD13" i="26"/>
  <c r="GE13" i="26" s="1"/>
  <c r="FY13" i="26"/>
  <c r="FZ13" i="26" s="1"/>
  <c r="FT13" i="26"/>
  <c r="FU13" i="26" s="1"/>
  <c r="FO13" i="26"/>
  <c r="FP13" i="26" s="1"/>
  <c r="FM13" i="26"/>
  <c r="FN13" i="26" s="1"/>
  <c r="FH13" i="26"/>
  <c r="FI13" i="26" s="1"/>
  <c r="FC13" i="26"/>
  <c r="FD13" i="26" s="1"/>
  <c r="EY13" i="26"/>
  <c r="EX13" i="26"/>
  <c r="EV13" i="26"/>
  <c r="EW13" i="26" s="1"/>
  <c r="EQ13" i="26"/>
  <c r="ER13" i="26" s="1"/>
  <c r="EL13" i="26"/>
  <c r="EM13" i="26" s="1"/>
  <c r="EG13" i="26"/>
  <c r="EH13" i="26" s="1"/>
  <c r="EE13" i="26"/>
  <c r="EF13" i="26" s="1"/>
  <c r="DZ13" i="26"/>
  <c r="EA13" i="26" s="1"/>
  <c r="DU13" i="26"/>
  <c r="DV13" i="26" s="1"/>
  <c r="DP13" i="26"/>
  <c r="DQ13" i="26" s="1"/>
  <c r="DN13" i="26"/>
  <c r="DO13" i="26" s="1"/>
  <c r="DI13" i="26"/>
  <c r="DJ13" i="26" s="1"/>
  <c r="DD13" i="26"/>
  <c r="DE13" i="26" s="1"/>
  <c r="CZ13" i="26"/>
  <c r="CY13" i="26"/>
  <c r="CW13" i="26"/>
  <c r="CX13" i="26" s="1"/>
  <c r="CR13" i="26"/>
  <c r="CS13" i="26" s="1"/>
  <c r="CM13" i="26"/>
  <c r="CN13" i="26" s="1"/>
  <c r="CH13" i="26"/>
  <c r="CI13" i="26" s="1"/>
  <c r="CF13" i="26"/>
  <c r="CG13" i="26" s="1"/>
  <c r="CA13" i="26"/>
  <c r="CB13" i="26" s="1"/>
  <c r="BV13" i="26"/>
  <c r="BW13" i="26" s="1"/>
  <c r="BQ13" i="26"/>
  <c r="BR13" i="26" s="1"/>
  <c r="BO13" i="26"/>
  <c r="BP13" i="26" s="1"/>
  <c r="BJ13" i="26"/>
  <c r="BK13" i="26" s="1"/>
  <c r="BE13" i="26"/>
  <c r="BF13" i="26" s="1"/>
  <c r="AZ13" i="26"/>
  <c r="BA13" i="26" s="1"/>
  <c r="AX13" i="26"/>
  <c r="AY13" i="26" s="1"/>
  <c r="AS13" i="26"/>
  <c r="AT13" i="26" s="1"/>
  <c r="AN13" i="26"/>
  <c r="AO13" i="26" s="1"/>
  <c r="AI13" i="26"/>
  <c r="AJ13" i="26" s="1"/>
  <c r="AG13" i="26"/>
  <c r="AH13" i="26" s="1"/>
  <c r="AB13" i="26"/>
  <c r="AC13" i="26" s="1"/>
  <c r="W13" i="26"/>
  <c r="X13" i="26" s="1"/>
  <c r="R13" i="26"/>
  <c r="S13" i="26" s="1"/>
  <c r="P13" i="26"/>
  <c r="Q13" i="26" s="1"/>
  <c r="K13" i="26"/>
  <c r="L13" i="26" s="1"/>
  <c r="F13" i="26"/>
  <c r="G13" i="26" s="1"/>
  <c r="SO12" i="26"/>
  <c r="SP12" i="26" s="1"/>
  <c r="SJ12" i="26"/>
  <c r="SK12" i="26" s="1"/>
  <c r="SE12" i="26"/>
  <c r="SF12" i="26" s="1"/>
  <c r="RX12" i="26"/>
  <c r="RY12" i="26" s="1"/>
  <c r="RS12" i="26"/>
  <c r="RT12" i="26" s="1"/>
  <c r="RN12" i="26"/>
  <c r="RO12" i="26" s="1"/>
  <c r="RG12" i="26"/>
  <c r="RH12" i="26" s="1"/>
  <c r="RB12" i="26"/>
  <c r="RC12" i="26" s="1"/>
  <c r="QW12" i="26"/>
  <c r="QX12" i="26" s="1"/>
  <c r="QP12" i="26"/>
  <c r="QQ12" i="26" s="1"/>
  <c r="QK12" i="26"/>
  <c r="QL12" i="26" s="1"/>
  <c r="QF12" i="26"/>
  <c r="QG12" i="26" s="1"/>
  <c r="PY12" i="26"/>
  <c r="PZ12" i="26" s="1"/>
  <c r="PT12" i="26"/>
  <c r="PU12" i="26" s="1"/>
  <c r="PO12" i="26"/>
  <c r="PP12" i="26" s="1"/>
  <c r="PH12" i="26"/>
  <c r="PI12" i="26" s="1"/>
  <c r="PC12" i="26"/>
  <c r="PD12" i="26" s="1"/>
  <c r="OX12" i="26"/>
  <c r="OY12" i="26" s="1"/>
  <c r="OQ12" i="26"/>
  <c r="OR12" i="26" s="1"/>
  <c r="OL12" i="26"/>
  <c r="OM12" i="26" s="1"/>
  <c r="OG12" i="26"/>
  <c r="OH12" i="26" s="1"/>
  <c r="NZ12" i="26"/>
  <c r="OA12" i="26" s="1"/>
  <c r="NU12" i="26"/>
  <c r="NV12" i="26" s="1"/>
  <c r="NP12" i="26"/>
  <c r="NQ12" i="26" s="1"/>
  <c r="NI12" i="26"/>
  <c r="NJ12" i="26" s="1"/>
  <c r="ND12" i="26"/>
  <c r="NE12" i="26" s="1"/>
  <c r="MY12" i="26"/>
  <c r="MZ12" i="26" s="1"/>
  <c r="MR12" i="26"/>
  <c r="MS12" i="26" s="1"/>
  <c r="MM12" i="26"/>
  <c r="MN12" i="26" s="1"/>
  <c r="MH12" i="26"/>
  <c r="MI12" i="26" s="1"/>
  <c r="MA12" i="26"/>
  <c r="MB12" i="26" s="1"/>
  <c r="LV12" i="26"/>
  <c r="LW12" i="26" s="1"/>
  <c r="LQ12" i="26"/>
  <c r="LR12" i="26" s="1"/>
  <c r="LJ12" i="26"/>
  <c r="LK12" i="26" s="1"/>
  <c r="LE12" i="26"/>
  <c r="LF12" i="26" s="1"/>
  <c r="KZ12" i="26"/>
  <c r="LA12" i="26" s="1"/>
  <c r="KS12" i="26"/>
  <c r="KT12" i="26" s="1"/>
  <c r="KN12" i="26"/>
  <c r="KO12" i="26" s="1"/>
  <c r="KI12" i="26"/>
  <c r="KJ12" i="26" s="1"/>
  <c r="KB12" i="26"/>
  <c r="KC12" i="26" s="1"/>
  <c r="JW12" i="26"/>
  <c r="JX12" i="26" s="1"/>
  <c r="JR12" i="26"/>
  <c r="JS12" i="26" s="1"/>
  <c r="JK12" i="26"/>
  <c r="JL12" i="26" s="1"/>
  <c r="JF12" i="26"/>
  <c r="JG12" i="26" s="1"/>
  <c r="JA12" i="26"/>
  <c r="JB12" i="26" s="1"/>
  <c r="IT12" i="26"/>
  <c r="IU12" i="26" s="1"/>
  <c r="IO12" i="26"/>
  <c r="IP12" i="26" s="1"/>
  <c r="IJ12" i="26"/>
  <c r="IK12" i="26" s="1"/>
  <c r="IC12" i="26"/>
  <c r="ID12" i="26" s="1"/>
  <c r="HX12" i="26"/>
  <c r="HY12" i="26" s="1"/>
  <c r="HS12" i="26"/>
  <c r="HT12" i="26" s="1"/>
  <c r="HL12" i="26"/>
  <c r="HM12" i="26" s="1"/>
  <c r="HG12" i="26"/>
  <c r="HH12" i="26" s="1"/>
  <c r="HB12" i="26"/>
  <c r="HC12" i="26" s="1"/>
  <c r="GU12" i="26"/>
  <c r="GV12" i="26" s="1"/>
  <c r="GP12" i="26"/>
  <c r="GQ12" i="26" s="1"/>
  <c r="GK12" i="26"/>
  <c r="GL12" i="26" s="1"/>
  <c r="GD12" i="26"/>
  <c r="GE12" i="26" s="1"/>
  <c r="FY12" i="26"/>
  <c r="FZ12" i="26" s="1"/>
  <c r="FT12" i="26"/>
  <c r="FU12" i="26" s="1"/>
  <c r="FM12" i="26"/>
  <c r="FN12" i="26" s="1"/>
  <c r="FH12" i="26"/>
  <c r="FI12" i="26" s="1"/>
  <c r="FC12" i="26"/>
  <c r="FD12" i="26" s="1"/>
  <c r="EV12" i="26"/>
  <c r="EW12" i="26" s="1"/>
  <c r="EQ12" i="26"/>
  <c r="ER12" i="26" s="1"/>
  <c r="EL12" i="26"/>
  <c r="EM12" i="26" s="1"/>
  <c r="EE12" i="26"/>
  <c r="EF12" i="26" s="1"/>
  <c r="DZ12" i="26"/>
  <c r="EA12" i="26" s="1"/>
  <c r="DU12" i="26"/>
  <c r="DV12" i="26" s="1"/>
  <c r="DN12" i="26"/>
  <c r="DO12" i="26" s="1"/>
  <c r="DI12" i="26"/>
  <c r="DJ12" i="26" s="1"/>
  <c r="DD12" i="26"/>
  <c r="DE12" i="26" s="1"/>
  <c r="CW12" i="26"/>
  <c r="CX12" i="26" s="1"/>
  <c r="CR12" i="26"/>
  <c r="CS12" i="26" s="1"/>
  <c r="CM12" i="26"/>
  <c r="CN12" i="26" s="1"/>
  <c r="CF12" i="26"/>
  <c r="CG12" i="26" s="1"/>
  <c r="CA12" i="26"/>
  <c r="CB12" i="26" s="1"/>
  <c r="BV12" i="26"/>
  <c r="BW12" i="26" s="1"/>
  <c r="BO12" i="26"/>
  <c r="BP12" i="26" s="1"/>
  <c r="BJ12" i="26"/>
  <c r="BK12" i="26" s="1"/>
  <c r="BE12" i="26"/>
  <c r="BF12" i="26" s="1"/>
  <c r="AX12" i="26"/>
  <c r="AY12" i="26" s="1"/>
  <c r="AS12" i="26"/>
  <c r="AT12" i="26" s="1"/>
  <c r="AN12" i="26"/>
  <c r="AO12" i="26" s="1"/>
  <c r="AG12" i="26"/>
  <c r="AH12" i="26" s="1"/>
  <c r="AB12" i="26"/>
  <c r="AC12" i="26" s="1"/>
  <c r="W12" i="26"/>
  <c r="X12" i="26" s="1"/>
  <c r="P12" i="26"/>
  <c r="Q12" i="26" s="1"/>
  <c r="K12" i="26"/>
  <c r="L12" i="26" s="1"/>
  <c r="F12" i="26"/>
  <c r="G12" i="26" s="1"/>
  <c r="SO11" i="26"/>
  <c r="SP11" i="26" s="1"/>
  <c r="SJ11" i="26"/>
  <c r="SK11" i="26" s="1"/>
  <c r="SE11" i="26"/>
  <c r="SF11" i="26" s="1"/>
  <c r="RX11" i="26"/>
  <c r="RY11" i="26" s="1"/>
  <c r="RS11" i="26"/>
  <c r="RT11" i="26" s="1"/>
  <c r="RN11" i="26"/>
  <c r="RO11" i="26" s="1"/>
  <c r="RG11" i="26"/>
  <c r="RH11" i="26" s="1"/>
  <c r="RB11" i="26"/>
  <c r="RC11" i="26" s="1"/>
  <c r="QW11" i="26"/>
  <c r="QX11" i="26" s="1"/>
  <c r="QP11" i="26"/>
  <c r="QQ11" i="26" s="1"/>
  <c r="QK11" i="26"/>
  <c r="QL11" i="26" s="1"/>
  <c r="QF11" i="26"/>
  <c r="QG11" i="26" s="1"/>
  <c r="PY11" i="26"/>
  <c r="PZ11" i="26" s="1"/>
  <c r="PT11" i="26"/>
  <c r="PU11" i="26" s="1"/>
  <c r="PO11" i="26"/>
  <c r="PH11" i="26"/>
  <c r="PI11" i="26" s="1"/>
  <c r="PC11" i="26"/>
  <c r="PD11" i="26" s="1"/>
  <c r="OX11" i="26"/>
  <c r="OY11" i="26" s="1"/>
  <c r="OQ11" i="26"/>
  <c r="OR11" i="26" s="1"/>
  <c r="OL11" i="26"/>
  <c r="OM11" i="26" s="1"/>
  <c r="OG11" i="26"/>
  <c r="OH11" i="26" s="1"/>
  <c r="NZ11" i="26"/>
  <c r="OA11" i="26" s="1"/>
  <c r="NU11" i="26"/>
  <c r="NV11" i="26" s="1"/>
  <c r="NP11" i="26"/>
  <c r="NQ11" i="26" s="1"/>
  <c r="NI11" i="26"/>
  <c r="NJ11" i="26" s="1"/>
  <c r="ND11" i="26"/>
  <c r="NE11" i="26" s="1"/>
  <c r="MY11" i="26"/>
  <c r="MZ11" i="26" s="1"/>
  <c r="MR11" i="26"/>
  <c r="MS11" i="26" s="1"/>
  <c r="MM11" i="26"/>
  <c r="MN11" i="26" s="1"/>
  <c r="MH11" i="26"/>
  <c r="MI11" i="26" s="1"/>
  <c r="MA11" i="26"/>
  <c r="MB11" i="26" s="1"/>
  <c r="LV11" i="26"/>
  <c r="LW11" i="26" s="1"/>
  <c r="LQ11" i="26"/>
  <c r="LR11" i="26" s="1"/>
  <c r="LL11" i="26"/>
  <c r="LM11" i="26" s="1"/>
  <c r="LJ11" i="26"/>
  <c r="LK11" i="26" s="1"/>
  <c r="LE11" i="26"/>
  <c r="LF11" i="26" s="1"/>
  <c r="KZ11" i="26"/>
  <c r="LA11" i="26" s="1"/>
  <c r="KS11" i="26"/>
  <c r="KT11" i="26" s="1"/>
  <c r="KN11" i="26"/>
  <c r="KO11" i="26" s="1"/>
  <c r="KI11" i="26"/>
  <c r="KJ11" i="26" s="1"/>
  <c r="KB11" i="26"/>
  <c r="KC11" i="26" s="1"/>
  <c r="JW11" i="26"/>
  <c r="JX11" i="26" s="1"/>
  <c r="JR11" i="26"/>
  <c r="JS11" i="26" s="1"/>
  <c r="JK11" i="26"/>
  <c r="JL11" i="26" s="1"/>
  <c r="JF11" i="26"/>
  <c r="JG11" i="26" s="1"/>
  <c r="JA11" i="26"/>
  <c r="JB11" i="26" s="1"/>
  <c r="IT11" i="26"/>
  <c r="IU11" i="26" s="1"/>
  <c r="IO11" i="26"/>
  <c r="IP11" i="26" s="1"/>
  <c r="IJ11" i="26"/>
  <c r="IK11" i="26" s="1"/>
  <c r="IC11" i="26"/>
  <c r="ID11" i="26" s="1"/>
  <c r="HX11" i="26"/>
  <c r="HY11" i="26" s="1"/>
  <c r="HS11" i="26"/>
  <c r="HT11" i="26" s="1"/>
  <c r="HL11" i="26"/>
  <c r="HM11" i="26" s="1"/>
  <c r="HG11" i="26"/>
  <c r="HH11" i="26" s="1"/>
  <c r="HB11" i="26"/>
  <c r="HC11" i="26" s="1"/>
  <c r="GU11" i="26"/>
  <c r="GV11" i="26" s="1"/>
  <c r="GP11" i="26"/>
  <c r="GQ11" i="26" s="1"/>
  <c r="GK11" i="26"/>
  <c r="GL11" i="26" s="1"/>
  <c r="GD11" i="26"/>
  <c r="GE11" i="26" s="1"/>
  <c r="FY11" i="26"/>
  <c r="FZ11" i="26" s="1"/>
  <c r="FT11" i="26"/>
  <c r="FU11" i="26" s="1"/>
  <c r="FM11" i="26"/>
  <c r="FN11" i="26" s="1"/>
  <c r="FH11" i="26"/>
  <c r="FI11" i="26" s="1"/>
  <c r="FC11" i="26"/>
  <c r="FD11" i="26" s="1"/>
  <c r="EV11" i="26"/>
  <c r="EW11" i="26" s="1"/>
  <c r="EQ11" i="26"/>
  <c r="ER11" i="26" s="1"/>
  <c r="EL11" i="26"/>
  <c r="EM11" i="26" s="1"/>
  <c r="EE11" i="26"/>
  <c r="EF11" i="26" s="1"/>
  <c r="DZ11" i="26"/>
  <c r="EA11" i="26" s="1"/>
  <c r="DU11" i="26"/>
  <c r="DV11" i="26" s="1"/>
  <c r="DN11" i="26"/>
  <c r="DO11" i="26" s="1"/>
  <c r="DI11" i="26"/>
  <c r="DJ11" i="26" s="1"/>
  <c r="DD11" i="26"/>
  <c r="DE11" i="26" s="1"/>
  <c r="CX11" i="26"/>
  <c r="CW11" i="26"/>
  <c r="CR11" i="26"/>
  <c r="CS11" i="26" s="1"/>
  <c r="CM11" i="26"/>
  <c r="CY11" i="26" s="1"/>
  <c r="CZ11" i="26" s="1"/>
  <c r="CF11" i="26"/>
  <c r="CG11" i="26" s="1"/>
  <c r="CA11" i="26"/>
  <c r="CB11" i="26" s="1"/>
  <c r="BV11" i="26"/>
  <c r="BO11" i="26"/>
  <c r="BP11" i="26" s="1"/>
  <c r="BJ11" i="26"/>
  <c r="BK11" i="26" s="1"/>
  <c r="BE11" i="26"/>
  <c r="BF11" i="26" s="1"/>
  <c r="AY11" i="26"/>
  <c r="AX11" i="26"/>
  <c r="AS11" i="26"/>
  <c r="AT11" i="26" s="1"/>
  <c r="AN11" i="26"/>
  <c r="AZ11" i="26" s="1"/>
  <c r="BA11" i="26" s="1"/>
  <c r="AH11" i="26"/>
  <c r="AG11" i="26"/>
  <c r="AB11" i="26"/>
  <c r="W11" i="26"/>
  <c r="X11" i="26" s="1"/>
  <c r="P11" i="26"/>
  <c r="Q11" i="26" s="1"/>
  <c r="K11" i="26"/>
  <c r="L11" i="26" s="1"/>
  <c r="F11" i="26"/>
  <c r="SQ10" i="26"/>
  <c r="SR10" i="26" s="1"/>
  <c r="SO10" i="26"/>
  <c r="SP10" i="26" s="1"/>
  <c r="SJ10" i="26"/>
  <c r="SK10" i="26" s="1"/>
  <c r="SE10" i="26"/>
  <c r="SF10" i="26" s="1"/>
  <c r="RZ10" i="26"/>
  <c r="SA10" i="26" s="1"/>
  <c r="RY10" i="26"/>
  <c r="RX10" i="26"/>
  <c r="RS10" i="26"/>
  <c r="RT10" i="26" s="1"/>
  <c r="RN10" i="26"/>
  <c r="RO10" i="26" s="1"/>
  <c r="RI10" i="26"/>
  <c r="RJ10" i="26" s="1"/>
  <c r="RG10" i="26"/>
  <c r="RH10" i="26" s="1"/>
  <c r="RB10" i="26"/>
  <c r="RC10" i="26" s="1"/>
  <c r="QW10" i="26"/>
  <c r="QX10" i="26" s="1"/>
  <c r="QR10" i="26"/>
  <c r="QS10" i="26" s="1"/>
  <c r="QP10" i="26"/>
  <c r="QQ10" i="26" s="1"/>
  <c r="QK10" i="26"/>
  <c r="QL10" i="26" s="1"/>
  <c r="QF10" i="26"/>
  <c r="QG10" i="26" s="1"/>
  <c r="QA10" i="26"/>
  <c r="QB10" i="26" s="1"/>
  <c r="PY10" i="26"/>
  <c r="PZ10" i="26" s="1"/>
  <c r="PT10" i="26"/>
  <c r="PU10" i="26" s="1"/>
  <c r="PO10" i="26"/>
  <c r="PP10" i="26" s="1"/>
  <c r="PJ10" i="26"/>
  <c r="PK10" i="26" s="1"/>
  <c r="PI10" i="26"/>
  <c r="PH10" i="26"/>
  <c r="PC10" i="26"/>
  <c r="PD10" i="26" s="1"/>
  <c r="OX10" i="26"/>
  <c r="OY10" i="26" s="1"/>
  <c r="OS10" i="26"/>
  <c r="OT10" i="26" s="1"/>
  <c r="OQ10" i="26"/>
  <c r="OR10" i="26" s="1"/>
  <c r="OL10" i="26"/>
  <c r="OM10" i="26" s="1"/>
  <c r="OG10" i="26"/>
  <c r="OH10" i="26" s="1"/>
  <c r="OB10" i="26"/>
  <c r="OC10" i="26" s="1"/>
  <c r="NZ10" i="26"/>
  <c r="OA10" i="26" s="1"/>
  <c r="NU10" i="26"/>
  <c r="NV10" i="26" s="1"/>
  <c r="NP10" i="26"/>
  <c r="NQ10" i="26" s="1"/>
  <c r="NK10" i="26"/>
  <c r="NL10" i="26" s="1"/>
  <c r="NI10" i="26"/>
  <c r="NJ10" i="26" s="1"/>
  <c r="ND10" i="26"/>
  <c r="NE10" i="26" s="1"/>
  <c r="MY10" i="26"/>
  <c r="MZ10" i="26" s="1"/>
  <c r="MT10" i="26"/>
  <c r="MU10" i="26" s="1"/>
  <c r="MR10" i="26"/>
  <c r="MS10" i="26" s="1"/>
  <c r="MM10" i="26"/>
  <c r="MN10" i="26" s="1"/>
  <c r="MH10" i="26"/>
  <c r="MI10" i="26" s="1"/>
  <c r="MC10" i="26"/>
  <c r="MD10" i="26" s="1"/>
  <c r="MA10" i="26"/>
  <c r="MB10" i="26" s="1"/>
  <c r="LV10" i="26"/>
  <c r="LW10" i="26" s="1"/>
  <c r="LQ10" i="26"/>
  <c r="LR10" i="26" s="1"/>
  <c r="LL10" i="26"/>
  <c r="LM10" i="26" s="1"/>
  <c r="LJ10" i="26"/>
  <c r="LK10" i="26" s="1"/>
  <c r="LE10" i="26"/>
  <c r="LF10" i="26" s="1"/>
  <c r="KZ10" i="26"/>
  <c r="LA10" i="26" s="1"/>
  <c r="KU10" i="26"/>
  <c r="KV10" i="26" s="1"/>
  <c r="KT10" i="26"/>
  <c r="KS10" i="26"/>
  <c r="KN10" i="26"/>
  <c r="KO10" i="26" s="1"/>
  <c r="KI10" i="26"/>
  <c r="KJ10" i="26" s="1"/>
  <c r="KD10" i="26"/>
  <c r="KE10" i="26" s="1"/>
  <c r="KB10" i="26"/>
  <c r="KC10" i="26" s="1"/>
  <c r="JW10" i="26"/>
  <c r="JX10" i="26" s="1"/>
  <c r="JR10" i="26"/>
  <c r="JS10" i="26" s="1"/>
  <c r="JM10" i="26"/>
  <c r="JN10" i="26" s="1"/>
  <c r="JK10" i="26"/>
  <c r="JL10" i="26" s="1"/>
  <c r="JF10" i="26"/>
  <c r="JG10" i="26" s="1"/>
  <c r="JB10" i="26"/>
  <c r="JA10" i="26"/>
  <c r="IV10" i="26"/>
  <c r="IW10" i="26" s="1"/>
  <c r="IT10" i="26"/>
  <c r="IU10" i="26" s="1"/>
  <c r="IO10" i="26"/>
  <c r="IP10" i="26" s="1"/>
  <c r="IJ10" i="26"/>
  <c r="IK10" i="26" s="1"/>
  <c r="IE10" i="26"/>
  <c r="IF10" i="26" s="1"/>
  <c r="IC10" i="26"/>
  <c r="ID10" i="26" s="1"/>
  <c r="HX10" i="26"/>
  <c r="HY10" i="26" s="1"/>
  <c r="HS10" i="26"/>
  <c r="HT10" i="26" s="1"/>
  <c r="HN10" i="26"/>
  <c r="HO10" i="26" s="1"/>
  <c r="HL10" i="26"/>
  <c r="HM10" i="26" s="1"/>
  <c r="HG10" i="26"/>
  <c r="HH10" i="26" s="1"/>
  <c r="HB10" i="26"/>
  <c r="HC10" i="26" s="1"/>
  <c r="GW10" i="26"/>
  <c r="GX10" i="26" s="1"/>
  <c r="GV10" i="26"/>
  <c r="GU10" i="26"/>
  <c r="GP10" i="26"/>
  <c r="GQ10" i="26" s="1"/>
  <c r="GK10" i="26"/>
  <c r="GL10" i="26" s="1"/>
  <c r="GF10" i="26"/>
  <c r="GG10" i="26" s="1"/>
  <c r="GD10" i="26"/>
  <c r="GE10" i="26" s="1"/>
  <c r="FY10" i="26"/>
  <c r="FZ10" i="26" s="1"/>
  <c r="FT10" i="26"/>
  <c r="FU10" i="26" s="1"/>
  <c r="FO10" i="26"/>
  <c r="FP10" i="26" s="1"/>
  <c r="FM10" i="26"/>
  <c r="FN10" i="26" s="1"/>
  <c r="FH10" i="26"/>
  <c r="FI10" i="26" s="1"/>
  <c r="FD10" i="26"/>
  <c r="FC10" i="26"/>
  <c r="EX10" i="26"/>
  <c r="EY10" i="26" s="1"/>
  <c r="EV10" i="26"/>
  <c r="EW10" i="26" s="1"/>
  <c r="EQ10" i="26"/>
  <c r="ER10" i="26" s="1"/>
  <c r="EL10" i="26"/>
  <c r="EM10" i="26" s="1"/>
  <c r="EG10" i="26"/>
  <c r="EH10" i="26" s="1"/>
  <c r="EE10" i="26"/>
  <c r="EF10" i="26" s="1"/>
  <c r="DZ10" i="26"/>
  <c r="EA10" i="26" s="1"/>
  <c r="DU10" i="26"/>
  <c r="DV10" i="26" s="1"/>
  <c r="DP10" i="26"/>
  <c r="DQ10" i="26" s="1"/>
  <c r="DN10" i="26"/>
  <c r="DO10" i="26" s="1"/>
  <c r="DI10" i="26"/>
  <c r="DJ10" i="26" s="1"/>
  <c r="DD10" i="26"/>
  <c r="DE10" i="26" s="1"/>
  <c r="CY10" i="26"/>
  <c r="CZ10" i="26" s="1"/>
  <c r="CW10" i="26"/>
  <c r="CX10" i="26" s="1"/>
  <c r="CR10" i="26"/>
  <c r="CS10" i="26" s="1"/>
  <c r="CM10" i="26"/>
  <c r="CN10" i="26" s="1"/>
  <c r="CH10" i="26"/>
  <c r="CI10" i="26" s="1"/>
  <c r="CF10" i="26"/>
  <c r="CG10" i="26" s="1"/>
  <c r="CA10" i="26"/>
  <c r="CB10" i="26" s="1"/>
  <c r="BV10" i="26"/>
  <c r="BW10" i="26" s="1"/>
  <c r="BQ10" i="26"/>
  <c r="BR10" i="26" s="1"/>
  <c r="BO10" i="26"/>
  <c r="BP10" i="26" s="1"/>
  <c r="BJ10" i="26"/>
  <c r="BK10" i="26" s="1"/>
  <c r="BE10" i="26"/>
  <c r="BF10" i="26" s="1"/>
  <c r="AZ10" i="26"/>
  <c r="BA10" i="26" s="1"/>
  <c r="AX10" i="26"/>
  <c r="AY10" i="26" s="1"/>
  <c r="AS10" i="26"/>
  <c r="AT10" i="26" s="1"/>
  <c r="AN10" i="26"/>
  <c r="AO10" i="26" s="1"/>
  <c r="AI10" i="26"/>
  <c r="AJ10" i="26" s="1"/>
  <c r="AG10" i="26"/>
  <c r="AH10" i="26" s="1"/>
  <c r="AB10" i="26"/>
  <c r="AC10" i="26" s="1"/>
  <c r="W10" i="26"/>
  <c r="X10" i="26" s="1"/>
  <c r="R10" i="26"/>
  <c r="S10" i="26" s="1"/>
  <c r="P10" i="26"/>
  <c r="Q10" i="26" s="1"/>
  <c r="K10" i="26"/>
  <c r="L10" i="26" s="1"/>
  <c r="F10" i="26"/>
  <c r="G10" i="26" s="1"/>
  <c r="SP9" i="26"/>
  <c r="SO9" i="26"/>
  <c r="SJ9" i="26"/>
  <c r="SK9" i="26" s="1"/>
  <c r="SE9" i="26"/>
  <c r="SQ9" i="26" s="1"/>
  <c r="SR9" i="26" s="1"/>
  <c r="RX9" i="26"/>
  <c r="RY9" i="26" s="1"/>
  <c r="RS9" i="26"/>
  <c r="RT9" i="26" s="1"/>
  <c r="RN9" i="26"/>
  <c r="RG9" i="26"/>
  <c r="RH9" i="26" s="1"/>
  <c r="RB9" i="26"/>
  <c r="RC9" i="26" s="1"/>
  <c r="QX9" i="26"/>
  <c r="QW9" i="26"/>
  <c r="QP9" i="26"/>
  <c r="QQ9" i="26" s="1"/>
  <c r="QK9" i="26"/>
  <c r="QL9" i="26" s="1"/>
  <c r="QF9" i="26"/>
  <c r="PY9" i="26"/>
  <c r="PZ9" i="26" s="1"/>
  <c r="PT9" i="26"/>
  <c r="QA9" i="26" s="1"/>
  <c r="QB9" i="26" s="1"/>
  <c r="PO9" i="26"/>
  <c r="PP9" i="26" s="1"/>
  <c r="PH9" i="26"/>
  <c r="PI9" i="26" s="1"/>
  <c r="PC9" i="26"/>
  <c r="PD9" i="26" s="1"/>
  <c r="OX9" i="26"/>
  <c r="OY9" i="26" s="1"/>
  <c r="OR9" i="26"/>
  <c r="OQ9" i="26"/>
  <c r="OL9" i="26"/>
  <c r="OM9" i="26" s="1"/>
  <c r="OG9" i="26"/>
  <c r="OH9" i="26" s="1"/>
  <c r="NZ9" i="26"/>
  <c r="OA9" i="26" s="1"/>
  <c r="NU9" i="26"/>
  <c r="NV9" i="26" s="1"/>
  <c r="NQ9" i="26"/>
  <c r="NP9" i="26"/>
  <c r="NI9" i="26"/>
  <c r="NJ9" i="26" s="1"/>
  <c r="ND9" i="26"/>
  <c r="NE9" i="26" s="1"/>
  <c r="MY9" i="26"/>
  <c r="MZ9" i="26" s="1"/>
  <c r="MR9" i="26"/>
  <c r="MS9" i="26" s="1"/>
  <c r="MM9" i="26"/>
  <c r="MN9" i="26" s="1"/>
  <c r="MH9" i="26"/>
  <c r="MI9" i="26" s="1"/>
  <c r="MB9" i="26"/>
  <c r="MA9" i="26"/>
  <c r="LV9" i="26"/>
  <c r="LW9" i="26" s="1"/>
  <c r="LQ9" i="26"/>
  <c r="LR9" i="26" s="1"/>
  <c r="LJ9" i="26"/>
  <c r="LK9" i="26" s="1"/>
  <c r="LE9" i="26"/>
  <c r="LF9" i="26" s="1"/>
  <c r="LA9" i="26"/>
  <c r="KZ9" i="26"/>
  <c r="KS9" i="26"/>
  <c r="KT9" i="26" s="1"/>
  <c r="KN9" i="26"/>
  <c r="KO9" i="26" s="1"/>
  <c r="KI9" i="26"/>
  <c r="KJ9" i="26" s="1"/>
  <c r="KB9" i="26"/>
  <c r="KC9" i="26" s="1"/>
  <c r="JW9" i="26"/>
  <c r="JX9" i="26" s="1"/>
  <c r="JR9" i="26"/>
  <c r="JS9" i="26" s="1"/>
  <c r="JL9" i="26"/>
  <c r="JK9" i="26"/>
  <c r="JF9" i="26"/>
  <c r="JG9" i="26" s="1"/>
  <c r="JA9" i="26"/>
  <c r="JB9" i="26" s="1"/>
  <c r="IT9" i="26"/>
  <c r="IU9" i="26" s="1"/>
  <c r="IO9" i="26"/>
  <c r="IP9" i="26" s="1"/>
  <c r="IJ9" i="26"/>
  <c r="IK9" i="26" s="1"/>
  <c r="IC9" i="26"/>
  <c r="ID9" i="26" s="1"/>
  <c r="HX9" i="26"/>
  <c r="HY9" i="26" s="1"/>
  <c r="HS9" i="26"/>
  <c r="HT9" i="26" s="1"/>
  <c r="HL9" i="26"/>
  <c r="HM9" i="26" s="1"/>
  <c r="HH9" i="26"/>
  <c r="HG9" i="26"/>
  <c r="HB9" i="26"/>
  <c r="HC9" i="26" s="1"/>
  <c r="GU9" i="26"/>
  <c r="GV9" i="26" s="1"/>
  <c r="GP9" i="26"/>
  <c r="GQ9" i="26" s="1"/>
  <c r="GK9" i="26"/>
  <c r="GL9" i="26" s="1"/>
  <c r="GD9" i="26"/>
  <c r="GE9" i="26" s="1"/>
  <c r="FY9" i="26"/>
  <c r="FZ9" i="26" s="1"/>
  <c r="FT9" i="26"/>
  <c r="FU9" i="26" s="1"/>
  <c r="FM9" i="26"/>
  <c r="FN9" i="26" s="1"/>
  <c r="FH9" i="26"/>
  <c r="FI9" i="26" s="1"/>
  <c r="FC9" i="26"/>
  <c r="FD9" i="26" s="1"/>
  <c r="EV9" i="26"/>
  <c r="EW9" i="26" s="1"/>
  <c r="EQ9" i="26"/>
  <c r="ER9" i="26" s="1"/>
  <c r="EL9" i="26"/>
  <c r="EM9" i="26" s="1"/>
  <c r="EE9" i="26"/>
  <c r="EF9" i="26" s="1"/>
  <c r="DZ9" i="26"/>
  <c r="EA9" i="26" s="1"/>
  <c r="DU9" i="26"/>
  <c r="DV9" i="26" s="1"/>
  <c r="DN9" i="26"/>
  <c r="DO9" i="26" s="1"/>
  <c r="DI9" i="26"/>
  <c r="DJ9" i="26" s="1"/>
  <c r="DD9" i="26"/>
  <c r="DE9" i="26" s="1"/>
  <c r="CW9" i="26"/>
  <c r="CX9" i="26" s="1"/>
  <c r="CR9" i="26"/>
  <c r="CS9" i="26" s="1"/>
  <c r="CM9" i="26"/>
  <c r="CN9" i="26" s="1"/>
  <c r="CF9" i="26"/>
  <c r="CG9" i="26" s="1"/>
  <c r="CB9" i="26"/>
  <c r="CA9" i="26"/>
  <c r="BV9" i="26"/>
  <c r="BW9" i="26" s="1"/>
  <c r="BO9" i="26"/>
  <c r="BP9" i="26" s="1"/>
  <c r="BJ9" i="26"/>
  <c r="BK9" i="26" s="1"/>
  <c r="BE9" i="26"/>
  <c r="BF9" i="26" s="1"/>
  <c r="AX9" i="26"/>
  <c r="AY9" i="26" s="1"/>
  <c r="AS9" i="26"/>
  <c r="AT9" i="26" s="1"/>
  <c r="AN9" i="26"/>
  <c r="AO9" i="26" s="1"/>
  <c r="AG9" i="26"/>
  <c r="AH9" i="26" s="1"/>
  <c r="AB9" i="26"/>
  <c r="AC9" i="26" s="1"/>
  <c r="W9" i="26"/>
  <c r="X9" i="26" s="1"/>
  <c r="P9" i="26"/>
  <c r="Q9" i="26" s="1"/>
  <c r="K9" i="26"/>
  <c r="L9" i="26" s="1"/>
  <c r="F9" i="26"/>
  <c r="G9" i="26" s="1"/>
  <c r="SO8" i="26"/>
  <c r="SP8" i="26" s="1"/>
  <c r="SJ8" i="26"/>
  <c r="SK8" i="26" s="1"/>
  <c r="SE8" i="26"/>
  <c r="SF8" i="26" s="1"/>
  <c r="RX8" i="26"/>
  <c r="RY8" i="26" s="1"/>
  <c r="RS8" i="26"/>
  <c r="RT8" i="26" s="1"/>
  <c r="RN8" i="26"/>
  <c r="RO8" i="26" s="1"/>
  <c r="RG8" i="26"/>
  <c r="RH8" i="26" s="1"/>
  <c r="RB8" i="26"/>
  <c r="RC8" i="26" s="1"/>
  <c r="QW8" i="26"/>
  <c r="QX8" i="26" s="1"/>
  <c r="QP8" i="26"/>
  <c r="QQ8" i="26" s="1"/>
  <c r="QK8" i="26"/>
  <c r="QL8" i="26" s="1"/>
  <c r="QF8" i="26"/>
  <c r="QG8" i="26" s="1"/>
  <c r="PY8" i="26"/>
  <c r="PZ8" i="26" s="1"/>
  <c r="PT8" i="26"/>
  <c r="PU8" i="26" s="1"/>
  <c r="PO8" i="26"/>
  <c r="PP8" i="26" s="1"/>
  <c r="PH8" i="26"/>
  <c r="PI8" i="26" s="1"/>
  <c r="PC8" i="26"/>
  <c r="PD8" i="26" s="1"/>
  <c r="OX8" i="26"/>
  <c r="OY8" i="26" s="1"/>
  <c r="OQ8" i="26"/>
  <c r="OR8" i="26" s="1"/>
  <c r="OL8" i="26"/>
  <c r="OM8" i="26" s="1"/>
  <c r="OG8" i="26"/>
  <c r="OH8" i="26" s="1"/>
  <c r="NZ8" i="26"/>
  <c r="OA8" i="26" s="1"/>
  <c r="NU8" i="26"/>
  <c r="NV8" i="26" s="1"/>
  <c r="NP8" i="26"/>
  <c r="NQ8" i="26" s="1"/>
  <c r="NI8" i="26"/>
  <c r="NJ8" i="26" s="1"/>
  <c r="ND8" i="26"/>
  <c r="NE8" i="26" s="1"/>
  <c r="MY8" i="26"/>
  <c r="MZ8" i="26" s="1"/>
  <c r="MR8" i="26"/>
  <c r="MS8" i="26" s="1"/>
  <c r="MM8" i="26"/>
  <c r="MN8" i="26" s="1"/>
  <c r="MH8" i="26"/>
  <c r="MI8" i="26" s="1"/>
  <c r="MA8" i="26"/>
  <c r="MB8" i="26" s="1"/>
  <c r="LV8" i="26"/>
  <c r="LW8" i="26" s="1"/>
  <c r="LQ8" i="26"/>
  <c r="LR8" i="26" s="1"/>
  <c r="LJ8" i="26"/>
  <c r="LK8" i="26" s="1"/>
  <c r="LE8" i="26"/>
  <c r="LF8" i="26" s="1"/>
  <c r="KZ8" i="26"/>
  <c r="LA8" i="26" s="1"/>
  <c r="KS8" i="26"/>
  <c r="KT8" i="26" s="1"/>
  <c r="KN8" i="26"/>
  <c r="KO8" i="26" s="1"/>
  <c r="KI8" i="26"/>
  <c r="KJ8" i="26" s="1"/>
  <c r="KB8" i="26"/>
  <c r="KC8" i="26" s="1"/>
  <c r="JW8" i="26"/>
  <c r="JX8" i="26" s="1"/>
  <c r="JR8" i="26"/>
  <c r="JS8" i="26" s="1"/>
  <c r="JK8" i="26"/>
  <c r="JL8" i="26" s="1"/>
  <c r="JF8" i="26"/>
  <c r="JG8" i="26" s="1"/>
  <c r="JA8" i="26"/>
  <c r="JB8" i="26" s="1"/>
  <c r="IT8" i="26"/>
  <c r="IU8" i="26" s="1"/>
  <c r="IO8" i="26"/>
  <c r="IP8" i="26" s="1"/>
  <c r="IJ8" i="26"/>
  <c r="IK8" i="26" s="1"/>
  <c r="IC8" i="26"/>
  <c r="ID8" i="26" s="1"/>
  <c r="HX8" i="26"/>
  <c r="HY8" i="26" s="1"/>
  <c r="HS8" i="26"/>
  <c r="HT8" i="26" s="1"/>
  <c r="HL8" i="26"/>
  <c r="HM8" i="26" s="1"/>
  <c r="HG8" i="26"/>
  <c r="HH8" i="26" s="1"/>
  <c r="HB8" i="26"/>
  <c r="HC8" i="26" s="1"/>
  <c r="GU8" i="26"/>
  <c r="GV8" i="26" s="1"/>
  <c r="GP8" i="26"/>
  <c r="GQ8" i="26" s="1"/>
  <c r="GK8" i="26"/>
  <c r="GL8" i="26" s="1"/>
  <c r="GD8" i="26"/>
  <c r="GE8" i="26" s="1"/>
  <c r="FY8" i="26"/>
  <c r="FZ8" i="26" s="1"/>
  <c r="FT8" i="26"/>
  <c r="FU8" i="26" s="1"/>
  <c r="FM8" i="26"/>
  <c r="FN8" i="26" s="1"/>
  <c r="FH8" i="26"/>
  <c r="FI8" i="26" s="1"/>
  <c r="FC8" i="26"/>
  <c r="FD8" i="26" s="1"/>
  <c r="EV8" i="26"/>
  <c r="EW8" i="26" s="1"/>
  <c r="EQ8" i="26"/>
  <c r="ER8" i="26" s="1"/>
  <c r="EL8" i="26"/>
  <c r="EM8" i="26" s="1"/>
  <c r="EE8" i="26"/>
  <c r="EF8" i="26" s="1"/>
  <c r="DZ8" i="26"/>
  <c r="EA8" i="26" s="1"/>
  <c r="DU8" i="26"/>
  <c r="DV8" i="26" s="1"/>
  <c r="DN8" i="26"/>
  <c r="DO8" i="26" s="1"/>
  <c r="DI8" i="26"/>
  <c r="DJ8" i="26" s="1"/>
  <c r="DD8" i="26"/>
  <c r="DE8" i="26" s="1"/>
  <c r="CW8" i="26"/>
  <c r="CX8" i="26" s="1"/>
  <c r="CR8" i="26"/>
  <c r="CS8" i="26" s="1"/>
  <c r="CM8" i="26"/>
  <c r="CN8" i="26" s="1"/>
  <c r="CF8" i="26"/>
  <c r="CG8" i="26" s="1"/>
  <c r="CA8" i="26"/>
  <c r="CB8" i="26" s="1"/>
  <c r="BV8" i="26"/>
  <c r="BW8" i="26" s="1"/>
  <c r="BO8" i="26"/>
  <c r="BP8" i="26" s="1"/>
  <c r="BJ8" i="26"/>
  <c r="BK8" i="26" s="1"/>
  <c r="BE8" i="26"/>
  <c r="BF8" i="26" s="1"/>
  <c r="AX8" i="26"/>
  <c r="AY8" i="26" s="1"/>
  <c r="AS8" i="26"/>
  <c r="AT8" i="26" s="1"/>
  <c r="AN8" i="26"/>
  <c r="AO8" i="26" s="1"/>
  <c r="AG8" i="26"/>
  <c r="AH8" i="26" s="1"/>
  <c r="AB8" i="26"/>
  <c r="AC8" i="26" s="1"/>
  <c r="W8" i="26"/>
  <c r="X8" i="26" s="1"/>
  <c r="P8" i="26"/>
  <c r="Q8" i="26" s="1"/>
  <c r="K8" i="26"/>
  <c r="L8" i="26" s="1"/>
  <c r="F8" i="26"/>
  <c r="G8" i="26" s="1"/>
  <c r="SO7" i="26"/>
  <c r="SP7" i="26" s="1"/>
  <c r="SJ7" i="26"/>
  <c r="SK7" i="26" s="1"/>
  <c r="SE7" i="26"/>
  <c r="SF7" i="26" s="1"/>
  <c r="RX7" i="26"/>
  <c r="RY7" i="26" s="1"/>
  <c r="RS7" i="26"/>
  <c r="RT7" i="26" s="1"/>
  <c r="RN7" i="26"/>
  <c r="RO7" i="26" s="1"/>
  <c r="RG7" i="26"/>
  <c r="RH7" i="26" s="1"/>
  <c r="RB7" i="26"/>
  <c r="RC7" i="26" s="1"/>
  <c r="QW7" i="26"/>
  <c r="QX7" i="26" s="1"/>
  <c r="QP7" i="26"/>
  <c r="QQ7" i="26" s="1"/>
  <c r="QK7" i="26"/>
  <c r="QL7" i="26" s="1"/>
  <c r="QF7" i="26"/>
  <c r="QG7" i="26" s="1"/>
  <c r="PY7" i="26"/>
  <c r="PZ7" i="26" s="1"/>
  <c r="PT7" i="26"/>
  <c r="PU7" i="26" s="1"/>
  <c r="PO7" i="26"/>
  <c r="PP7" i="26" s="1"/>
  <c r="PH7" i="26"/>
  <c r="PI7" i="26" s="1"/>
  <c r="PC7" i="26"/>
  <c r="PD7" i="26" s="1"/>
  <c r="OX7" i="26"/>
  <c r="OY7" i="26" s="1"/>
  <c r="OQ7" i="26"/>
  <c r="OR7" i="26" s="1"/>
  <c r="OL7" i="26"/>
  <c r="OM7" i="26" s="1"/>
  <c r="OG7" i="26"/>
  <c r="OH7" i="26" s="1"/>
  <c r="NZ7" i="26"/>
  <c r="OA7" i="26" s="1"/>
  <c r="NU7" i="26"/>
  <c r="NV7" i="26" s="1"/>
  <c r="NP7" i="26"/>
  <c r="NQ7" i="26" s="1"/>
  <c r="NI7" i="26"/>
  <c r="NJ7" i="26" s="1"/>
  <c r="ND7" i="26"/>
  <c r="NE7" i="26" s="1"/>
  <c r="MY7" i="26"/>
  <c r="MZ7" i="26" s="1"/>
  <c r="MR7" i="26"/>
  <c r="MS7" i="26" s="1"/>
  <c r="MM7" i="26"/>
  <c r="MN7" i="26" s="1"/>
  <c r="MH7" i="26"/>
  <c r="MI7" i="26" s="1"/>
  <c r="MA7" i="26"/>
  <c r="MB7" i="26" s="1"/>
  <c r="LV7" i="26"/>
  <c r="LW7" i="26" s="1"/>
  <c r="LQ7" i="26"/>
  <c r="LR7" i="26" s="1"/>
  <c r="LJ7" i="26"/>
  <c r="LK7" i="26" s="1"/>
  <c r="LE7" i="26"/>
  <c r="LF7" i="26" s="1"/>
  <c r="KZ7" i="26"/>
  <c r="LA7" i="26" s="1"/>
  <c r="KS7" i="26"/>
  <c r="KT7" i="26" s="1"/>
  <c r="KN7" i="26"/>
  <c r="KO7" i="26" s="1"/>
  <c r="KI7" i="26"/>
  <c r="KJ7" i="26" s="1"/>
  <c r="KB7" i="26"/>
  <c r="KC7" i="26" s="1"/>
  <c r="JW7" i="26"/>
  <c r="JX7" i="26" s="1"/>
  <c r="JR7" i="26"/>
  <c r="JS7" i="26" s="1"/>
  <c r="JK7" i="26"/>
  <c r="JL7" i="26" s="1"/>
  <c r="JF7" i="26"/>
  <c r="JG7" i="26" s="1"/>
  <c r="JA7" i="26"/>
  <c r="JB7" i="26" s="1"/>
  <c r="IT7" i="26"/>
  <c r="IU7" i="26" s="1"/>
  <c r="IO7" i="26"/>
  <c r="IP7" i="26" s="1"/>
  <c r="IJ7" i="26"/>
  <c r="IK7" i="26" s="1"/>
  <c r="IC7" i="26"/>
  <c r="ID7" i="26" s="1"/>
  <c r="HX7" i="26"/>
  <c r="HY7" i="26" s="1"/>
  <c r="HS7" i="26"/>
  <c r="HT7" i="26" s="1"/>
  <c r="HL7" i="26"/>
  <c r="HM7" i="26" s="1"/>
  <c r="HG7" i="26"/>
  <c r="HH7" i="26" s="1"/>
  <c r="HB7" i="26"/>
  <c r="HC7" i="26" s="1"/>
  <c r="GU7" i="26"/>
  <c r="GV7" i="26" s="1"/>
  <c r="GP7" i="26"/>
  <c r="GQ7" i="26" s="1"/>
  <c r="GK7" i="26"/>
  <c r="GL7" i="26" s="1"/>
  <c r="GD7" i="26"/>
  <c r="GE7" i="26" s="1"/>
  <c r="FY7" i="26"/>
  <c r="FZ7" i="26" s="1"/>
  <c r="FT7" i="26"/>
  <c r="FU7" i="26" s="1"/>
  <c r="FM7" i="26"/>
  <c r="FN7" i="26" s="1"/>
  <c r="FH7" i="26"/>
  <c r="FI7" i="26" s="1"/>
  <c r="FC7" i="26"/>
  <c r="FD7" i="26" s="1"/>
  <c r="EV7" i="26"/>
  <c r="EW7" i="26" s="1"/>
  <c r="EQ7" i="26"/>
  <c r="ER7" i="26" s="1"/>
  <c r="EL7" i="26"/>
  <c r="EM7" i="26" s="1"/>
  <c r="EE7" i="26"/>
  <c r="EF7" i="26" s="1"/>
  <c r="DZ7" i="26"/>
  <c r="EA7" i="26" s="1"/>
  <c r="DU7" i="26"/>
  <c r="DV7" i="26" s="1"/>
  <c r="DN7" i="26"/>
  <c r="DO7" i="26" s="1"/>
  <c r="DI7" i="26"/>
  <c r="DJ7" i="26" s="1"/>
  <c r="DD7" i="26"/>
  <c r="DE7" i="26" s="1"/>
  <c r="CW7" i="26"/>
  <c r="CX7" i="26" s="1"/>
  <c r="CR7" i="26"/>
  <c r="CS7" i="26" s="1"/>
  <c r="CM7" i="26"/>
  <c r="CN7" i="26" s="1"/>
  <c r="CF7" i="26"/>
  <c r="CG7" i="26" s="1"/>
  <c r="CA7" i="26"/>
  <c r="CB7" i="26" s="1"/>
  <c r="BV7" i="26"/>
  <c r="BW7" i="26" s="1"/>
  <c r="BO7" i="26"/>
  <c r="BP7" i="26" s="1"/>
  <c r="BJ7" i="26"/>
  <c r="BK7" i="26" s="1"/>
  <c r="BE7" i="26"/>
  <c r="BF7" i="26" s="1"/>
  <c r="AX7" i="26"/>
  <c r="AY7" i="26" s="1"/>
  <c r="AS7" i="26"/>
  <c r="AT7" i="26" s="1"/>
  <c r="AN7" i="26"/>
  <c r="AO7" i="26" s="1"/>
  <c r="AG7" i="26"/>
  <c r="AH7" i="26" s="1"/>
  <c r="AB7" i="26"/>
  <c r="AC7" i="26" s="1"/>
  <c r="W7" i="26"/>
  <c r="X7" i="26" s="1"/>
  <c r="P7" i="26"/>
  <c r="Q7" i="26" s="1"/>
  <c r="K7" i="26"/>
  <c r="L7" i="26" s="1"/>
  <c r="F7" i="26"/>
  <c r="G7" i="26" s="1"/>
  <c r="SO6" i="26"/>
  <c r="SP6" i="26" s="1"/>
  <c r="SJ6" i="26"/>
  <c r="SK6" i="26" s="1"/>
  <c r="SE6" i="26"/>
  <c r="SF6" i="26" s="1"/>
  <c r="RX6" i="26"/>
  <c r="RY6" i="26" s="1"/>
  <c r="RS6" i="26"/>
  <c r="RT6" i="26" s="1"/>
  <c r="RN6" i="26"/>
  <c r="RO6" i="26" s="1"/>
  <c r="RG6" i="26"/>
  <c r="RH6" i="26" s="1"/>
  <c r="RB6" i="26"/>
  <c r="RC6" i="26" s="1"/>
  <c r="QW6" i="26"/>
  <c r="QX6" i="26" s="1"/>
  <c r="QP6" i="26"/>
  <c r="QQ6" i="26" s="1"/>
  <c r="QK6" i="26"/>
  <c r="QL6" i="26" s="1"/>
  <c r="QF6" i="26"/>
  <c r="QG6" i="26" s="1"/>
  <c r="PY6" i="26"/>
  <c r="PZ6" i="26" s="1"/>
  <c r="PT6" i="26"/>
  <c r="PU6" i="26" s="1"/>
  <c r="PO6" i="26"/>
  <c r="PP6" i="26" s="1"/>
  <c r="PH6" i="26"/>
  <c r="PI6" i="26" s="1"/>
  <c r="PC6" i="26"/>
  <c r="PD6" i="26" s="1"/>
  <c r="OX6" i="26"/>
  <c r="OY6" i="26" s="1"/>
  <c r="OQ6" i="26"/>
  <c r="OR6" i="26" s="1"/>
  <c r="OL6" i="26"/>
  <c r="OM6" i="26" s="1"/>
  <c r="OG6" i="26"/>
  <c r="OH6" i="26" s="1"/>
  <c r="NZ6" i="26"/>
  <c r="OA6" i="26" s="1"/>
  <c r="NU6" i="26"/>
  <c r="NV6" i="26" s="1"/>
  <c r="NP6" i="26"/>
  <c r="NQ6" i="26" s="1"/>
  <c r="NI6" i="26"/>
  <c r="NJ6" i="26" s="1"/>
  <c r="ND6" i="26"/>
  <c r="NE6" i="26" s="1"/>
  <c r="MY6" i="26"/>
  <c r="MZ6" i="26" s="1"/>
  <c r="MR6" i="26"/>
  <c r="MS6" i="26" s="1"/>
  <c r="MN6" i="26"/>
  <c r="MM6" i="26"/>
  <c r="MH6" i="26"/>
  <c r="MT6" i="26" s="1"/>
  <c r="MU6" i="26" s="1"/>
  <c r="MB6" i="26"/>
  <c r="MA6" i="26"/>
  <c r="LV6" i="26"/>
  <c r="LW6" i="26" s="1"/>
  <c r="LR6" i="26"/>
  <c r="LQ6" i="26"/>
  <c r="LJ6" i="26"/>
  <c r="LK6" i="26" s="1"/>
  <c r="LF6" i="26"/>
  <c r="LE6" i="26"/>
  <c r="KZ6" i="26"/>
  <c r="LL6" i="26" s="1"/>
  <c r="LM6" i="26" s="1"/>
  <c r="KT6" i="26"/>
  <c r="KS6" i="26"/>
  <c r="KN6" i="26"/>
  <c r="KO6" i="26" s="1"/>
  <c r="KJ6" i="26"/>
  <c r="KI6" i="26"/>
  <c r="KB6" i="26"/>
  <c r="KC6" i="26" s="1"/>
  <c r="JX6" i="26"/>
  <c r="JW6" i="26"/>
  <c r="JR6" i="26"/>
  <c r="KD6" i="26" s="1"/>
  <c r="KE6" i="26" s="1"/>
  <c r="JL6" i="26"/>
  <c r="JK6" i="26"/>
  <c r="JF6" i="26"/>
  <c r="JG6" i="26" s="1"/>
  <c r="JB6" i="26"/>
  <c r="JA6" i="26"/>
  <c r="IT6" i="26"/>
  <c r="IU6" i="26" s="1"/>
  <c r="IP6" i="26"/>
  <c r="IO6" i="26"/>
  <c r="IJ6" i="26"/>
  <c r="IV6" i="26" s="1"/>
  <c r="IW6" i="26" s="1"/>
  <c r="ID6" i="26"/>
  <c r="IC6" i="26"/>
  <c r="HX6" i="26"/>
  <c r="HY6" i="26" s="1"/>
  <c r="HT6" i="26"/>
  <c r="HS6" i="26"/>
  <c r="HL6" i="26"/>
  <c r="HM6" i="26" s="1"/>
  <c r="HH6" i="26"/>
  <c r="HG6" i="26"/>
  <c r="HB6" i="26"/>
  <c r="HN6" i="26" s="1"/>
  <c r="HO6" i="26" s="1"/>
  <c r="GV6" i="26"/>
  <c r="GU6" i="26"/>
  <c r="GP6" i="26"/>
  <c r="GQ6" i="26" s="1"/>
  <c r="GL6" i="26"/>
  <c r="GK6" i="26"/>
  <c r="GD6" i="26"/>
  <c r="GE6" i="26" s="1"/>
  <c r="FZ6" i="26"/>
  <c r="FY6" i="26"/>
  <c r="FT6" i="26"/>
  <c r="GF6" i="26" s="1"/>
  <c r="GG6" i="26" s="1"/>
  <c r="FN6" i="26"/>
  <c r="FM6" i="26"/>
  <c r="FH6" i="26"/>
  <c r="FI6" i="26" s="1"/>
  <c r="FD6" i="26"/>
  <c r="FC6" i="26"/>
  <c r="EV6" i="26"/>
  <c r="EW6" i="26" s="1"/>
  <c r="ER6" i="26"/>
  <c r="EQ6" i="26"/>
  <c r="EL6" i="26"/>
  <c r="EX6" i="26" s="1"/>
  <c r="EY6" i="26" s="1"/>
  <c r="EF6" i="26"/>
  <c r="EE6" i="26"/>
  <c r="DZ6" i="26"/>
  <c r="EA6" i="26" s="1"/>
  <c r="DV6" i="26"/>
  <c r="DU6" i="26"/>
  <c r="DN6" i="26"/>
  <c r="DO6" i="26" s="1"/>
  <c r="DJ6" i="26"/>
  <c r="DI6" i="26"/>
  <c r="DD6" i="26"/>
  <c r="DP6" i="26" s="1"/>
  <c r="DQ6" i="26" s="1"/>
  <c r="CX6" i="26"/>
  <c r="CW6" i="26"/>
  <c r="CR6" i="26"/>
  <c r="CS6" i="26" s="1"/>
  <c r="CN6" i="26"/>
  <c r="CM6" i="26"/>
  <c r="CF6" i="26"/>
  <c r="CG6" i="26" s="1"/>
  <c r="CB6" i="26"/>
  <c r="CA6" i="26"/>
  <c r="BV6" i="26"/>
  <c r="CH6" i="26" s="1"/>
  <c r="CI6" i="26" s="1"/>
  <c r="BP6" i="26"/>
  <c r="BO6" i="26"/>
  <c r="BJ6" i="26"/>
  <c r="BK6" i="26" s="1"/>
  <c r="BF6" i="26"/>
  <c r="BE6" i="26"/>
  <c r="AX6" i="26"/>
  <c r="AY6" i="26" s="1"/>
  <c r="AT6" i="26"/>
  <c r="AS6" i="26"/>
  <c r="AN6" i="26"/>
  <c r="AZ6" i="26" s="1"/>
  <c r="BA6" i="26" s="1"/>
  <c r="AH6" i="26"/>
  <c r="AG6" i="26"/>
  <c r="AB6" i="26"/>
  <c r="AC6" i="26" s="1"/>
  <c r="X6" i="26"/>
  <c r="W6" i="26"/>
  <c r="P6" i="26"/>
  <c r="Q6" i="26" s="1"/>
  <c r="L6" i="26"/>
  <c r="K6" i="26"/>
  <c r="F6" i="26"/>
  <c r="R6" i="26" s="1"/>
  <c r="S6" i="26" s="1"/>
  <c r="SP5" i="26"/>
  <c r="SO5" i="26"/>
  <c r="SJ5" i="26"/>
  <c r="SK5" i="26" s="1"/>
  <c r="SE5" i="26"/>
  <c r="SQ5" i="26" s="1"/>
  <c r="SR5" i="26" s="1"/>
  <c r="RX5" i="26"/>
  <c r="RY5" i="26" s="1"/>
  <c r="RS5" i="26"/>
  <c r="RT5" i="26" s="1"/>
  <c r="RN5" i="26"/>
  <c r="RG5" i="26"/>
  <c r="RH5" i="26" s="1"/>
  <c r="RB5" i="26"/>
  <c r="RC5" i="26" s="1"/>
  <c r="QW5" i="26"/>
  <c r="QP5" i="26"/>
  <c r="QQ5" i="26" s="1"/>
  <c r="QK5" i="26"/>
  <c r="QL5" i="26" s="1"/>
  <c r="QF5" i="26"/>
  <c r="PY5" i="26"/>
  <c r="PZ5" i="26" s="1"/>
  <c r="PT5" i="26"/>
  <c r="PU5" i="26" s="1"/>
  <c r="PO5" i="26"/>
  <c r="PH5" i="26"/>
  <c r="PI5" i="26" s="1"/>
  <c r="PC5" i="26"/>
  <c r="PD5" i="26" s="1"/>
  <c r="OX5" i="26"/>
  <c r="OQ5" i="26"/>
  <c r="OR5" i="26" s="1"/>
  <c r="OL5" i="26"/>
  <c r="OM5" i="26" s="1"/>
  <c r="OG5" i="26"/>
  <c r="NZ5" i="26"/>
  <c r="OA5" i="26" s="1"/>
  <c r="NU5" i="26"/>
  <c r="NV5" i="26" s="1"/>
  <c r="NP5" i="26"/>
  <c r="NI5" i="26"/>
  <c r="NJ5" i="26" s="1"/>
  <c r="ND5" i="26"/>
  <c r="NE5" i="26" s="1"/>
  <c r="MY5" i="26"/>
  <c r="MR5" i="26"/>
  <c r="MS5" i="26" s="1"/>
  <c r="MM5" i="26"/>
  <c r="MN5" i="26" s="1"/>
  <c r="MH5" i="26"/>
  <c r="MA5" i="26"/>
  <c r="MB5" i="26" s="1"/>
  <c r="LV5" i="26"/>
  <c r="LW5" i="26" s="1"/>
  <c r="LQ5" i="26"/>
  <c r="LJ5" i="26"/>
  <c r="LK5" i="26" s="1"/>
  <c r="LE5" i="26"/>
  <c r="LF5" i="26" s="1"/>
  <c r="KZ5" i="26"/>
  <c r="KS5" i="26"/>
  <c r="KT5" i="26" s="1"/>
  <c r="KN5" i="26"/>
  <c r="KO5" i="26" s="1"/>
  <c r="KI5" i="26"/>
  <c r="KB5" i="26"/>
  <c r="KC5" i="26" s="1"/>
  <c r="JW5" i="26"/>
  <c r="JX5" i="26" s="1"/>
  <c r="JR5" i="26"/>
  <c r="JK5" i="26"/>
  <c r="JL5" i="26" s="1"/>
  <c r="JF5" i="26"/>
  <c r="JG5" i="26" s="1"/>
  <c r="JA5" i="26"/>
  <c r="IT5" i="26"/>
  <c r="IU5" i="26" s="1"/>
  <c r="IO5" i="26"/>
  <c r="IP5" i="26" s="1"/>
  <c r="IJ5" i="26"/>
  <c r="IC5" i="26"/>
  <c r="ID5" i="26" s="1"/>
  <c r="HX5" i="26"/>
  <c r="HY5" i="26" s="1"/>
  <c r="HS5" i="26"/>
  <c r="IE5" i="26" s="1"/>
  <c r="IF5" i="26" s="1"/>
  <c r="HL5" i="26"/>
  <c r="HM5" i="26" s="1"/>
  <c r="HG5" i="26"/>
  <c r="HH5" i="26" s="1"/>
  <c r="HB5" i="26"/>
  <c r="HN5" i="26" s="1"/>
  <c r="HO5" i="26" s="1"/>
  <c r="GU5" i="26"/>
  <c r="GV5" i="26" s="1"/>
  <c r="GP5" i="26"/>
  <c r="GQ5" i="26" s="1"/>
  <c r="GK5" i="26"/>
  <c r="GD5" i="26"/>
  <c r="GE5" i="26" s="1"/>
  <c r="FY5" i="26"/>
  <c r="FZ5" i="26" s="1"/>
  <c r="FT5" i="26"/>
  <c r="FM5" i="26"/>
  <c r="FN5" i="26" s="1"/>
  <c r="FH5" i="26"/>
  <c r="FI5" i="26" s="1"/>
  <c r="FC5" i="26"/>
  <c r="FD5" i="26" s="1"/>
  <c r="EV5" i="26"/>
  <c r="EW5" i="26" s="1"/>
  <c r="EQ5" i="26"/>
  <c r="ER5" i="26" s="1"/>
  <c r="EL5" i="26"/>
  <c r="EX5" i="26" s="1"/>
  <c r="EY5" i="26" s="1"/>
  <c r="EE5" i="26"/>
  <c r="EF5" i="26" s="1"/>
  <c r="DZ5" i="26"/>
  <c r="EA5" i="26" s="1"/>
  <c r="DU5" i="26"/>
  <c r="DV5" i="26" s="1"/>
  <c r="DN5" i="26"/>
  <c r="DO5" i="26" s="1"/>
  <c r="DI5" i="26"/>
  <c r="DJ5" i="26" s="1"/>
  <c r="DD5" i="26"/>
  <c r="CW5" i="26"/>
  <c r="CX5" i="26" s="1"/>
  <c r="CR5" i="26"/>
  <c r="CS5" i="26" s="1"/>
  <c r="CM5" i="26"/>
  <c r="CN5" i="26" s="1"/>
  <c r="CF5" i="26"/>
  <c r="CG5" i="26" s="1"/>
  <c r="CA5" i="26"/>
  <c r="CB5" i="26" s="1"/>
  <c r="BV5" i="26"/>
  <c r="CH5" i="26" s="1"/>
  <c r="CI5" i="26" s="1"/>
  <c r="BO5" i="26"/>
  <c r="BP5" i="26" s="1"/>
  <c r="BJ5" i="26"/>
  <c r="BK5" i="26" s="1"/>
  <c r="BE5" i="26"/>
  <c r="BF5" i="26" s="1"/>
  <c r="AX5" i="26"/>
  <c r="AY5" i="26" s="1"/>
  <c r="AS5" i="26"/>
  <c r="AT5" i="26" s="1"/>
  <c r="AN5" i="26"/>
  <c r="AG5" i="26"/>
  <c r="AH5" i="26" s="1"/>
  <c r="AB5" i="26"/>
  <c r="AC5" i="26" s="1"/>
  <c r="W5" i="26"/>
  <c r="X5" i="26" s="1"/>
  <c r="P5" i="26"/>
  <c r="Q5" i="26" s="1"/>
  <c r="K5" i="26"/>
  <c r="L5" i="26" s="1"/>
  <c r="F5" i="26"/>
  <c r="R5" i="26" s="1"/>
  <c r="S5" i="26" s="1"/>
  <c r="SQ4" i="26"/>
  <c r="SR4" i="26" s="1"/>
  <c r="SO4" i="26"/>
  <c r="SP4" i="26" s="1"/>
  <c r="SJ4" i="26"/>
  <c r="SK4" i="26" s="1"/>
  <c r="SE4" i="26"/>
  <c r="SF4" i="26" s="1"/>
  <c r="RZ4" i="26"/>
  <c r="SA4" i="26" s="1"/>
  <c r="RX4" i="26"/>
  <c r="RY4" i="26" s="1"/>
  <c r="RS4" i="26"/>
  <c r="RT4" i="26" s="1"/>
  <c r="RN4" i="26"/>
  <c r="RO4" i="26" s="1"/>
  <c r="RI4" i="26"/>
  <c r="RJ4" i="26" s="1"/>
  <c r="RG4" i="26"/>
  <c r="RH4" i="26" s="1"/>
  <c r="RB4" i="26"/>
  <c r="RC4" i="26" s="1"/>
  <c r="QW4" i="26"/>
  <c r="QX4" i="26" s="1"/>
  <c r="QR4" i="26"/>
  <c r="QS4" i="26" s="1"/>
  <c r="QP4" i="26"/>
  <c r="QQ4" i="26" s="1"/>
  <c r="QK4" i="26"/>
  <c r="QL4" i="26" s="1"/>
  <c r="QF4" i="26"/>
  <c r="QG4" i="26" s="1"/>
  <c r="QA4" i="26"/>
  <c r="QB4" i="26" s="1"/>
  <c r="PY4" i="26"/>
  <c r="PZ4" i="26" s="1"/>
  <c r="PT4" i="26"/>
  <c r="PU4" i="26" s="1"/>
  <c r="PO4" i="26"/>
  <c r="PP4" i="26" s="1"/>
  <c r="PJ4" i="26"/>
  <c r="PK4" i="26" s="1"/>
  <c r="PH4" i="26"/>
  <c r="PI4" i="26" s="1"/>
  <c r="PC4" i="26"/>
  <c r="PD4" i="26" s="1"/>
  <c r="OX4" i="26"/>
  <c r="OY4" i="26" s="1"/>
  <c r="OS4" i="26"/>
  <c r="OT4" i="26" s="1"/>
  <c r="OQ4" i="26"/>
  <c r="OR4" i="26" s="1"/>
  <c r="OL4" i="26"/>
  <c r="OM4" i="26" s="1"/>
  <c r="OG4" i="26"/>
  <c r="OH4" i="26" s="1"/>
  <c r="OB4" i="26"/>
  <c r="OC4" i="26" s="1"/>
  <c r="NZ4" i="26"/>
  <c r="OA4" i="26" s="1"/>
  <c r="NU4" i="26"/>
  <c r="NV4" i="26" s="1"/>
  <c r="NP4" i="26"/>
  <c r="NQ4" i="26" s="1"/>
  <c r="NK4" i="26"/>
  <c r="NL4" i="26" s="1"/>
  <c r="NI4" i="26"/>
  <c r="NJ4" i="26" s="1"/>
  <c r="ND4" i="26"/>
  <c r="NE4" i="26" s="1"/>
  <c r="MY4" i="26"/>
  <c r="MZ4" i="26" s="1"/>
  <c r="MT4" i="26"/>
  <c r="MU4" i="26" s="1"/>
  <c r="MR4" i="26"/>
  <c r="MS4" i="26" s="1"/>
  <c r="MM4" i="26"/>
  <c r="MN4" i="26" s="1"/>
  <c r="MH4" i="26"/>
  <c r="MI4" i="26" s="1"/>
  <c r="MC4" i="26"/>
  <c r="MD4" i="26" s="1"/>
  <c r="MA4" i="26"/>
  <c r="MB4" i="26" s="1"/>
  <c r="LV4" i="26"/>
  <c r="LW4" i="26" s="1"/>
  <c r="LQ4" i="26"/>
  <c r="LR4" i="26" s="1"/>
  <c r="LL4" i="26"/>
  <c r="LM4" i="26" s="1"/>
  <c r="LJ4" i="26"/>
  <c r="LK4" i="26" s="1"/>
  <c r="LE4" i="26"/>
  <c r="LF4" i="26" s="1"/>
  <c r="KZ4" i="26"/>
  <c r="LA4" i="26" s="1"/>
  <c r="KU4" i="26"/>
  <c r="KV4" i="26" s="1"/>
  <c r="KS4" i="26"/>
  <c r="KT4" i="26" s="1"/>
  <c r="KN4" i="26"/>
  <c r="KO4" i="26" s="1"/>
  <c r="KI4" i="26"/>
  <c r="KJ4" i="26" s="1"/>
  <c r="KD4" i="26"/>
  <c r="KE4" i="26" s="1"/>
  <c r="KB4" i="26"/>
  <c r="KC4" i="26" s="1"/>
  <c r="JW4" i="26"/>
  <c r="JX4" i="26" s="1"/>
  <c r="JR4" i="26"/>
  <c r="JS4" i="26" s="1"/>
  <c r="JM4" i="26"/>
  <c r="JN4" i="26" s="1"/>
  <c r="JK4" i="26"/>
  <c r="JL4" i="26" s="1"/>
  <c r="JF4" i="26"/>
  <c r="JG4" i="26" s="1"/>
  <c r="JA4" i="26"/>
  <c r="JB4" i="26" s="1"/>
  <c r="IV4" i="26"/>
  <c r="IW4" i="26" s="1"/>
  <c r="IT4" i="26"/>
  <c r="IU4" i="26" s="1"/>
  <c r="IO4" i="26"/>
  <c r="IP4" i="26" s="1"/>
  <c r="IJ4" i="26"/>
  <c r="IK4" i="26" s="1"/>
  <c r="IE4" i="26"/>
  <c r="IF4" i="26" s="1"/>
  <c r="IC4" i="26"/>
  <c r="ID4" i="26" s="1"/>
  <c r="HX4" i="26"/>
  <c r="HY4" i="26" s="1"/>
  <c r="HS4" i="26"/>
  <c r="HT4" i="26" s="1"/>
  <c r="HN4" i="26"/>
  <c r="HO4" i="26" s="1"/>
  <c r="HL4" i="26"/>
  <c r="HM4" i="26" s="1"/>
  <c r="HG4" i="26"/>
  <c r="HH4" i="26" s="1"/>
  <c r="HB4" i="26"/>
  <c r="HC4" i="26" s="1"/>
  <c r="GW4" i="26"/>
  <c r="GX4" i="26" s="1"/>
  <c r="GU4" i="26"/>
  <c r="GV4" i="26" s="1"/>
  <c r="GP4" i="26"/>
  <c r="GQ4" i="26" s="1"/>
  <c r="GK4" i="26"/>
  <c r="GL4" i="26" s="1"/>
  <c r="GF4" i="26"/>
  <c r="GG4" i="26" s="1"/>
  <c r="GD4" i="26"/>
  <c r="GE4" i="26" s="1"/>
  <c r="FY4" i="26"/>
  <c r="FZ4" i="26" s="1"/>
  <c r="FT4" i="26"/>
  <c r="FU4" i="26" s="1"/>
  <c r="FO4" i="26"/>
  <c r="FP4" i="26" s="1"/>
  <c r="FM4" i="26"/>
  <c r="FN4" i="26" s="1"/>
  <c r="FH4" i="26"/>
  <c r="FI4" i="26" s="1"/>
  <c r="FC4" i="26"/>
  <c r="FD4" i="26" s="1"/>
  <c r="EX4" i="26"/>
  <c r="EY4" i="26" s="1"/>
  <c r="EV4" i="26"/>
  <c r="EW4" i="26" s="1"/>
  <c r="EQ4" i="26"/>
  <c r="ER4" i="26" s="1"/>
  <c r="EL4" i="26"/>
  <c r="EM4" i="26" s="1"/>
  <c r="EG4" i="26"/>
  <c r="EH4" i="26" s="1"/>
  <c r="EE4" i="26"/>
  <c r="EF4" i="26" s="1"/>
  <c r="DZ4" i="26"/>
  <c r="EA4" i="26" s="1"/>
  <c r="DU4" i="26"/>
  <c r="DV4" i="26" s="1"/>
  <c r="DP4" i="26"/>
  <c r="DQ4" i="26" s="1"/>
  <c r="DN4" i="26"/>
  <c r="DO4" i="26" s="1"/>
  <c r="DI4" i="26"/>
  <c r="DJ4" i="26" s="1"/>
  <c r="DD4" i="26"/>
  <c r="DE4" i="26" s="1"/>
  <c r="CY4" i="26"/>
  <c r="CZ4" i="26" s="1"/>
  <c r="CW4" i="26"/>
  <c r="CX4" i="26" s="1"/>
  <c r="CR4" i="26"/>
  <c r="CS4" i="26" s="1"/>
  <c r="CM4" i="26"/>
  <c r="CN4" i="26" s="1"/>
  <c r="CH4" i="26"/>
  <c r="CI4" i="26" s="1"/>
  <c r="CF4" i="26"/>
  <c r="CG4" i="26" s="1"/>
  <c r="CA4" i="26"/>
  <c r="CB4" i="26" s="1"/>
  <c r="BV4" i="26"/>
  <c r="BW4" i="26" s="1"/>
  <c r="BQ4" i="26"/>
  <c r="BR4" i="26" s="1"/>
  <c r="BO4" i="26"/>
  <c r="BP4" i="26" s="1"/>
  <c r="BJ4" i="26"/>
  <c r="BK4" i="26" s="1"/>
  <c r="BE4" i="26"/>
  <c r="BF4" i="26" s="1"/>
  <c r="AZ4" i="26"/>
  <c r="BA4" i="26" s="1"/>
  <c r="AX4" i="26"/>
  <c r="AY4" i="26" s="1"/>
  <c r="AS4" i="26"/>
  <c r="AT4" i="26" s="1"/>
  <c r="AN4" i="26"/>
  <c r="AO4" i="26" s="1"/>
  <c r="AI4" i="26"/>
  <c r="AJ4" i="26" s="1"/>
  <c r="AG4" i="26"/>
  <c r="AH4" i="26" s="1"/>
  <c r="AB4" i="26"/>
  <c r="AC4" i="26" s="1"/>
  <c r="W4" i="26"/>
  <c r="X4" i="26" s="1"/>
  <c r="R4" i="26"/>
  <c r="S4" i="26" s="1"/>
  <c r="P4" i="26"/>
  <c r="Q4" i="26" s="1"/>
  <c r="K4" i="26"/>
  <c r="L4" i="26" s="1"/>
  <c r="F4" i="26"/>
  <c r="G4" i="26" s="1"/>
  <c r="AM3" i="26"/>
  <c r="BD3" i="26" s="1"/>
  <c r="BU3" i="26" s="1"/>
  <c r="CL3" i="26" s="1"/>
  <c r="DC3" i="26" s="1"/>
  <c r="DT3" i="26" s="1"/>
  <c r="EK3" i="26" s="1"/>
  <c r="FB3" i="26" s="1"/>
  <c r="FS3" i="26" s="1"/>
  <c r="GJ3" i="26" s="1"/>
  <c r="HA3" i="26" s="1"/>
  <c r="HR3" i="26" s="1"/>
  <c r="II3" i="26" s="1"/>
  <c r="IZ3" i="26" s="1"/>
  <c r="JQ3" i="26" s="1"/>
  <c r="KH3" i="26" s="1"/>
  <c r="KY3" i="26" s="1"/>
  <c r="LP3" i="26" s="1"/>
  <c r="MG3" i="26" s="1"/>
  <c r="MX3" i="26" s="1"/>
  <c r="NO3" i="26" s="1"/>
  <c r="OF3" i="26" s="1"/>
  <c r="OW3" i="26" s="1"/>
  <c r="PN3" i="26" s="1"/>
  <c r="QE3" i="26" s="1"/>
  <c r="QV3" i="26" s="1"/>
  <c r="RM3" i="26" s="1"/>
  <c r="SD3" i="26" s="1"/>
  <c r="AF3" i="26"/>
  <c r="AW3" i="26" s="1"/>
  <c r="BN3" i="26" s="1"/>
  <c r="CE3" i="26" s="1"/>
  <c r="CV3" i="26" s="1"/>
  <c r="DM3" i="26" s="1"/>
  <c r="ED3" i="26" s="1"/>
  <c r="EU3" i="26" s="1"/>
  <c r="FL3" i="26" s="1"/>
  <c r="GC3" i="26" s="1"/>
  <c r="GT3" i="26" s="1"/>
  <c r="HK3" i="26" s="1"/>
  <c r="IB3" i="26" s="1"/>
  <c r="IS3" i="26" s="1"/>
  <c r="JJ3" i="26" s="1"/>
  <c r="KA3" i="26" s="1"/>
  <c r="KR3" i="26" s="1"/>
  <c r="LI3" i="26" s="1"/>
  <c r="LZ3" i="26" s="1"/>
  <c r="MQ3" i="26" s="1"/>
  <c r="NH3" i="26" s="1"/>
  <c r="NY3" i="26" s="1"/>
  <c r="OP3" i="26" s="1"/>
  <c r="PG3" i="26" s="1"/>
  <c r="PX3" i="26" s="1"/>
  <c r="QO3" i="26" s="1"/>
  <c r="RF3" i="26" s="1"/>
  <c r="RW3" i="26" s="1"/>
  <c r="SN3" i="26" s="1"/>
  <c r="AE3" i="26"/>
  <c r="AV3" i="26" s="1"/>
  <c r="BM3" i="26" s="1"/>
  <c r="CD3" i="26" s="1"/>
  <c r="CU3" i="26" s="1"/>
  <c r="DL3" i="26" s="1"/>
  <c r="EC3" i="26" s="1"/>
  <c r="ET3" i="26" s="1"/>
  <c r="FK3" i="26" s="1"/>
  <c r="GB3" i="26" s="1"/>
  <c r="GS3" i="26" s="1"/>
  <c r="HJ3" i="26" s="1"/>
  <c r="IA3" i="26" s="1"/>
  <c r="IR3" i="26" s="1"/>
  <c r="JI3" i="26" s="1"/>
  <c r="JZ3" i="26" s="1"/>
  <c r="KQ3" i="26" s="1"/>
  <c r="LH3" i="26" s="1"/>
  <c r="LY3" i="26" s="1"/>
  <c r="MP3" i="26" s="1"/>
  <c r="NG3" i="26" s="1"/>
  <c r="NX3" i="26" s="1"/>
  <c r="OO3" i="26" s="1"/>
  <c r="PF3" i="26" s="1"/>
  <c r="PW3" i="26" s="1"/>
  <c r="QN3" i="26" s="1"/>
  <c r="RE3" i="26" s="1"/>
  <c r="RV3" i="26" s="1"/>
  <c r="SM3" i="26" s="1"/>
  <c r="AD3" i="26"/>
  <c r="AU3" i="26" s="1"/>
  <c r="BL3" i="26" s="1"/>
  <c r="CC3" i="26" s="1"/>
  <c r="CT3" i="26" s="1"/>
  <c r="DK3" i="26" s="1"/>
  <c r="EB3" i="26" s="1"/>
  <c r="ES3" i="26" s="1"/>
  <c r="FJ3" i="26" s="1"/>
  <c r="GA3" i="26" s="1"/>
  <c r="GR3" i="26" s="1"/>
  <c r="HI3" i="26" s="1"/>
  <c r="HZ3" i="26" s="1"/>
  <c r="IQ3" i="26" s="1"/>
  <c r="JH3" i="26" s="1"/>
  <c r="JY3" i="26" s="1"/>
  <c r="KP3" i="26" s="1"/>
  <c r="LG3" i="26" s="1"/>
  <c r="LX3" i="26" s="1"/>
  <c r="MO3" i="26" s="1"/>
  <c r="NF3" i="26" s="1"/>
  <c r="NW3" i="26" s="1"/>
  <c r="ON3" i="26" s="1"/>
  <c r="PE3" i="26" s="1"/>
  <c r="PV3" i="26" s="1"/>
  <c r="QM3" i="26" s="1"/>
  <c r="RD3" i="26" s="1"/>
  <c r="RU3" i="26" s="1"/>
  <c r="SL3" i="26" s="1"/>
  <c r="AA3" i="26"/>
  <c r="AR3" i="26" s="1"/>
  <c r="BI3" i="26" s="1"/>
  <c r="BZ3" i="26" s="1"/>
  <c r="CQ3" i="26" s="1"/>
  <c r="DH3" i="26" s="1"/>
  <c r="DY3" i="26" s="1"/>
  <c r="EP3" i="26" s="1"/>
  <c r="FG3" i="26" s="1"/>
  <c r="FX3" i="26" s="1"/>
  <c r="GO3" i="26" s="1"/>
  <c r="HF3" i="26" s="1"/>
  <c r="HW3" i="26" s="1"/>
  <c r="IN3" i="26" s="1"/>
  <c r="JE3" i="26" s="1"/>
  <c r="JV3" i="26" s="1"/>
  <c r="KM3" i="26" s="1"/>
  <c r="LD3" i="26" s="1"/>
  <c r="LU3" i="26" s="1"/>
  <c r="ML3" i="26" s="1"/>
  <c r="NC3" i="26" s="1"/>
  <c r="NT3" i="26" s="1"/>
  <c r="OK3" i="26" s="1"/>
  <c r="PB3" i="26" s="1"/>
  <c r="PS3" i="26" s="1"/>
  <c r="QJ3" i="26" s="1"/>
  <c r="RA3" i="26" s="1"/>
  <c r="RR3" i="26" s="1"/>
  <c r="SI3" i="26" s="1"/>
  <c r="Z3" i="26"/>
  <c r="AQ3" i="26" s="1"/>
  <c r="BH3" i="26" s="1"/>
  <c r="BY3" i="26" s="1"/>
  <c r="CP3" i="26" s="1"/>
  <c r="DG3" i="26" s="1"/>
  <c r="DX3" i="26" s="1"/>
  <c r="EO3" i="26" s="1"/>
  <c r="FF3" i="26" s="1"/>
  <c r="FW3" i="26" s="1"/>
  <c r="GN3" i="26" s="1"/>
  <c r="HE3" i="26" s="1"/>
  <c r="HV3" i="26" s="1"/>
  <c r="IM3" i="26" s="1"/>
  <c r="JD3" i="26" s="1"/>
  <c r="JU3" i="26" s="1"/>
  <c r="KL3" i="26" s="1"/>
  <c r="LC3" i="26" s="1"/>
  <c r="LT3" i="26" s="1"/>
  <c r="MK3" i="26" s="1"/>
  <c r="NB3" i="26" s="1"/>
  <c r="NS3" i="26" s="1"/>
  <c r="OJ3" i="26" s="1"/>
  <c r="PA3" i="26" s="1"/>
  <c r="PR3" i="26" s="1"/>
  <c r="QI3" i="26" s="1"/>
  <c r="QZ3" i="26" s="1"/>
  <c r="RQ3" i="26" s="1"/>
  <c r="SH3" i="26" s="1"/>
  <c r="Y3" i="26"/>
  <c r="AP3" i="26" s="1"/>
  <c r="BG3" i="26" s="1"/>
  <c r="BX3" i="26" s="1"/>
  <c r="CO3" i="26" s="1"/>
  <c r="DF3" i="26" s="1"/>
  <c r="DW3" i="26" s="1"/>
  <c r="EN3" i="26" s="1"/>
  <c r="FE3" i="26" s="1"/>
  <c r="FV3" i="26" s="1"/>
  <c r="GM3" i="26" s="1"/>
  <c r="HD3" i="26" s="1"/>
  <c r="HU3" i="26" s="1"/>
  <c r="IL3" i="26" s="1"/>
  <c r="JC3" i="26" s="1"/>
  <c r="JT3" i="26" s="1"/>
  <c r="KK3" i="26" s="1"/>
  <c r="LB3" i="26" s="1"/>
  <c r="LS3" i="26" s="1"/>
  <c r="MJ3" i="26" s="1"/>
  <c r="NA3" i="26" s="1"/>
  <c r="NR3" i="26" s="1"/>
  <c r="OI3" i="26" s="1"/>
  <c r="OZ3" i="26" s="1"/>
  <c r="PQ3" i="26" s="1"/>
  <c r="QH3" i="26" s="1"/>
  <c r="QY3" i="26" s="1"/>
  <c r="RP3" i="26" s="1"/>
  <c r="SG3" i="26" s="1"/>
  <c r="V3" i="26"/>
  <c r="U3" i="26"/>
  <c r="AL3" i="26" s="1"/>
  <c r="BC3" i="26" s="1"/>
  <c r="BT3" i="26" s="1"/>
  <c r="CK3" i="26" s="1"/>
  <c r="DB3" i="26" s="1"/>
  <c r="DS3" i="26" s="1"/>
  <c r="EJ3" i="26" s="1"/>
  <c r="FA3" i="26" s="1"/>
  <c r="FR3" i="26" s="1"/>
  <c r="GI3" i="26" s="1"/>
  <c r="GZ3" i="26" s="1"/>
  <c r="HQ3" i="26" s="1"/>
  <c r="IH3" i="26" s="1"/>
  <c r="IY3" i="26" s="1"/>
  <c r="JP3" i="26" s="1"/>
  <c r="KG3" i="26" s="1"/>
  <c r="KX3" i="26" s="1"/>
  <c r="LO3" i="26" s="1"/>
  <c r="MF3" i="26" s="1"/>
  <c r="MW3" i="26" s="1"/>
  <c r="NN3" i="26" s="1"/>
  <c r="OE3" i="26" s="1"/>
  <c r="OV3" i="26" s="1"/>
  <c r="PM3" i="26" s="1"/>
  <c r="QD3" i="26" s="1"/>
  <c r="QU3" i="26" s="1"/>
  <c r="RL3" i="26" s="1"/>
  <c r="SC3" i="26" s="1"/>
  <c r="T3" i="26"/>
  <c r="AK3" i="26" s="1"/>
  <c r="BB3" i="26" s="1"/>
  <c r="BS3" i="26" s="1"/>
  <c r="CJ3" i="26" s="1"/>
  <c r="DA3" i="26" s="1"/>
  <c r="DR3" i="26" s="1"/>
  <c r="EI3" i="26" s="1"/>
  <c r="EZ3" i="26" s="1"/>
  <c r="FQ3" i="26" s="1"/>
  <c r="GH3" i="26" s="1"/>
  <c r="GY3" i="26" s="1"/>
  <c r="HP3" i="26" s="1"/>
  <c r="IG3" i="26" s="1"/>
  <c r="IX3" i="26" s="1"/>
  <c r="JO3" i="26" s="1"/>
  <c r="KF3" i="26" s="1"/>
  <c r="KW3" i="26" s="1"/>
  <c r="LN3" i="26" s="1"/>
  <c r="ME3" i="26" s="1"/>
  <c r="MV3" i="26" s="1"/>
  <c r="NM3" i="26" s="1"/>
  <c r="OD3" i="26" s="1"/>
  <c r="OU3" i="26" s="1"/>
  <c r="PL3" i="26" s="1"/>
  <c r="QC3" i="26" s="1"/>
  <c r="QT3" i="26" s="1"/>
  <c r="RK3" i="26" s="1"/>
  <c r="SB3" i="26" s="1"/>
  <c r="T1" i="26"/>
  <c r="AK1" i="26" s="1"/>
  <c r="DP5" i="28" l="1"/>
  <c r="DQ5" i="28" s="1"/>
  <c r="CY12" i="28"/>
  <c r="CZ12" i="28" s="1"/>
  <c r="OS17" i="26"/>
  <c r="OT17" i="26" s="1"/>
  <c r="OH17" i="26"/>
  <c r="BQ18" i="26"/>
  <c r="BR18" i="26" s="1"/>
  <c r="LR19" i="26"/>
  <c r="MC19" i="26"/>
  <c r="MD19" i="26" s="1"/>
  <c r="OY19" i="26"/>
  <c r="RO19" i="26"/>
  <c r="R21" i="26"/>
  <c r="S21" i="26" s="1"/>
  <c r="NQ5" i="28"/>
  <c r="OB5" i="28"/>
  <c r="OC5" i="28" s="1"/>
  <c r="EX6" i="28"/>
  <c r="EY6" i="28" s="1"/>
  <c r="PU9" i="26"/>
  <c r="SF9" i="26"/>
  <c r="R14" i="26"/>
  <c r="S14" i="26" s="1"/>
  <c r="EG14" i="26"/>
  <c r="EH14" i="26" s="1"/>
  <c r="LL14" i="26"/>
  <c r="LM14" i="26" s="1"/>
  <c r="PU14" i="26"/>
  <c r="QR14" i="26"/>
  <c r="QS14" i="26" s="1"/>
  <c r="AC15" i="26"/>
  <c r="BK15" i="26"/>
  <c r="CS15" i="26"/>
  <c r="EA15" i="26"/>
  <c r="FI15" i="26"/>
  <c r="GQ15" i="26"/>
  <c r="HY15" i="26"/>
  <c r="JG15" i="26"/>
  <c r="SQ15" i="26"/>
  <c r="SR15" i="26" s="1"/>
  <c r="SK15" i="26"/>
  <c r="AI18" i="26"/>
  <c r="AJ18" i="26" s="1"/>
  <c r="EG18" i="26"/>
  <c r="EH18" i="26" s="1"/>
  <c r="QA19" i="26"/>
  <c r="QB19" i="26" s="1"/>
  <c r="PP19" i="26"/>
  <c r="SQ19" i="26"/>
  <c r="SR19" i="26" s="1"/>
  <c r="SF19" i="26"/>
  <c r="EM21" i="26"/>
  <c r="EX21" i="26"/>
  <c r="EY21" i="26" s="1"/>
  <c r="IV21" i="26"/>
  <c r="IW21" i="26" s="1"/>
  <c r="KD21" i="26"/>
  <c r="KE21" i="26" s="1"/>
  <c r="IV5" i="28"/>
  <c r="IW5" i="28" s="1"/>
  <c r="R6" i="28"/>
  <c r="S6" i="28" s="1"/>
  <c r="OY6" i="28"/>
  <c r="PJ6" i="28"/>
  <c r="PK6" i="28" s="1"/>
  <c r="GW5" i="26"/>
  <c r="GX5" i="26" s="1"/>
  <c r="G6" i="26"/>
  <c r="AO6" i="26"/>
  <c r="BW6" i="26"/>
  <c r="DE6" i="26"/>
  <c r="EM6" i="26"/>
  <c r="FU6" i="26"/>
  <c r="HC6" i="26"/>
  <c r="IK6" i="26"/>
  <c r="JS6" i="26"/>
  <c r="LA6" i="26"/>
  <c r="MI6" i="26"/>
  <c r="CH11" i="26"/>
  <c r="CI11" i="26" s="1"/>
  <c r="R15" i="26"/>
  <c r="S15" i="26" s="1"/>
  <c r="AZ15" i="26"/>
  <c r="BA15" i="26" s="1"/>
  <c r="CH15" i="26"/>
  <c r="CI15" i="26" s="1"/>
  <c r="DP15" i="26"/>
  <c r="DQ15" i="26" s="1"/>
  <c r="EX15" i="26"/>
  <c r="EY15" i="26" s="1"/>
  <c r="GF15" i="26"/>
  <c r="GG15" i="26" s="1"/>
  <c r="HN15" i="26"/>
  <c r="HO15" i="26" s="1"/>
  <c r="IV15" i="26"/>
  <c r="IW15" i="26" s="1"/>
  <c r="KD15" i="26"/>
  <c r="KE15" i="26" s="1"/>
  <c r="LL15" i="26"/>
  <c r="LM15" i="26" s="1"/>
  <c r="MT15" i="26"/>
  <c r="MU15" i="26" s="1"/>
  <c r="OB15" i="26"/>
  <c r="OC15" i="26" s="1"/>
  <c r="QL15" i="26"/>
  <c r="EA17" i="26"/>
  <c r="ER17" i="26"/>
  <c r="NK17" i="26"/>
  <c r="NL17" i="26" s="1"/>
  <c r="MZ17" i="26"/>
  <c r="FO18" i="26"/>
  <c r="FP18" i="26" s="1"/>
  <c r="MZ19" i="26"/>
  <c r="NK19" i="26"/>
  <c r="NL19" i="26" s="1"/>
  <c r="NQ19" i="26"/>
  <c r="QG19" i="26"/>
  <c r="DE21" i="26"/>
  <c r="DP21" i="26"/>
  <c r="DQ21" i="26" s="1"/>
  <c r="KD6" i="28"/>
  <c r="KE6" i="28" s="1"/>
  <c r="AZ5" i="26"/>
  <c r="BA5" i="26" s="1"/>
  <c r="DP5" i="26"/>
  <c r="DQ5" i="26" s="1"/>
  <c r="GF5" i="26"/>
  <c r="GG5" i="26" s="1"/>
  <c r="IV5" i="26"/>
  <c r="IW5" i="26" s="1"/>
  <c r="JM5" i="26"/>
  <c r="JN5" i="26" s="1"/>
  <c r="KD5" i="26"/>
  <c r="KE5" i="26" s="1"/>
  <c r="KU5" i="26"/>
  <c r="KV5" i="26" s="1"/>
  <c r="LL5" i="26"/>
  <c r="LM5" i="26" s="1"/>
  <c r="MC5" i="26"/>
  <c r="MD5" i="26" s="1"/>
  <c r="MT5" i="26"/>
  <c r="MU5" i="26" s="1"/>
  <c r="NK5" i="26"/>
  <c r="NL5" i="26" s="1"/>
  <c r="OB5" i="26"/>
  <c r="OC5" i="26" s="1"/>
  <c r="OS5" i="26"/>
  <c r="OT5" i="26" s="1"/>
  <c r="PJ5" i="26"/>
  <c r="PK5" i="26" s="1"/>
  <c r="QA5" i="26"/>
  <c r="QB5" i="26" s="1"/>
  <c r="QR5" i="26"/>
  <c r="QS5" i="26" s="1"/>
  <c r="RI5" i="26"/>
  <c r="RJ5" i="26" s="1"/>
  <c r="RZ5" i="26"/>
  <c r="SA5" i="26" s="1"/>
  <c r="AI6" i="26"/>
  <c r="AJ6" i="26" s="1"/>
  <c r="BQ6" i="26"/>
  <c r="BR6" i="26" s="1"/>
  <c r="CY6" i="26"/>
  <c r="CZ6" i="26" s="1"/>
  <c r="EG6" i="26"/>
  <c r="EH6" i="26" s="1"/>
  <c r="FO6" i="26"/>
  <c r="FP6" i="26" s="1"/>
  <c r="GW6" i="26"/>
  <c r="GX6" i="26" s="1"/>
  <c r="IE6" i="26"/>
  <c r="IF6" i="26" s="1"/>
  <c r="JM6" i="26"/>
  <c r="JN6" i="26" s="1"/>
  <c r="KU6" i="26"/>
  <c r="KV6" i="26" s="1"/>
  <c r="MC6" i="26"/>
  <c r="MD6" i="26" s="1"/>
  <c r="MT11" i="26"/>
  <c r="MU11" i="26" s="1"/>
  <c r="NK11" i="26"/>
  <c r="NL11" i="26" s="1"/>
  <c r="CY14" i="26"/>
  <c r="CZ14" i="26" s="1"/>
  <c r="EX14" i="26"/>
  <c r="EY14" i="26" s="1"/>
  <c r="FO14" i="26"/>
  <c r="FP14" i="26" s="1"/>
  <c r="MT14" i="26"/>
  <c r="MU14" i="26" s="1"/>
  <c r="RZ14" i="26"/>
  <c r="SA14" i="26" s="1"/>
  <c r="L15" i="26"/>
  <c r="AT15" i="26"/>
  <c r="CB15" i="26"/>
  <c r="DJ15" i="26"/>
  <c r="ER15" i="26"/>
  <c r="FZ15" i="26"/>
  <c r="HH15" i="26"/>
  <c r="IP15" i="26"/>
  <c r="JX15" i="26"/>
  <c r="LF15" i="26"/>
  <c r="MN15" i="26"/>
  <c r="NV15" i="26"/>
  <c r="QA15" i="26"/>
  <c r="QB15" i="26" s="1"/>
  <c r="RI15" i="26"/>
  <c r="RJ15" i="26" s="1"/>
  <c r="AI17" i="26"/>
  <c r="AJ17" i="26" s="1"/>
  <c r="MI19" i="26"/>
  <c r="MT19" i="26"/>
  <c r="MU19" i="26" s="1"/>
  <c r="OS19" i="26"/>
  <c r="OT19" i="26" s="1"/>
  <c r="OH19" i="26"/>
  <c r="RI19" i="26"/>
  <c r="RJ19" i="26" s="1"/>
  <c r="QX19" i="26"/>
  <c r="NQ21" i="26"/>
  <c r="OB21" i="26"/>
  <c r="OC21" i="26" s="1"/>
  <c r="AT7" i="28"/>
  <c r="AZ7" i="28"/>
  <c r="BA7" i="28" s="1"/>
  <c r="GF7" i="28"/>
  <c r="GG7" i="28" s="1"/>
  <c r="QG7" i="28"/>
  <c r="QR7" i="28"/>
  <c r="QS7" i="28" s="1"/>
  <c r="QR9" i="28"/>
  <c r="QS9" i="28" s="1"/>
  <c r="HN18" i="28"/>
  <c r="HO18" i="28" s="1"/>
  <c r="HC18" i="28"/>
  <c r="R18" i="28"/>
  <c r="S18" i="28" s="1"/>
  <c r="G18" i="28"/>
  <c r="ID18" i="28"/>
  <c r="IE18" i="28"/>
  <c r="IF18" i="28" s="1"/>
  <c r="NE18" i="28"/>
  <c r="NK18" i="28"/>
  <c r="NL18" i="28" s="1"/>
  <c r="GF17" i="26"/>
  <c r="GG17" i="26" s="1"/>
  <c r="MC17" i="26"/>
  <c r="MD17" i="26" s="1"/>
  <c r="SF9" i="28"/>
  <c r="EG11" i="28"/>
  <c r="EH11" i="28" s="1"/>
  <c r="JM11" i="28"/>
  <c r="JN11" i="28" s="1"/>
  <c r="OS11" i="28"/>
  <c r="OT11" i="28" s="1"/>
  <c r="JS15" i="28"/>
  <c r="LA15" i="28"/>
  <c r="MI15" i="28"/>
  <c r="CH18" i="28"/>
  <c r="CI18" i="28" s="1"/>
  <c r="BW18" i="28"/>
  <c r="BQ21" i="28"/>
  <c r="BR21" i="28" s="1"/>
  <c r="AI11" i="28"/>
  <c r="AJ11" i="28" s="1"/>
  <c r="FO11" i="28"/>
  <c r="FP11" i="28" s="1"/>
  <c r="KU11" i="28"/>
  <c r="KV11" i="28" s="1"/>
  <c r="QA11" i="28"/>
  <c r="QB11" i="28" s="1"/>
  <c r="RI11" i="28"/>
  <c r="RJ11" i="28" s="1"/>
  <c r="SQ11" i="28"/>
  <c r="SR11" i="28" s="1"/>
  <c r="AI12" i="28"/>
  <c r="AJ12" i="28" s="1"/>
  <c r="BQ12" i="28"/>
  <c r="BR12" i="28" s="1"/>
  <c r="R14" i="28"/>
  <c r="S14" i="28" s="1"/>
  <c r="AI14" i="28"/>
  <c r="AJ14" i="28" s="1"/>
  <c r="AZ14" i="28"/>
  <c r="BA14" i="28" s="1"/>
  <c r="BQ14" i="28"/>
  <c r="BR14" i="28" s="1"/>
  <c r="CH14" i="28"/>
  <c r="CI14" i="28" s="1"/>
  <c r="CY14" i="28"/>
  <c r="CZ14" i="28" s="1"/>
  <c r="DP14" i="28"/>
  <c r="DQ14" i="28" s="1"/>
  <c r="EG14" i="28"/>
  <c r="EH14" i="28" s="1"/>
  <c r="EX14" i="28"/>
  <c r="EY14" i="28" s="1"/>
  <c r="FO14" i="28"/>
  <c r="FP14" i="28" s="1"/>
  <c r="GF14" i="28"/>
  <c r="GG14" i="28" s="1"/>
  <c r="GW14" i="28"/>
  <c r="GX14" i="28" s="1"/>
  <c r="HN14" i="28"/>
  <c r="HO14" i="28" s="1"/>
  <c r="IE14" i="28"/>
  <c r="IF14" i="28" s="1"/>
  <c r="IV14" i="28"/>
  <c r="IW14" i="28" s="1"/>
  <c r="KD14" i="28"/>
  <c r="KE14" i="28" s="1"/>
  <c r="KU14" i="28"/>
  <c r="KV14" i="28" s="1"/>
  <c r="LL14" i="28"/>
  <c r="LM14" i="28" s="1"/>
  <c r="MC14" i="28"/>
  <c r="MD14" i="28" s="1"/>
  <c r="MT14" i="28"/>
  <c r="MU14" i="28" s="1"/>
  <c r="NK14" i="28"/>
  <c r="NL14" i="28" s="1"/>
  <c r="OS14" i="28"/>
  <c r="OT14" i="28" s="1"/>
  <c r="QA14" i="28"/>
  <c r="QB14" i="28" s="1"/>
  <c r="QR14" i="28"/>
  <c r="QS14" i="28" s="1"/>
  <c r="RI14" i="28"/>
  <c r="RJ14" i="28" s="1"/>
  <c r="RZ14" i="28"/>
  <c r="SA14" i="28" s="1"/>
  <c r="SQ14" i="28"/>
  <c r="SR14" i="28" s="1"/>
  <c r="R15" i="28"/>
  <c r="S15" i="28" s="1"/>
  <c r="AI15" i="28"/>
  <c r="AJ15" i="28" s="1"/>
  <c r="AZ15" i="28"/>
  <c r="BA15" i="28" s="1"/>
  <c r="BQ15" i="28"/>
  <c r="BR15" i="28" s="1"/>
  <c r="CH15" i="28"/>
  <c r="CI15" i="28" s="1"/>
  <c r="CY15" i="28"/>
  <c r="CZ15" i="28" s="1"/>
  <c r="DP15" i="28"/>
  <c r="DQ15" i="28" s="1"/>
  <c r="EG15" i="28"/>
  <c r="EH15" i="28" s="1"/>
  <c r="EX15" i="28"/>
  <c r="EY15" i="28" s="1"/>
  <c r="FO15" i="28"/>
  <c r="FP15" i="28" s="1"/>
  <c r="GF15" i="28"/>
  <c r="GG15" i="28" s="1"/>
  <c r="GW15" i="28"/>
  <c r="GX15" i="28" s="1"/>
  <c r="HN15" i="28"/>
  <c r="HO15" i="28" s="1"/>
  <c r="IE15" i="28"/>
  <c r="IF15" i="28" s="1"/>
  <c r="IV15" i="28"/>
  <c r="IW15" i="28" s="1"/>
  <c r="JM15" i="28"/>
  <c r="JN15" i="28" s="1"/>
  <c r="KU15" i="28"/>
  <c r="KV15" i="28" s="1"/>
  <c r="MC15" i="28"/>
  <c r="MD15" i="28" s="1"/>
  <c r="NK15" i="28"/>
  <c r="NL15" i="28" s="1"/>
  <c r="OB15" i="28"/>
  <c r="OC15" i="28" s="1"/>
  <c r="OS15" i="28"/>
  <c r="OT15" i="28" s="1"/>
  <c r="PJ15" i="28"/>
  <c r="PK15" i="28" s="1"/>
  <c r="QA15" i="28"/>
  <c r="QB15" i="28" s="1"/>
  <c r="QR15" i="28"/>
  <c r="QS15" i="28" s="1"/>
  <c r="RI15" i="28"/>
  <c r="RJ15" i="28" s="1"/>
  <c r="RZ15" i="28"/>
  <c r="SA15" i="28" s="1"/>
  <c r="SQ15" i="28"/>
  <c r="SR15" i="28" s="1"/>
  <c r="EX18" i="28"/>
  <c r="EY18" i="28" s="1"/>
  <c r="EM18" i="28"/>
  <c r="OM18" i="28"/>
  <c r="OS18" i="28"/>
  <c r="OT18" i="28" s="1"/>
  <c r="AI18" i="28"/>
  <c r="AJ18" i="28" s="1"/>
  <c r="AZ18" i="28"/>
  <c r="BA18" i="28" s="1"/>
  <c r="CY18" i="28"/>
  <c r="CZ18" i="28" s="1"/>
  <c r="DP18" i="28"/>
  <c r="DQ18" i="28" s="1"/>
  <c r="FO18" i="28"/>
  <c r="FP18" i="28" s="1"/>
  <c r="GF18" i="28"/>
  <c r="GG18" i="28" s="1"/>
  <c r="EG19" i="28"/>
  <c r="EH19" i="28" s="1"/>
  <c r="FO19" i="28"/>
  <c r="FP19" i="28" s="1"/>
  <c r="AI21" i="28"/>
  <c r="AJ21" i="28" s="1"/>
  <c r="AZ21" i="28"/>
  <c r="BA21" i="28" s="1"/>
  <c r="BF21" i="28"/>
  <c r="KU21" i="28"/>
  <c r="KV21" i="28" s="1"/>
  <c r="LL21" i="28"/>
  <c r="LM21" i="28" s="1"/>
  <c r="LR21" i="28"/>
  <c r="X5" i="30"/>
  <c r="BW5" i="30"/>
  <c r="DE5" i="30"/>
  <c r="FD5" i="30"/>
  <c r="HC5" i="30"/>
  <c r="IK5" i="30"/>
  <c r="KJ5" i="30"/>
  <c r="MI5" i="30"/>
  <c r="NQ5" i="30"/>
  <c r="PP5" i="30"/>
  <c r="RO5" i="30"/>
  <c r="G6" i="30"/>
  <c r="BF6" i="30"/>
  <c r="DE6" i="30"/>
  <c r="EM6" i="30"/>
  <c r="KD9" i="30"/>
  <c r="KE9" i="30" s="1"/>
  <c r="JX9" i="30"/>
  <c r="PJ9" i="30"/>
  <c r="PK9" i="30" s="1"/>
  <c r="PD9" i="30"/>
  <c r="R17" i="28"/>
  <c r="S17" i="28" s="1"/>
  <c r="AI17" i="28"/>
  <c r="AJ17" i="28" s="1"/>
  <c r="AZ17" i="28"/>
  <c r="BA17" i="28" s="1"/>
  <c r="BQ17" i="28"/>
  <c r="BR17" i="28" s="1"/>
  <c r="CH17" i="28"/>
  <c r="CI17" i="28" s="1"/>
  <c r="CY17" i="28"/>
  <c r="CZ17" i="28" s="1"/>
  <c r="DP17" i="28"/>
  <c r="DQ17" i="28" s="1"/>
  <c r="EG17" i="28"/>
  <c r="EH17" i="28" s="1"/>
  <c r="FO17" i="28"/>
  <c r="FP17" i="28" s="1"/>
  <c r="GF17" i="28"/>
  <c r="GG17" i="28" s="1"/>
  <c r="GW17" i="28"/>
  <c r="GX17" i="28" s="1"/>
  <c r="HN17" i="28"/>
  <c r="HO17" i="28" s="1"/>
  <c r="IE17" i="28"/>
  <c r="IF17" i="28" s="1"/>
  <c r="IV17" i="28"/>
  <c r="IW17" i="28" s="1"/>
  <c r="JM17" i="28"/>
  <c r="JN17" i="28" s="1"/>
  <c r="KD17" i="28"/>
  <c r="KE17" i="28" s="1"/>
  <c r="KU17" i="28"/>
  <c r="KV17" i="28" s="1"/>
  <c r="LL17" i="28"/>
  <c r="LM17" i="28" s="1"/>
  <c r="MC17" i="28"/>
  <c r="MD17" i="28" s="1"/>
  <c r="MT17" i="28"/>
  <c r="MU17" i="28" s="1"/>
  <c r="NK17" i="28"/>
  <c r="NL17" i="28" s="1"/>
  <c r="OB17" i="28"/>
  <c r="OC17" i="28" s="1"/>
  <c r="OS17" i="28"/>
  <c r="OT17" i="28" s="1"/>
  <c r="PJ17" i="28"/>
  <c r="PK17" i="28" s="1"/>
  <c r="QA17" i="28"/>
  <c r="QB17" i="28" s="1"/>
  <c r="QR17" i="28"/>
  <c r="QS17" i="28" s="1"/>
  <c r="RI17" i="28"/>
  <c r="RJ17" i="28" s="1"/>
  <c r="RZ17" i="28"/>
  <c r="SA17" i="28" s="1"/>
  <c r="AO18" i="28"/>
  <c r="DE18" i="28"/>
  <c r="FU18" i="28"/>
  <c r="CH21" i="28"/>
  <c r="CI21" i="28" s="1"/>
  <c r="JM21" i="28"/>
  <c r="JN21" i="28" s="1"/>
  <c r="MT21" i="28"/>
  <c r="MU21" i="28" s="1"/>
  <c r="R5" i="30"/>
  <c r="S5" i="30" s="1"/>
  <c r="AZ5" i="30"/>
  <c r="BA5" i="30" s="1"/>
  <c r="CY5" i="30"/>
  <c r="CZ5" i="30" s="1"/>
  <c r="EX5" i="30"/>
  <c r="EY5" i="30" s="1"/>
  <c r="GF5" i="30"/>
  <c r="GG5" i="30" s="1"/>
  <c r="IE5" i="30"/>
  <c r="IF5" i="30" s="1"/>
  <c r="KD5" i="30"/>
  <c r="KE5" i="30" s="1"/>
  <c r="LL5" i="30"/>
  <c r="LM5" i="30" s="1"/>
  <c r="NK5" i="30"/>
  <c r="NL5" i="30" s="1"/>
  <c r="PJ5" i="30"/>
  <c r="PK5" i="30" s="1"/>
  <c r="QR5" i="30"/>
  <c r="QS5" i="30" s="1"/>
  <c r="SQ5" i="30"/>
  <c r="SR5" i="30" s="1"/>
  <c r="AZ6" i="30"/>
  <c r="BA6" i="30" s="1"/>
  <c r="CH6" i="30"/>
  <c r="CI6" i="30" s="1"/>
  <c r="CN6" i="30"/>
  <c r="EG6" i="30"/>
  <c r="EH6" i="30" s="1"/>
  <c r="GF6" i="30"/>
  <c r="GG6" i="30" s="1"/>
  <c r="HN6" i="30"/>
  <c r="HO6" i="30" s="1"/>
  <c r="HT6" i="30"/>
  <c r="JM6" i="30"/>
  <c r="JN6" i="30" s="1"/>
  <c r="LL6" i="30"/>
  <c r="LM6" i="30" s="1"/>
  <c r="MT6" i="30"/>
  <c r="MU6" i="30" s="1"/>
  <c r="MZ6" i="30"/>
  <c r="HH9" i="30"/>
  <c r="KO9" i="30"/>
  <c r="LL9" i="30"/>
  <c r="LM9" i="30" s="1"/>
  <c r="LF9" i="30"/>
  <c r="MC9" i="30"/>
  <c r="MD9" i="30" s="1"/>
  <c r="PU9" i="30"/>
  <c r="QR9" i="30"/>
  <c r="QS9" i="30" s="1"/>
  <c r="QL9" i="30"/>
  <c r="RI9" i="30"/>
  <c r="RJ9" i="30" s="1"/>
  <c r="G5" i="30"/>
  <c r="AO5" i="30"/>
  <c r="CN5" i="30"/>
  <c r="EG5" i="30"/>
  <c r="EH5" i="30" s="1"/>
  <c r="EM5" i="30"/>
  <c r="FU5" i="30"/>
  <c r="HT5" i="30"/>
  <c r="JM5" i="30"/>
  <c r="JN5" i="30" s="1"/>
  <c r="JS5" i="30"/>
  <c r="LA5" i="30"/>
  <c r="MZ5" i="30"/>
  <c r="OS5" i="30"/>
  <c r="OT5" i="30" s="1"/>
  <c r="OY5" i="30"/>
  <c r="QG5" i="30"/>
  <c r="SF5" i="30"/>
  <c r="AI6" i="30"/>
  <c r="AJ6" i="30" s="1"/>
  <c r="AO6" i="30"/>
  <c r="BW6" i="30"/>
  <c r="DV6" i="30"/>
  <c r="FO6" i="30"/>
  <c r="FP6" i="30" s="1"/>
  <c r="FU6" i="30"/>
  <c r="KU6" i="30"/>
  <c r="KV6" i="30" s="1"/>
  <c r="GW9" i="30"/>
  <c r="GX9" i="30" s="1"/>
  <c r="IE9" i="30"/>
  <c r="IF9" i="30" s="1"/>
  <c r="MT9" i="30"/>
  <c r="MU9" i="30" s="1"/>
  <c r="MN9" i="30"/>
  <c r="NK9" i="30"/>
  <c r="NL9" i="30" s="1"/>
  <c r="RZ9" i="30"/>
  <c r="SA9" i="30" s="1"/>
  <c r="RT9" i="30"/>
  <c r="SQ9" i="30"/>
  <c r="SR9" i="30" s="1"/>
  <c r="GQ9" i="30"/>
  <c r="HY9" i="30"/>
  <c r="IV9" i="30"/>
  <c r="IW9" i="30" s="1"/>
  <c r="IP9" i="30"/>
  <c r="JM9" i="30"/>
  <c r="JN9" i="30" s="1"/>
  <c r="NE9" i="30"/>
  <c r="OB9" i="30"/>
  <c r="OC9" i="30" s="1"/>
  <c r="NV9" i="30"/>
  <c r="OS9" i="30"/>
  <c r="OT9" i="30" s="1"/>
  <c r="SK9" i="30"/>
  <c r="QG14" i="30"/>
  <c r="LL15" i="30"/>
  <c r="LM15" i="30" s="1"/>
  <c r="MS15" i="30"/>
  <c r="QR15" i="30"/>
  <c r="QS15" i="30" s="1"/>
  <c r="RY15" i="30"/>
  <c r="LR17" i="30"/>
  <c r="HN18" i="30"/>
  <c r="HO18" i="30" s="1"/>
  <c r="IV18" i="30"/>
  <c r="IW18" i="30" s="1"/>
  <c r="EM19" i="30"/>
  <c r="EX19" i="30"/>
  <c r="EY19" i="30" s="1"/>
  <c r="RZ14" i="30"/>
  <c r="SA14" i="30" s="1"/>
  <c r="G15" i="30"/>
  <c r="HC15" i="30"/>
  <c r="EG17" i="30"/>
  <c r="EH17" i="30" s="1"/>
  <c r="GW17" i="30"/>
  <c r="GX17" i="30" s="1"/>
  <c r="JM17" i="30"/>
  <c r="JN17" i="30" s="1"/>
  <c r="RI17" i="30"/>
  <c r="RJ17" i="30" s="1"/>
  <c r="NQ18" i="30"/>
  <c r="OB18" i="30"/>
  <c r="OC18" i="30" s="1"/>
  <c r="GF21" i="30"/>
  <c r="GG21" i="30" s="1"/>
  <c r="FU21" i="30"/>
  <c r="FO5" i="32"/>
  <c r="FP5" i="32" s="1"/>
  <c r="LA14" i="30"/>
  <c r="AZ15" i="30"/>
  <c r="BA15" i="30" s="1"/>
  <c r="BW15" i="30"/>
  <c r="IV15" i="30"/>
  <c r="IW15" i="30" s="1"/>
  <c r="OB15" i="30"/>
  <c r="OC15" i="30" s="1"/>
  <c r="SQ15" i="30"/>
  <c r="SR15" i="30" s="1"/>
  <c r="X18" i="30"/>
  <c r="MI18" i="30"/>
  <c r="MT18" i="30"/>
  <c r="MU18" i="30" s="1"/>
  <c r="DE19" i="30"/>
  <c r="DP19" i="30"/>
  <c r="DQ19" i="30" s="1"/>
  <c r="IV21" i="30"/>
  <c r="IW21" i="30" s="1"/>
  <c r="QA21" i="30"/>
  <c r="QB21" i="30" s="1"/>
  <c r="OS17" i="30"/>
  <c r="OT17" i="30" s="1"/>
  <c r="OH17" i="30"/>
  <c r="CY18" i="30"/>
  <c r="CZ18" i="30" s="1"/>
  <c r="CN18" i="30"/>
  <c r="LL21" i="30"/>
  <c r="LM21" i="30" s="1"/>
  <c r="LA21" i="30"/>
  <c r="BQ19" i="32"/>
  <c r="BR19" i="32" s="1"/>
  <c r="BF19" i="32"/>
  <c r="R21" i="30"/>
  <c r="S21" i="30" s="1"/>
  <c r="MT21" i="30"/>
  <c r="MU21" i="30" s="1"/>
  <c r="OB21" i="30"/>
  <c r="OC21" i="30" s="1"/>
  <c r="SQ21" i="30"/>
  <c r="SR21" i="30" s="1"/>
  <c r="R5" i="32"/>
  <c r="S5" i="32" s="1"/>
  <c r="BQ5" i="32"/>
  <c r="BR5" i="32" s="1"/>
  <c r="CH5" i="32"/>
  <c r="CI5" i="32" s="1"/>
  <c r="EG5" i="32"/>
  <c r="EH5" i="32" s="1"/>
  <c r="EX5" i="32"/>
  <c r="EY5" i="32" s="1"/>
  <c r="L21" i="30"/>
  <c r="GW21" i="30"/>
  <c r="GX21" i="30" s="1"/>
  <c r="HC21" i="30"/>
  <c r="MC21" i="30"/>
  <c r="MD21" i="30" s="1"/>
  <c r="NK21" i="30"/>
  <c r="NL21" i="30" s="1"/>
  <c r="RI21" i="30"/>
  <c r="RJ21" i="30" s="1"/>
  <c r="RZ21" i="30"/>
  <c r="SA21" i="30" s="1"/>
  <c r="L5" i="32"/>
  <c r="BK5" i="32"/>
  <c r="CB5" i="32"/>
  <c r="EA5" i="32"/>
  <c r="ER5" i="32"/>
  <c r="BQ9" i="32"/>
  <c r="BR9" i="32" s="1"/>
  <c r="GW9" i="32"/>
  <c r="GX9" i="32" s="1"/>
  <c r="MC9" i="32"/>
  <c r="MD9" i="32" s="1"/>
  <c r="NK9" i="32"/>
  <c r="NL9" i="32" s="1"/>
  <c r="IE14" i="32"/>
  <c r="IF14" i="32" s="1"/>
  <c r="SQ18" i="32"/>
  <c r="SR18" i="32" s="1"/>
  <c r="GF19" i="32"/>
  <c r="GG19" i="32" s="1"/>
  <c r="FU19" i="32"/>
  <c r="CY14" i="32"/>
  <c r="CZ14" i="32" s="1"/>
  <c r="PJ19" i="32"/>
  <c r="PK19" i="32" s="1"/>
  <c r="R17" i="32"/>
  <c r="S17" i="32" s="1"/>
  <c r="AZ17" i="32"/>
  <c r="BA17" i="32" s="1"/>
  <c r="CH17" i="32"/>
  <c r="CI17" i="32" s="1"/>
  <c r="DP17" i="32"/>
  <c r="DQ17" i="32" s="1"/>
  <c r="EX17" i="32"/>
  <c r="EY17" i="32" s="1"/>
  <c r="GF17" i="32"/>
  <c r="GG17" i="32" s="1"/>
  <c r="HN17" i="32"/>
  <c r="HO17" i="32" s="1"/>
  <c r="IV17" i="32"/>
  <c r="IW17" i="32" s="1"/>
  <c r="JM17" i="32"/>
  <c r="JN17" i="32" s="1"/>
  <c r="KD17" i="32"/>
  <c r="KE17" i="32" s="1"/>
  <c r="KU17" i="32"/>
  <c r="KV17" i="32" s="1"/>
  <c r="LL17" i="32"/>
  <c r="LM17" i="32" s="1"/>
  <c r="MC17" i="32"/>
  <c r="MD17" i="32" s="1"/>
  <c r="MT17" i="32"/>
  <c r="MU17" i="32" s="1"/>
  <c r="NK17" i="32"/>
  <c r="NL17" i="32" s="1"/>
  <c r="OS17" i="32"/>
  <c r="OT17" i="32" s="1"/>
  <c r="PJ17" i="32"/>
  <c r="PK17" i="32" s="1"/>
  <c r="QA17" i="32"/>
  <c r="QB17" i="32" s="1"/>
  <c r="QR17" i="32"/>
  <c r="QS17" i="32" s="1"/>
  <c r="RI17" i="32"/>
  <c r="RJ17" i="32" s="1"/>
  <c r="RZ17" i="32"/>
  <c r="SA17" i="32" s="1"/>
  <c r="SQ17" i="32"/>
  <c r="SR17" i="32" s="1"/>
  <c r="R18" i="32"/>
  <c r="S18" i="32" s="1"/>
  <c r="AI18" i="32"/>
  <c r="AJ18" i="32" s="1"/>
  <c r="AZ18" i="32"/>
  <c r="BA18" i="32" s="1"/>
  <c r="BQ18" i="32"/>
  <c r="BR18" i="32" s="1"/>
  <c r="CH18" i="32"/>
  <c r="CI18" i="32" s="1"/>
  <c r="CY18" i="32"/>
  <c r="CZ18" i="32" s="1"/>
  <c r="DP18" i="32"/>
  <c r="DQ18" i="32" s="1"/>
  <c r="EG18" i="32"/>
  <c r="EH18" i="32" s="1"/>
  <c r="EX18" i="32"/>
  <c r="EY18" i="32" s="1"/>
  <c r="FO18" i="32"/>
  <c r="FP18" i="32" s="1"/>
  <c r="GF18" i="32"/>
  <c r="GG18" i="32" s="1"/>
  <c r="GW18" i="32"/>
  <c r="GX18" i="32" s="1"/>
  <c r="HN18" i="32"/>
  <c r="HO18" i="32" s="1"/>
  <c r="IE18" i="32"/>
  <c r="IF18" i="32" s="1"/>
  <c r="IV18" i="32"/>
  <c r="IW18" i="32" s="1"/>
  <c r="JM18" i="32"/>
  <c r="JN18" i="32" s="1"/>
  <c r="KD18" i="32"/>
  <c r="KE18" i="32" s="1"/>
  <c r="KU18" i="32"/>
  <c r="KV18" i="32" s="1"/>
  <c r="LL18" i="32"/>
  <c r="LM18" i="32" s="1"/>
  <c r="MC18" i="32"/>
  <c r="MD18" i="32" s="1"/>
  <c r="MT18" i="32"/>
  <c r="MU18" i="32" s="1"/>
  <c r="NK18" i="32"/>
  <c r="NL18" i="32" s="1"/>
  <c r="OB18" i="32"/>
  <c r="OC18" i="32" s="1"/>
  <c r="CH19" i="32"/>
  <c r="CI19" i="32" s="1"/>
  <c r="CN19" i="32"/>
  <c r="EX19" i="32"/>
  <c r="EY19" i="32" s="1"/>
  <c r="GW19" i="32"/>
  <c r="GX19" i="32" s="1"/>
  <c r="HN19" i="32"/>
  <c r="HO19" i="32" s="1"/>
  <c r="IK19" i="32"/>
  <c r="JS19" i="32"/>
  <c r="LA19" i="32"/>
  <c r="MI19" i="32"/>
  <c r="NQ19" i="32"/>
  <c r="QR19" i="32"/>
  <c r="QS19" i="32" s="1"/>
  <c r="PJ18" i="32"/>
  <c r="PK18" i="32" s="1"/>
  <c r="QR18" i="32"/>
  <c r="QS18" i="32" s="1"/>
  <c r="RZ18" i="32"/>
  <c r="SA18" i="32" s="1"/>
  <c r="SF18" i="32"/>
  <c r="EM19" i="32"/>
  <c r="HC19" i="32"/>
  <c r="JM19" i="32"/>
  <c r="JN19" i="32" s="1"/>
  <c r="KU19" i="32"/>
  <c r="KV19" i="32" s="1"/>
  <c r="MC19" i="32"/>
  <c r="MD19" i="32" s="1"/>
  <c r="NK19" i="32"/>
  <c r="NL19" i="32" s="1"/>
  <c r="OS19" i="32"/>
  <c r="OT19" i="32" s="1"/>
  <c r="OB17" i="32"/>
  <c r="OC17" i="32" s="1"/>
  <c r="DP5" i="32"/>
  <c r="DQ5" i="32" s="1"/>
  <c r="CY5" i="32"/>
  <c r="CZ5" i="32" s="1"/>
  <c r="AZ5" i="32"/>
  <c r="BA5" i="32" s="1"/>
  <c r="AI5" i="32"/>
  <c r="AJ5" i="32" s="1"/>
  <c r="GE22" i="32"/>
  <c r="IU22" i="32"/>
  <c r="MI22" i="32"/>
  <c r="RO22" i="32"/>
  <c r="G22" i="32"/>
  <c r="AC22" i="32"/>
  <c r="HC22" i="32"/>
  <c r="KO22" i="32"/>
  <c r="NE22" i="32"/>
  <c r="L22" i="32"/>
  <c r="HY22" i="32"/>
  <c r="JS22" i="32"/>
  <c r="LK22" i="32"/>
  <c r="SK22" i="32"/>
  <c r="X22" i="32"/>
  <c r="Q22" i="32"/>
  <c r="NQ22" i="32"/>
  <c r="OM22" i="32"/>
  <c r="PI22" i="32"/>
  <c r="QG22" i="32"/>
  <c r="RC22" i="32"/>
  <c r="OA22" i="32"/>
  <c r="OY22" i="32"/>
  <c r="PU22" i="32"/>
  <c r="QQ22" i="32"/>
  <c r="SF22" i="32"/>
  <c r="AO22" i="32"/>
  <c r="BK22" i="32"/>
  <c r="CG22" i="32"/>
  <c r="DE22" i="32"/>
  <c r="EA22" i="32"/>
  <c r="EW22" i="32"/>
  <c r="FU22" i="32"/>
  <c r="GQ22" i="32"/>
  <c r="HM22" i="32"/>
  <c r="IK22" i="32"/>
  <c r="JG22" i="32"/>
  <c r="KC22" i="32"/>
  <c r="LA22" i="32"/>
  <c r="LW22" i="32"/>
  <c r="MS22" i="32"/>
  <c r="BB1" i="32"/>
  <c r="GF5" i="32"/>
  <c r="GG5" i="32" s="1"/>
  <c r="HN5" i="32"/>
  <c r="HO5" i="32" s="1"/>
  <c r="IV5" i="32"/>
  <c r="IW5" i="32" s="1"/>
  <c r="KD5" i="32"/>
  <c r="KE5" i="32" s="1"/>
  <c r="R6" i="32"/>
  <c r="S6" i="32" s="1"/>
  <c r="CH6" i="32"/>
  <c r="CI6" i="32" s="1"/>
  <c r="EX6" i="32"/>
  <c r="EY6" i="32" s="1"/>
  <c r="HN6" i="32"/>
  <c r="HO6" i="32" s="1"/>
  <c r="KD6" i="32"/>
  <c r="KE6" i="32" s="1"/>
  <c r="PJ6" i="32"/>
  <c r="PK6" i="32" s="1"/>
  <c r="RZ6" i="32"/>
  <c r="SA6" i="32" s="1"/>
  <c r="AZ7" i="32"/>
  <c r="BA7" i="32" s="1"/>
  <c r="DP7" i="32"/>
  <c r="DQ7" i="32" s="1"/>
  <c r="GF7" i="32"/>
  <c r="GG7" i="32" s="1"/>
  <c r="IV7" i="32"/>
  <c r="IW7" i="32" s="1"/>
  <c r="LL7" i="32"/>
  <c r="LM7" i="32" s="1"/>
  <c r="OB7" i="32"/>
  <c r="OC7" i="32" s="1"/>
  <c r="QR7" i="32"/>
  <c r="QS7" i="32" s="1"/>
  <c r="AZ8" i="32"/>
  <c r="BA8" i="32" s="1"/>
  <c r="DP8" i="32"/>
  <c r="DQ8" i="32" s="1"/>
  <c r="GF8" i="32"/>
  <c r="GG8" i="32" s="1"/>
  <c r="IV8" i="32"/>
  <c r="IW8" i="32" s="1"/>
  <c r="LL8" i="32"/>
  <c r="LM8" i="32" s="1"/>
  <c r="OB8" i="32"/>
  <c r="OC8" i="32" s="1"/>
  <c r="QR8" i="32"/>
  <c r="QS8" i="32" s="1"/>
  <c r="R9" i="32"/>
  <c r="S9" i="32" s="1"/>
  <c r="LL5" i="32"/>
  <c r="LM5" i="32" s="1"/>
  <c r="MT5" i="32"/>
  <c r="MU5" i="32" s="1"/>
  <c r="OB5" i="32"/>
  <c r="OC5" i="32" s="1"/>
  <c r="PJ5" i="32"/>
  <c r="PK5" i="32" s="1"/>
  <c r="QR5" i="32"/>
  <c r="QS5" i="32" s="1"/>
  <c r="RZ5" i="32"/>
  <c r="SA5" i="32" s="1"/>
  <c r="AZ6" i="32"/>
  <c r="BA6" i="32" s="1"/>
  <c r="DP6" i="32"/>
  <c r="DQ6" i="32" s="1"/>
  <c r="GF6" i="32"/>
  <c r="GG6" i="32" s="1"/>
  <c r="IV6" i="32"/>
  <c r="IW6" i="32" s="1"/>
  <c r="LL6" i="32"/>
  <c r="LM6" i="32" s="1"/>
  <c r="MT6" i="32"/>
  <c r="MU6" i="32" s="1"/>
  <c r="OB6" i="32"/>
  <c r="OC6" i="32" s="1"/>
  <c r="QR6" i="32"/>
  <c r="QS6" i="32" s="1"/>
  <c r="R7" i="32"/>
  <c r="S7" i="32" s="1"/>
  <c r="CH7" i="32"/>
  <c r="CI7" i="32" s="1"/>
  <c r="EX7" i="32"/>
  <c r="EY7" i="32" s="1"/>
  <c r="HN7" i="32"/>
  <c r="HO7" i="32" s="1"/>
  <c r="KD7" i="32"/>
  <c r="KE7" i="32" s="1"/>
  <c r="MT7" i="32"/>
  <c r="MU7" i="32" s="1"/>
  <c r="PJ7" i="32"/>
  <c r="PK7" i="32" s="1"/>
  <c r="RZ7" i="32"/>
  <c r="SA7" i="32" s="1"/>
  <c r="R8" i="32"/>
  <c r="S8" i="32" s="1"/>
  <c r="CH8" i="32"/>
  <c r="CI8" i="32" s="1"/>
  <c r="EX8" i="32"/>
  <c r="EY8" i="32" s="1"/>
  <c r="HN8" i="32"/>
  <c r="HO8" i="32" s="1"/>
  <c r="KD8" i="32"/>
  <c r="KE8" i="32" s="1"/>
  <c r="MT8" i="32"/>
  <c r="MU8" i="32" s="1"/>
  <c r="PJ8" i="32"/>
  <c r="PK8" i="32" s="1"/>
  <c r="RZ8" i="32"/>
  <c r="SA8" i="32" s="1"/>
  <c r="AZ9" i="32"/>
  <c r="BA9" i="32" s="1"/>
  <c r="AO9" i="32"/>
  <c r="FD5" i="32"/>
  <c r="GW5" i="32"/>
  <c r="GX5" i="32" s="1"/>
  <c r="IE5" i="32"/>
  <c r="IF5" i="32" s="1"/>
  <c r="JM5" i="32"/>
  <c r="JN5" i="32" s="1"/>
  <c r="KU5" i="32"/>
  <c r="KV5" i="32" s="1"/>
  <c r="MC5" i="32"/>
  <c r="MD5" i="32" s="1"/>
  <c r="NK5" i="32"/>
  <c r="NL5" i="32" s="1"/>
  <c r="OS5" i="32"/>
  <c r="OT5" i="32" s="1"/>
  <c r="QA5" i="32"/>
  <c r="QB5" i="32" s="1"/>
  <c r="RI5" i="32"/>
  <c r="RJ5" i="32" s="1"/>
  <c r="SQ5" i="32"/>
  <c r="SR5" i="32" s="1"/>
  <c r="AI6" i="32"/>
  <c r="AJ6" i="32" s="1"/>
  <c r="BQ6" i="32"/>
  <c r="BR6" i="32" s="1"/>
  <c r="CY6" i="32"/>
  <c r="CZ6" i="32" s="1"/>
  <c r="EG6" i="32"/>
  <c r="EH6" i="32" s="1"/>
  <c r="FO6" i="32"/>
  <c r="FP6" i="32" s="1"/>
  <c r="GW6" i="32"/>
  <c r="GX6" i="32" s="1"/>
  <c r="IE6" i="32"/>
  <c r="IF6" i="32" s="1"/>
  <c r="JM6" i="32"/>
  <c r="JN6" i="32" s="1"/>
  <c r="KU6" i="32"/>
  <c r="KV6" i="32" s="1"/>
  <c r="MC6" i="32"/>
  <c r="MD6" i="32" s="1"/>
  <c r="NK6" i="32"/>
  <c r="NL6" i="32" s="1"/>
  <c r="OS6" i="32"/>
  <c r="OT6" i="32" s="1"/>
  <c r="QA6" i="32"/>
  <c r="QB6" i="32" s="1"/>
  <c r="RI6" i="32"/>
  <c r="RJ6" i="32" s="1"/>
  <c r="SQ6" i="32"/>
  <c r="SR6" i="32" s="1"/>
  <c r="AI7" i="32"/>
  <c r="AJ7" i="32" s="1"/>
  <c r="BQ7" i="32"/>
  <c r="BR7" i="32" s="1"/>
  <c r="CY7" i="32"/>
  <c r="CZ7" i="32" s="1"/>
  <c r="EG7" i="32"/>
  <c r="EH7" i="32" s="1"/>
  <c r="FO7" i="32"/>
  <c r="FP7" i="32" s="1"/>
  <c r="GW7" i="32"/>
  <c r="GX7" i="32" s="1"/>
  <c r="IE7" i="32"/>
  <c r="IF7" i="32" s="1"/>
  <c r="JM7" i="32"/>
  <c r="JN7" i="32" s="1"/>
  <c r="KU7" i="32"/>
  <c r="KV7" i="32" s="1"/>
  <c r="MC7" i="32"/>
  <c r="MD7" i="32" s="1"/>
  <c r="NK7" i="32"/>
  <c r="NL7" i="32" s="1"/>
  <c r="OS7" i="32"/>
  <c r="OT7" i="32" s="1"/>
  <c r="QA7" i="32"/>
  <c r="QB7" i="32" s="1"/>
  <c r="RI7" i="32"/>
  <c r="RJ7" i="32" s="1"/>
  <c r="SQ7" i="32"/>
  <c r="SR7" i="32" s="1"/>
  <c r="AI8" i="32"/>
  <c r="AJ8" i="32" s="1"/>
  <c r="BQ8" i="32"/>
  <c r="BR8" i="32" s="1"/>
  <c r="CY8" i="32"/>
  <c r="CZ8" i="32" s="1"/>
  <c r="EG8" i="32"/>
  <c r="EH8" i="32" s="1"/>
  <c r="FO8" i="32"/>
  <c r="FP8" i="32" s="1"/>
  <c r="GW8" i="32"/>
  <c r="GX8" i="32" s="1"/>
  <c r="IE8" i="32"/>
  <c r="IF8" i="32" s="1"/>
  <c r="JM8" i="32"/>
  <c r="JN8" i="32" s="1"/>
  <c r="KU8" i="32"/>
  <c r="KV8" i="32" s="1"/>
  <c r="MC8" i="32"/>
  <c r="MD8" i="32" s="1"/>
  <c r="NK8" i="32"/>
  <c r="NL8" i="32" s="1"/>
  <c r="OS8" i="32"/>
  <c r="OT8" i="32" s="1"/>
  <c r="QA8" i="32"/>
  <c r="QB8" i="32" s="1"/>
  <c r="RI8" i="32"/>
  <c r="RJ8" i="32" s="1"/>
  <c r="SQ8" i="32"/>
  <c r="SR8" i="32" s="1"/>
  <c r="AI9" i="32"/>
  <c r="AJ9" i="32" s="1"/>
  <c r="CY9" i="32"/>
  <c r="CZ9" i="32" s="1"/>
  <c r="FO9" i="32"/>
  <c r="FP9" i="32" s="1"/>
  <c r="IE9" i="32"/>
  <c r="IF9" i="32" s="1"/>
  <c r="KU9" i="32"/>
  <c r="KV9" i="32" s="1"/>
  <c r="OS9" i="32"/>
  <c r="OT9" i="32" s="1"/>
  <c r="QA9" i="32"/>
  <c r="QB9" i="32" s="1"/>
  <c r="AI11" i="32"/>
  <c r="AJ11" i="32" s="1"/>
  <c r="BQ11" i="32"/>
  <c r="BR11" i="32" s="1"/>
  <c r="CY11" i="32"/>
  <c r="CZ11" i="32" s="1"/>
  <c r="EG11" i="32"/>
  <c r="EH11" i="32" s="1"/>
  <c r="FO11" i="32"/>
  <c r="FP11" i="32" s="1"/>
  <c r="GW11" i="32"/>
  <c r="GX11" i="32" s="1"/>
  <c r="IE11" i="32"/>
  <c r="IF11" i="32" s="1"/>
  <c r="JM11" i="32"/>
  <c r="JN11" i="32" s="1"/>
  <c r="KU11" i="32"/>
  <c r="KV11" i="32" s="1"/>
  <c r="MC11" i="32"/>
  <c r="MD11" i="32" s="1"/>
  <c r="NK11" i="32"/>
  <c r="NL11" i="32" s="1"/>
  <c r="OS11" i="32"/>
  <c r="OT11" i="32" s="1"/>
  <c r="QA11" i="32"/>
  <c r="QB11" i="32" s="1"/>
  <c r="RI11" i="32"/>
  <c r="RJ11" i="32" s="1"/>
  <c r="SQ11" i="32"/>
  <c r="SR11" i="32" s="1"/>
  <c r="AI12" i="32"/>
  <c r="AJ12" i="32" s="1"/>
  <c r="BQ12" i="32"/>
  <c r="BR12" i="32" s="1"/>
  <c r="CY12" i="32"/>
  <c r="CZ12" i="32" s="1"/>
  <c r="EG12" i="32"/>
  <c r="EH12" i="32" s="1"/>
  <c r="FO12" i="32"/>
  <c r="FP12" i="32" s="1"/>
  <c r="GW12" i="32"/>
  <c r="GX12" i="32" s="1"/>
  <c r="IE12" i="32"/>
  <c r="IF12" i="32" s="1"/>
  <c r="JM12" i="32"/>
  <c r="JN12" i="32" s="1"/>
  <c r="KU12" i="32"/>
  <c r="KV12" i="32" s="1"/>
  <c r="MC12" i="32"/>
  <c r="MD12" i="32" s="1"/>
  <c r="NK12" i="32"/>
  <c r="NL12" i="32" s="1"/>
  <c r="OS12" i="32"/>
  <c r="OT12" i="32" s="1"/>
  <c r="QA12" i="32"/>
  <c r="QB12" i="32" s="1"/>
  <c r="RI12" i="32"/>
  <c r="RJ12" i="32" s="1"/>
  <c r="SQ12" i="32"/>
  <c r="SR12" i="32" s="1"/>
  <c r="MC15" i="32"/>
  <c r="MD15" i="32" s="1"/>
  <c r="RI15" i="32"/>
  <c r="RJ15" i="32" s="1"/>
  <c r="AI14" i="32"/>
  <c r="AJ14" i="32" s="1"/>
  <c r="EG14" i="32"/>
  <c r="EH14" i="32" s="1"/>
  <c r="JM14" i="32"/>
  <c r="JN14" i="32" s="1"/>
  <c r="NK15" i="32"/>
  <c r="NL15" i="32" s="1"/>
  <c r="SQ15" i="32"/>
  <c r="SR15" i="32" s="1"/>
  <c r="CH9" i="32"/>
  <c r="CI9" i="32" s="1"/>
  <c r="DP9" i="32"/>
  <c r="DQ9" i="32" s="1"/>
  <c r="EX9" i="32"/>
  <c r="EY9" i="32" s="1"/>
  <c r="GF9" i="32"/>
  <c r="GG9" i="32" s="1"/>
  <c r="HN9" i="32"/>
  <c r="HO9" i="32" s="1"/>
  <c r="IV9" i="32"/>
  <c r="IW9" i="32" s="1"/>
  <c r="KD9" i="32"/>
  <c r="KE9" i="32" s="1"/>
  <c r="LL9" i="32"/>
  <c r="LM9" i="32" s="1"/>
  <c r="MT9" i="32"/>
  <c r="MU9" i="32" s="1"/>
  <c r="OB9" i="32"/>
  <c r="OC9" i="32" s="1"/>
  <c r="PJ9" i="32"/>
  <c r="PK9" i="32" s="1"/>
  <c r="QR9" i="32"/>
  <c r="QS9" i="32" s="1"/>
  <c r="RZ9" i="32"/>
  <c r="SA9" i="32" s="1"/>
  <c r="R11" i="32"/>
  <c r="S11" i="32" s="1"/>
  <c r="AZ11" i="32"/>
  <c r="BA11" i="32" s="1"/>
  <c r="CH11" i="32"/>
  <c r="CI11" i="32" s="1"/>
  <c r="DP11" i="32"/>
  <c r="DQ11" i="32" s="1"/>
  <c r="EX11" i="32"/>
  <c r="EY11" i="32" s="1"/>
  <c r="GF11" i="32"/>
  <c r="GG11" i="32" s="1"/>
  <c r="HN11" i="32"/>
  <c r="HO11" i="32" s="1"/>
  <c r="IV11" i="32"/>
  <c r="IW11" i="32" s="1"/>
  <c r="KD11" i="32"/>
  <c r="KE11" i="32" s="1"/>
  <c r="LL11" i="32"/>
  <c r="LM11" i="32" s="1"/>
  <c r="MT11" i="32"/>
  <c r="MU11" i="32" s="1"/>
  <c r="OB11" i="32"/>
  <c r="OC11" i="32" s="1"/>
  <c r="PJ11" i="32"/>
  <c r="PK11" i="32" s="1"/>
  <c r="QR11" i="32"/>
  <c r="QS11" i="32" s="1"/>
  <c r="RZ11" i="32"/>
  <c r="SA11" i="32" s="1"/>
  <c r="R12" i="32"/>
  <c r="S12" i="32" s="1"/>
  <c r="AZ12" i="32"/>
  <c r="BA12" i="32" s="1"/>
  <c r="CH12" i="32"/>
  <c r="CI12" i="32" s="1"/>
  <c r="DP12" i="32"/>
  <c r="DQ12" i="32" s="1"/>
  <c r="EX12" i="32"/>
  <c r="EY12" i="32" s="1"/>
  <c r="GF12" i="32"/>
  <c r="GG12" i="32" s="1"/>
  <c r="HN12" i="32"/>
  <c r="HO12" i="32" s="1"/>
  <c r="IV12" i="32"/>
  <c r="IW12" i="32" s="1"/>
  <c r="KD12" i="32"/>
  <c r="KE12" i="32" s="1"/>
  <c r="LL12" i="32"/>
  <c r="LM12" i="32" s="1"/>
  <c r="MT12" i="32"/>
  <c r="MU12" i="32" s="1"/>
  <c r="OB12" i="32"/>
  <c r="OC12" i="32" s="1"/>
  <c r="PJ12" i="32"/>
  <c r="PK12" i="32" s="1"/>
  <c r="QR12" i="32"/>
  <c r="QS12" i="32" s="1"/>
  <c r="RZ12" i="32"/>
  <c r="SA12" i="32" s="1"/>
  <c r="FO14" i="32"/>
  <c r="FP14" i="32" s="1"/>
  <c r="KU14" i="32"/>
  <c r="KV14" i="32" s="1"/>
  <c r="OS15" i="32"/>
  <c r="OT15" i="32" s="1"/>
  <c r="BQ14" i="32"/>
  <c r="BR14" i="32" s="1"/>
  <c r="GW14" i="32"/>
  <c r="GX14" i="32" s="1"/>
  <c r="MC14" i="32"/>
  <c r="MD14" i="32" s="1"/>
  <c r="NK14" i="32"/>
  <c r="NL14" i="32" s="1"/>
  <c r="OS14" i="32"/>
  <c r="OT14" i="32" s="1"/>
  <c r="QA14" i="32"/>
  <c r="QB14" i="32" s="1"/>
  <c r="RI14" i="32"/>
  <c r="RJ14" i="32" s="1"/>
  <c r="SQ14" i="32"/>
  <c r="SR14" i="32" s="1"/>
  <c r="AI15" i="32"/>
  <c r="AJ15" i="32" s="1"/>
  <c r="BQ15" i="32"/>
  <c r="BR15" i="32" s="1"/>
  <c r="CY15" i="32"/>
  <c r="CZ15" i="32" s="1"/>
  <c r="EG15" i="32"/>
  <c r="EH15" i="32" s="1"/>
  <c r="FO15" i="32"/>
  <c r="FP15" i="32" s="1"/>
  <c r="GW15" i="32"/>
  <c r="GX15" i="32" s="1"/>
  <c r="IE15" i="32"/>
  <c r="IF15" i="32" s="1"/>
  <c r="JM15" i="32"/>
  <c r="JN15" i="32" s="1"/>
  <c r="KU15" i="32"/>
  <c r="KV15" i="32" s="1"/>
  <c r="QA15" i="32"/>
  <c r="QB15" i="32" s="1"/>
  <c r="AI17" i="32"/>
  <c r="AJ17" i="32" s="1"/>
  <c r="X17" i="32"/>
  <c r="BQ17" i="32"/>
  <c r="BR17" i="32" s="1"/>
  <c r="BF17" i="32"/>
  <c r="CY17" i="32"/>
  <c r="CZ17" i="32" s="1"/>
  <c r="CN17" i="32"/>
  <c r="EG17" i="32"/>
  <c r="EH17" i="32" s="1"/>
  <c r="DV17" i="32"/>
  <c r="FO17" i="32"/>
  <c r="FP17" i="32" s="1"/>
  <c r="FD17" i="32"/>
  <c r="GW17" i="32"/>
  <c r="GX17" i="32" s="1"/>
  <c r="GL17" i="32"/>
  <c r="IE17" i="32"/>
  <c r="IF17" i="32" s="1"/>
  <c r="HT17" i="32"/>
  <c r="R14" i="32"/>
  <c r="S14" i="32" s="1"/>
  <c r="AZ14" i="32"/>
  <c r="BA14" i="32" s="1"/>
  <c r="CH14" i="32"/>
  <c r="CI14" i="32" s="1"/>
  <c r="DP14" i="32"/>
  <c r="DQ14" i="32" s="1"/>
  <c r="EX14" i="32"/>
  <c r="EY14" i="32" s="1"/>
  <c r="GF14" i="32"/>
  <c r="GG14" i="32" s="1"/>
  <c r="HN14" i="32"/>
  <c r="HO14" i="32" s="1"/>
  <c r="IV14" i="32"/>
  <c r="IW14" i="32" s="1"/>
  <c r="KD14" i="32"/>
  <c r="KE14" i="32" s="1"/>
  <c r="LL14" i="32"/>
  <c r="LM14" i="32" s="1"/>
  <c r="MT14" i="32"/>
  <c r="MU14" i="32" s="1"/>
  <c r="OB14" i="32"/>
  <c r="OC14" i="32" s="1"/>
  <c r="PJ14" i="32"/>
  <c r="PK14" i="32" s="1"/>
  <c r="QR14" i="32"/>
  <c r="QS14" i="32" s="1"/>
  <c r="RZ14" i="32"/>
  <c r="SA14" i="32" s="1"/>
  <c r="R15" i="32"/>
  <c r="S15" i="32" s="1"/>
  <c r="AZ15" i="32"/>
  <c r="BA15" i="32" s="1"/>
  <c r="CH15" i="32"/>
  <c r="CI15" i="32" s="1"/>
  <c r="DP15" i="32"/>
  <c r="DQ15" i="32" s="1"/>
  <c r="EX15" i="32"/>
  <c r="EY15" i="32" s="1"/>
  <c r="GF15" i="32"/>
  <c r="GG15" i="32" s="1"/>
  <c r="HN15" i="32"/>
  <c r="HO15" i="32" s="1"/>
  <c r="IV15" i="32"/>
  <c r="IW15" i="32" s="1"/>
  <c r="KD15" i="32"/>
  <c r="KE15" i="32" s="1"/>
  <c r="LL15" i="32"/>
  <c r="LM15" i="32" s="1"/>
  <c r="MT15" i="32"/>
  <c r="MU15" i="32" s="1"/>
  <c r="OB15" i="32"/>
  <c r="OC15" i="32" s="1"/>
  <c r="PJ15" i="32"/>
  <c r="PK15" i="32" s="1"/>
  <c r="QR15" i="32"/>
  <c r="QS15" i="32" s="1"/>
  <c r="RZ15" i="32"/>
  <c r="SA15" i="32" s="1"/>
  <c r="JB17" i="32"/>
  <c r="KJ17" i="32"/>
  <c r="LR17" i="32"/>
  <c r="MZ17" i="32"/>
  <c r="OH17" i="32"/>
  <c r="PP17" i="32"/>
  <c r="QX17" i="32"/>
  <c r="SF17" i="32"/>
  <c r="X18" i="32"/>
  <c r="BF18" i="32"/>
  <c r="CN18" i="32"/>
  <c r="DV18" i="32"/>
  <c r="FD18" i="32"/>
  <c r="GL18" i="32"/>
  <c r="HT18" i="32"/>
  <c r="JB18" i="32"/>
  <c r="KJ18" i="32"/>
  <c r="LR18" i="32"/>
  <c r="MZ18" i="32"/>
  <c r="OS18" i="32"/>
  <c r="OT18" i="32" s="1"/>
  <c r="QA18" i="32"/>
  <c r="QB18" i="32" s="1"/>
  <c r="RI18" i="32"/>
  <c r="RJ18" i="32" s="1"/>
  <c r="RI19" i="32"/>
  <c r="RJ19" i="32" s="1"/>
  <c r="RH19" i="32"/>
  <c r="DP19" i="32"/>
  <c r="DQ19" i="32" s="1"/>
  <c r="SQ19" i="32"/>
  <c r="SR19" i="32" s="1"/>
  <c r="SP19" i="32"/>
  <c r="G17" i="32"/>
  <c r="AO17" i="32"/>
  <c r="BW17" i="32"/>
  <c r="DE17" i="32"/>
  <c r="EM17" i="32"/>
  <c r="FU17" i="32"/>
  <c r="HC17" i="32"/>
  <c r="IK17" i="32"/>
  <c r="JS17" i="32"/>
  <c r="LA17" i="32"/>
  <c r="MI17" i="32"/>
  <c r="NQ17" i="32"/>
  <c r="OY17" i="32"/>
  <c r="QG17" i="32"/>
  <c r="RO17" i="32"/>
  <c r="G18" i="32"/>
  <c r="AO18" i="32"/>
  <c r="BW18" i="32"/>
  <c r="DE18" i="32"/>
  <c r="EM18" i="32"/>
  <c r="FU18" i="32"/>
  <c r="HC18" i="32"/>
  <c r="IK18" i="32"/>
  <c r="JS18" i="32"/>
  <c r="LA18" i="32"/>
  <c r="MI18" i="32"/>
  <c r="NQ18" i="32"/>
  <c r="OY18" i="32"/>
  <c r="QG18" i="32"/>
  <c r="RO18" i="32"/>
  <c r="G19" i="32"/>
  <c r="AO19" i="32"/>
  <c r="BW19" i="32"/>
  <c r="DE19" i="32"/>
  <c r="EG19" i="32"/>
  <c r="EH19" i="32" s="1"/>
  <c r="FD19" i="32"/>
  <c r="GL19" i="32"/>
  <c r="HT19" i="32"/>
  <c r="QA19" i="32"/>
  <c r="QB19" i="32" s="1"/>
  <c r="PZ19" i="32"/>
  <c r="R21" i="32"/>
  <c r="S21" i="32" s="1"/>
  <c r="AZ21" i="32"/>
  <c r="BA21" i="32" s="1"/>
  <c r="CH21" i="32"/>
  <c r="CI21" i="32" s="1"/>
  <c r="DP21" i="32"/>
  <c r="DQ21" i="32" s="1"/>
  <c r="EX21" i="32"/>
  <c r="EY21" i="32" s="1"/>
  <c r="GF21" i="32"/>
  <c r="GG21" i="32" s="1"/>
  <c r="HN21" i="32"/>
  <c r="HO21" i="32" s="1"/>
  <c r="IV21" i="32"/>
  <c r="IW21" i="32" s="1"/>
  <c r="KD21" i="32"/>
  <c r="KE21" i="32" s="1"/>
  <c r="LL21" i="32"/>
  <c r="LM21" i="32" s="1"/>
  <c r="MT21" i="32"/>
  <c r="MU21" i="32" s="1"/>
  <c r="OB21" i="32"/>
  <c r="OC21" i="32" s="1"/>
  <c r="PJ21" i="32"/>
  <c r="PK21" i="32" s="1"/>
  <c r="QR21" i="32"/>
  <c r="QS21" i="32" s="1"/>
  <c r="RZ21" i="32"/>
  <c r="SA21" i="32" s="1"/>
  <c r="AI21" i="32"/>
  <c r="AJ21" i="32" s="1"/>
  <c r="BQ21" i="32"/>
  <c r="BR21" i="32" s="1"/>
  <c r="CY21" i="32"/>
  <c r="CZ21" i="32" s="1"/>
  <c r="EG21" i="32"/>
  <c r="EH21" i="32" s="1"/>
  <c r="FO21" i="32"/>
  <c r="FP21" i="32" s="1"/>
  <c r="GW21" i="32"/>
  <c r="GX21" i="32" s="1"/>
  <c r="IE21" i="32"/>
  <c r="IF21" i="32" s="1"/>
  <c r="JM21" i="32"/>
  <c r="JN21" i="32" s="1"/>
  <c r="KU21" i="32"/>
  <c r="KV21" i="32" s="1"/>
  <c r="MC21" i="32"/>
  <c r="MD21" i="32" s="1"/>
  <c r="NK21" i="32"/>
  <c r="NL21" i="32" s="1"/>
  <c r="OS21" i="32"/>
  <c r="OT21" i="32" s="1"/>
  <c r="QA21" i="32"/>
  <c r="QB21" i="32" s="1"/>
  <c r="RI21" i="32"/>
  <c r="RJ21" i="32" s="1"/>
  <c r="SQ21" i="32"/>
  <c r="SR21" i="32" s="1"/>
  <c r="SF21" i="32"/>
  <c r="AH22" i="32"/>
  <c r="BF22" i="32"/>
  <c r="CB22" i="32"/>
  <c r="CX22" i="32"/>
  <c r="DV22" i="32"/>
  <c r="ER22" i="32"/>
  <c r="FN22" i="32"/>
  <c r="GL22" i="32"/>
  <c r="HH22" i="32"/>
  <c r="ID22" i="32"/>
  <c r="JB22" i="32"/>
  <c r="JX22" i="32"/>
  <c r="KT22" i="32"/>
  <c r="LR22" i="32"/>
  <c r="MN22" i="32"/>
  <c r="NJ22" i="32"/>
  <c r="OH22" i="32"/>
  <c r="PD22" i="32"/>
  <c r="PZ22" i="32"/>
  <c r="QX22" i="32"/>
  <c r="RT22" i="32"/>
  <c r="SP22" i="32"/>
  <c r="AY22" i="32"/>
  <c r="BW22" i="32"/>
  <c r="CS22" i="32"/>
  <c r="DO22" i="32"/>
  <c r="EM22" i="32"/>
  <c r="FI22" i="32"/>
  <c r="AT22" i="32"/>
  <c r="BP22" i="32"/>
  <c r="CN22" i="32"/>
  <c r="DJ22" i="32"/>
  <c r="EF22" i="32"/>
  <c r="FD22" i="32"/>
  <c r="FZ22" i="32"/>
  <c r="GV22" i="32"/>
  <c r="HT22" i="32"/>
  <c r="IP22" i="32"/>
  <c r="JL22" i="32"/>
  <c r="KJ22" i="32"/>
  <c r="LF22" i="32"/>
  <c r="MB22" i="32"/>
  <c r="MZ22" i="32"/>
  <c r="NV22" i="32"/>
  <c r="OR22" i="32"/>
  <c r="PP22" i="32"/>
  <c r="QL22" i="32"/>
  <c r="RH22" i="32"/>
  <c r="RY22" i="32"/>
  <c r="DO22" i="30"/>
  <c r="IU22" i="30"/>
  <c r="JS22" i="30"/>
  <c r="OA22" i="30"/>
  <c r="OY22" i="30"/>
  <c r="G22" i="30"/>
  <c r="AY22" i="30"/>
  <c r="EM22" i="30"/>
  <c r="HC22" i="30"/>
  <c r="MI22" i="30"/>
  <c r="NE22" i="30"/>
  <c r="QQ22" i="30"/>
  <c r="RO22" i="30"/>
  <c r="SK22" i="30"/>
  <c r="AC22" i="30"/>
  <c r="BW22" i="30"/>
  <c r="CS22" i="30"/>
  <c r="FI22" i="30"/>
  <c r="GE22" i="30"/>
  <c r="KO22" i="30"/>
  <c r="LK22" i="30"/>
  <c r="PU22" i="30"/>
  <c r="L22" i="30"/>
  <c r="AH22" i="30"/>
  <c r="BF22" i="30"/>
  <c r="CB22" i="30"/>
  <c r="CX22" i="30"/>
  <c r="DV22" i="30"/>
  <c r="ER22" i="30"/>
  <c r="FN22" i="30"/>
  <c r="GL22" i="30"/>
  <c r="HH22" i="30"/>
  <c r="ID22" i="30"/>
  <c r="JB22" i="30"/>
  <c r="JX22" i="30"/>
  <c r="KT22" i="30"/>
  <c r="LR22" i="30"/>
  <c r="MN22" i="30"/>
  <c r="NJ22" i="30"/>
  <c r="OH22" i="30"/>
  <c r="PD22" i="30"/>
  <c r="PZ22" i="30"/>
  <c r="QX22" i="30"/>
  <c r="RT22" i="30"/>
  <c r="SP22" i="30"/>
  <c r="HY22" i="30"/>
  <c r="X22" i="30"/>
  <c r="KO17" i="30"/>
  <c r="KU17" i="30"/>
  <c r="KV17" i="30" s="1"/>
  <c r="BS1" i="30"/>
  <c r="OS6" i="30"/>
  <c r="OT6" i="30" s="1"/>
  <c r="QA6" i="30"/>
  <c r="QB6" i="30" s="1"/>
  <c r="RI6" i="30"/>
  <c r="RJ6" i="30" s="1"/>
  <c r="SQ6" i="30"/>
  <c r="SR6" i="30" s="1"/>
  <c r="AI7" i="30"/>
  <c r="AJ7" i="30" s="1"/>
  <c r="BQ7" i="30"/>
  <c r="BR7" i="30" s="1"/>
  <c r="CY7" i="30"/>
  <c r="CZ7" i="30" s="1"/>
  <c r="EG7" i="30"/>
  <c r="EH7" i="30" s="1"/>
  <c r="FO7" i="30"/>
  <c r="FP7" i="30" s="1"/>
  <c r="GW7" i="30"/>
  <c r="GX7" i="30" s="1"/>
  <c r="IE7" i="30"/>
  <c r="IF7" i="30" s="1"/>
  <c r="JM7" i="30"/>
  <c r="JN7" i="30" s="1"/>
  <c r="KU7" i="30"/>
  <c r="KV7" i="30" s="1"/>
  <c r="MC7" i="30"/>
  <c r="MD7" i="30" s="1"/>
  <c r="NK7" i="30"/>
  <c r="NL7" i="30" s="1"/>
  <c r="OS7" i="30"/>
  <c r="OT7" i="30" s="1"/>
  <c r="QA7" i="30"/>
  <c r="QB7" i="30" s="1"/>
  <c r="RI7" i="30"/>
  <c r="RJ7" i="30" s="1"/>
  <c r="SQ7" i="30"/>
  <c r="SR7" i="30" s="1"/>
  <c r="AI8" i="30"/>
  <c r="AJ8" i="30" s="1"/>
  <c r="BQ8" i="30"/>
  <c r="BR8" i="30" s="1"/>
  <c r="CY8" i="30"/>
  <c r="CZ8" i="30" s="1"/>
  <c r="EG8" i="30"/>
  <c r="EH8" i="30" s="1"/>
  <c r="FO8" i="30"/>
  <c r="FP8" i="30" s="1"/>
  <c r="GW8" i="30"/>
  <c r="GX8" i="30" s="1"/>
  <c r="IE8" i="30"/>
  <c r="IF8" i="30" s="1"/>
  <c r="JM8" i="30"/>
  <c r="JN8" i="30" s="1"/>
  <c r="KU8" i="30"/>
  <c r="KV8" i="30" s="1"/>
  <c r="MC8" i="30"/>
  <c r="MD8" i="30" s="1"/>
  <c r="NK8" i="30"/>
  <c r="NL8" i="30" s="1"/>
  <c r="OS8" i="30"/>
  <c r="OT8" i="30" s="1"/>
  <c r="QA8" i="30"/>
  <c r="QB8" i="30" s="1"/>
  <c r="RI8" i="30"/>
  <c r="RJ8" i="30" s="1"/>
  <c r="SQ8" i="30"/>
  <c r="SR8" i="30" s="1"/>
  <c r="AI9" i="30"/>
  <c r="AJ9" i="30" s="1"/>
  <c r="BQ9" i="30"/>
  <c r="BR9" i="30" s="1"/>
  <c r="CY9" i="30"/>
  <c r="CZ9" i="30" s="1"/>
  <c r="EG9" i="30"/>
  <c r="EH9" i="30" s="1"/>
  <c r="FO9" i="30"/>
  <c r="FP9" i="30" s="1"/>
  <c r="OB6" i="30"/>
  <c r="OC6" i="30" s="1"/>
  <c r="PJ6" i="30"/>
  <c r="PK6" i="30" s="1"/>
  <c r="QR6" i="30"/>
  <c r="QS6" i="30" s="1"/>
  <c r="RZ6" i="30"/>
  <c r="SA6" i="30" s="1"/>
  <c r="R7" i="30"/>
  <c r="S7" i="30" s="1"/>
  <c r="AZ7" i="30"/>
  <c r="BA7" i="30" s="1"/>
  <c r="CH7" i="30"/>
  <c r="CI7" i="30" s="1"/>
  <c r="DP7" i="30"/>
  <c r="DQ7" i="30" s="1"/>
  <c r="EX7" i="30"/>
  <c r="EY7" i="30" s="1"/>
  <c r="GF7" i="30"/>
  <c r="GG7" i="30" s="1"/>
  <c r="HN7" i="30"/>
  <c r="HO7" i="30" s="1"/>
  <c r="IV7" i="30"/>
  <c r="IW7" i="30" s="1"/>
  <c r="KD7" i="30"/>
  <c r="KE7" i="30" s="1"/>
  <c r="LL7" i="30"/>
  <c r="LM7" i="30" s="1"/>
  <c r="MT7" i="30"/>
  <c r="MU7" i="30" s="1"/>
  <c r="OB7" i="30"/>
  <c r="OC7" i="30" s="1"/>
  <c r="PJ7" i="30"/>
  <c r="PK7" i="30" s="1"/>
  <c r="QR7" i="30"/>
  <c r="QS7" i="30" s="1"/>
  <c r="RZ7" i="30"/>
  <c r="SA7" i="30" s="1"/>
  <c r="R8" i="30"/>
  <c r="S8" i="30" s="1"/>
  <c r="AZ8" i="30"/>
  <c r="BA8" i="30" s="1"/>
  <c r="CH8" i="30"/>
  <c r="CI8" i="30" s="1"/>
  <c r="DP8" i="30"/>
  <c r="DQ8" i="30" s="1"/>
  <c r="EX8" i="30"/>
  <c r="EY8" i="30" s="1"/>
  <c r="GF8" i="30"/>
  <c r="GG8" i="30" s="1"/>
  <c r="HN8" i="30"/>
  <c r="HO8" i="30" s="1"/>
  <c r="IV8" i="30"/>
  <c r="IW8" i="30" s="1"/>
  <c r="KD8" i="30"/>
  <c r="KE8" i="30" s="1"/>
  <c r="LL8" i="30"/>
  <c r="LM8" i="30" s="1"/>
  <c r="MT8" i="30"/>
  <c r="MU8" i="30" s="1"/>
  <c r="OB8" i="30"/>
  <c r="OC8" i="30" s="1"/>
  <c r="PJ8" i="30"/>
  <c r="PK8" i="30" s="1"/>
  <c r="QR8" i="30"/>
  <c r="QS8" i="30" s="1"/>
  <c r="RZ8" i="30"/>
  <c r="SA8" i="30" s="1"/>
  <c r="R9" i="30"/>
  <c r="S9" i="30" s="1"/>
  <c r="AZ9" i="30"/>
  <c r="BA9" i="30" s="1"/>
  <c r="CH9" i="30"/>
  <c r="CI9" i="30" s="1"/>
  <c r="DP9" i="30"/>
  <c r="DQ9" i="30" s="1"/>
  <c r="EX9" i="30"/>
  <c r="EY9" i="30" s="1"/>
  <c r="GF9" i="30"/>
  <c r="GG9" i="30" s="1"/>
  <c r="AZ11" i="30"/>
  <c r="BA11" i="30" s="1"/>
  <c r="DP11" i="30"/>
  <c r="DQ11" i="30" s="1"/>
  <c r="GF11" i="30"/>
  <c r="GG11" i="30" s="1"/>
  <c r="IV11" i="30"/>
  <c r="IW11" i="30" s="1"/>
  <c r="R11" i="30"/>
  <c r="S11" i="30" s="1"/>
  <c r="CH11" i="30"/>
  <c r="CI11" i="30" s="1"/>
  <c r="EX11" i="30"/>
  <c r="EY11" i="30" s="1"/>
  <c r="HN11" i="30"/>
  <c r="HO11" i="30" s="1"/>
  <c r="MI14" i="30"/>
  <c r="OY14" i="30"/>
  <c r="RO14" i="30"/>
  <c r="AO15" i="30"/>
  <c r="DE15" i="30"/>
  <c r="FU15" i="30"/>
  <c r="IK15" i="30"/>
  <c r="LA15" i="30"/>
  <c r="NQ15" i="30"/>
  <c r="QG15" i="30"/>
  <c r="R17" i="30"/>
  <c r="S17" i="30" s="1"/>
  <c r="G17" i="30"/>
  <c r="AZ17" i="30"/>
  <c r="BA17" i="30" s="1"/>
  <c r="AO17" i="30"/>
  <c r="CH17" i="30"/>
  <c r="CI17" i="30" s="1"/>
  <c r="BW17" i="30"/>
  <c r="DP17" i="30"/>
  <c r="DQ17" i="30" s="1"/>
  <c r="DE17" i="30"/>
  <c r="EX17" i="30"/>
  <c r="EY17" i="30" s="1"/>
  <c r="EM17" i="30"/>
  <c r="GF17" i="30"/>
  <c r="GG17" i="30" s="1"/>
  <c r="FU17" i="30"/>
  <c r="HN17" i="30"/>
  <c r="HO17" i="30" s="1"/>
  <c r="HC17" i="30"/>
  <c r="IV17" i="30"/>
  <c r="IW17" i="30" s="1"/>
  <c r="IK17" i="30"/>
  <c r="KD17" i="30"/>
  <c r="KE17" i="30" s="1"/>
  <c r="JS17" i="30"/>
  <c r="AI11" i="30"/>
  <c r="AJ11" i="30" s="1"/>
  <c r="BQ11" i="30"/>
  <c r="BR11" i="30" s="1"/>
  <c r="CY11" i="30"/>
  <c r="CZ11" i="30" s="1"/>
  <c r="EG11" i="30"/>
  <c r="EH11" i="30" s="1"/>
  <c r="FO11" i="30"/>
  <c r="FP11" i="30" s="1"/>
  <c r="GW11" i="30"/>
  <c r="GX11" i="30" s="1"/>
  <c r="IE11" i="30"/>
  <c r="IF11" i="30" s="1"/>
  <c r="JM11" i="30"/>
  <c r="JN11" i="30" s="1"/>
  <c r="KU11" i="30"/>
  <c r="KV11" i="30" s="1"/>
  <c r="MC11" i="30"/>
  <c r="MD11" i="30" s="1"/>
  <c r="NK11" i="30"/>
  <c r="NL11" i="30" s="1"/>
  <c r="OS11" i="30"/>
  <c r="OT11" i="30" s="1"/>
  <c r="QA11" i="30"/>
  <c r="QB11" i="30" s="1"/>
  <c r="RI11" i="30"/>
  <c r="RJ11" i="30" s="1"/>
  <c r="SQ11" i="30"/>
  <c r="SR11" i="30" s="1"/>
  <c r="AI12" i="30"/>
  <c r="AJ12" i="30" s="1"/>
  <c r="BQ12" i="30"/>
  <c r="BR12" i="30" s="1"/>
  <c r="CY12" i="30"/>
  <c r="CZ12" i="30" s="1"/>
  <c r="EG12" i="30"/>
  <c r="EH12" i="30" s="1"/>
  <c r="FO12" i="30"/>
  <c r="FP12" i="30" s="1"/>
  <c r="GW12" i="30"/>
  <c r="GX12" i="30" s="1"/>
  <c r="IE12" i="30"/>
  <c r="IF12" i="30" s="1"/>
  <c r="JM12" i="30"/>
  <c r="JN12" i="30" s="1"/>
  <c r="KU12" i="30"/>
  <c r="KV12" i="30" s="1"/>
  <c r="MC12" i="30"/>
  <c r="MD12" i="30" s="1"/>
  <c r="NK12" i="30"/>
  <c r="NL12" i="30" s="1"/>
  <c r="OS12" i="30"/>
  <c r="OT12" i="30" s="1"/>
  <c r="QA12" i="30"/>
  <c r="QB12" i="30" s="1"/>
  <c r="RI12" i="30"/>
  <c r="RJ12" i="30" s="1"/>
  <c r="SQ12" i="30"/>
  <c r="SR12" i="30" s="1"/>
  <c r="AI14" i="30"/>
  <c r="AJ14" i="30" s="1"/>
  <c r="BQ14" i="30"/>
  <c r="BR14" i="30" s="1"/>
  <c r="CY14" i="30"/>
  <c r="CZ14" i="30" s="1"/>
  <c r="EG14" i="30"/>
  <c r="EH14" i="30" s="1"/>
  <c r="FO14" i="30"/>
  <c r="FP14" i="30" s="1"/>
  <c r="GW14" i="30"/>
  <c r="GX14" i="30" s="1"/>
  <c r="IE14" i="30"/>
  <c r="IF14" i="30" s="1"/>
  <c r="JM14" i="30"/>
  <c r="JN14" i="30" s="1"/>
  <c r="KU14" i="30"/>
  <c r="KV14" i="30" s="1"/>
  <c r="KJ14" i="30"/>
  <c r="NK14" i="30"/>
  <c r="NL14" i="30" s="1"/>
  <c r="MZ14" i="30"/>
  <c r="QA14" i="30"/>
  <c r="QB14" i="30" s="1"/>
  <c r="PP14" i="30"/>
  <c r="SQ14" i="30"/>
  <c r="SR14" i="30" s="1"/>
  <c r="SF14" i="30"/>
  <c r="BQ15" i="30"/>
  <c r="BR15" i="30" s="1"/>
  <c r="BF15" i="30"/>
  <c r="EG15" i="30"/>
  <c r="EH15" i="30" s="1"/>
  <c r="DV15" i="30"/>
  <c r="HY15" i="30"/>
  <c r="IE15" i="30"/>
  <c r="IF15" i="30" s="1"/>
  <c r="KO15" i="30"/>
  <c r="KU15" i="30"/>
  <c r="KV15" i="30" s="1"/>
  <c r="NE15" i="30"/>
  <c r="NK15" i="30"/>
  <c r="NL15" i="30" s="1"/>
  <c r="PU15" i="30"/>
  <c r="QA15" i="30"/>
  <c r="QB15" i="30" s="1"/>
  <c r="LL17" i="30"/>
  <c r="LM17" i="30" s="1"/>
  <c r="LA17" i="30"/>
  <c r="KD11" i="30"/>
  <c r="KE11" i="30" s="1"/>
  <c r="LL11" i="30"/>
  <c r="LM11" i="30" s="1"/>
  <c r="MT11" i="30"/>
  <c r="MU11" i="30" s="1"/>
  <c r="OB11" i="30"/>
  <c r="OC11" i="30" s="1"/>
  <c r="PJ11" i="30"/>
  <c r="PK11" i="30" s="1"/>
  <c r="QR11" i="30"/>
  <c r="QS11" i="30" s="1"/>
  <c r="RZ11" i="30"/>
  <c r="SA11" i="30" s="1"/>
  <c r="R12" i="30"/>
  <c r="S12" i="30" s="1"/>
  <c r="AZ12" i="30"/>
  <c r="BA12" i="30" s="1"/>
  <c r="CH12" i="30"/>
  <c r="CI12" i="30" s="1"/>
  <c r="DP12" i="30"/>
  <c r="DQ12" i="30" s="1"/>
  <c r="EX12" i="30"/>
  <c r="EY12" i="30" s="1"/>
  <c r="GF12" i="30"/>
  <c r="GG12" i="30" s="1"/>
  <c r="HN12" i="30"/>
  <c r="HO12" i="30" s="1"/>
  <c r="IV12" i="30"/>
  <c r="IW12" i="30" s="1"/>
  <c r="KD12" i="30"/>
  <c r="KE12" i="30" s="1"/>
  <c r="LL12" i="30"/>
  <c r="LM12" i="30" s="1"/>
  <c r="MT12" i="30"/>
  <c r="MU12" i="30" s="1"/>
  <c r="OB12" i="30"/>
  <c r="OC12" i="30" s="1"/>
  <c r="PJ12" i="30"/>
  <c r="PK12" i="30" s="1"/>
  <c r="QR12" i="30"/>
  <c r="QS12" i="30" s="1"/>
  <c r="RZ12" i="30"/>
  <c r="SA12" i="30" s="1"/>
  <c r="R14" i="30"/>
  <c r="S14" i="30" s="1"/>
  <c r="AZ14" i="30"/>
  <c r="BA14" i="30" s="1"/>
  <c r="CH14" i="30"/>
  <c r="CI14" i="30" s="1"/>
  <c r="DP14" i="30"/>
  <c r="DQ14" i="30" s="1"/>
  <c r="EX14" i="30"/>
  <c r="EY14" i="30" s="1"/>
  <c r="GF14" i="30"/>
  <c r="GG14" i="30" s="1"/>
  <c r="HN14" i="30"/>
  <c r="HO14" i="30" s="1"/>
  <c r="IV14" i="30"/>
  <c r="IW14" i="30" s="1"/>
  <c r="KD14" i="30"/>
  <c r="KE14" i="30" s="1"/>
  <c r="MC14" i="30"/>
  <c r="MD14" i="30" s="1"/>
  <c r="LR14" i="30"/>
  <c r="OS14" i="30"/>
  <c r="OT14" i="30" s="1"/>
  <c r="OH14" i="30"/>
  <c r="RI14" i="30"/>
  <c r="RJ14" i="30" s="1"/>
  <c r="QX14" i="30"/>
  <c r="AI15" i="30"/>
  <c r="AJ15" i="30" s="1"/>
  <c r="X15" i="30"/>
  <c r="CY15" i="30"/>
  <c r="CZ15" i="30" s="1"/>
  <c r="CN15" i="30"/>
  <c r="FO15" i="30"/>
  <c r="FP15" i="30" s="1"/>
  <c r="FD15" i="30"/>
  <c r="GQ15" i="30"/>
  <c r="GW15" i="30"/>
  <c r="GX15" i="30" s="1"/>
  <c r="JG15" i="30"/>
  <c r="JM15" i="30"/>
  <c r="JN15" i="30" s="1"/>
  <c r="LW15" i="30"/>
  <c r="MC15" i="30"/>
  <c r="MD15" i="30" s="1"/>
  <c r="OM15" i="30"/>
  <c r="OS15" i="30"/>
  <c r="OT15" i="30" s="1"/>
  <c r="RC15" i="30"/>
  <c r="RI15" i="30"/>
  <c r="RJ15" i="30" s="1"/>
  <c r="NE17" i="30"/>
  <c r="NK17" i="30"/>
  <c r="NL17" i="30" s="1"/>
  <c r="OB17" i="30"/>
  <c r="OC17" i="30" s="1"/>
  <c r="NQ17" i="30"/>
  <c r="QR17" i="30"/>
  <c r="QS17" i="30" s="1"/>
  <c r="QG17" i="30"/>
  <c r="R18" i="30"/>
  <c r="S18" i="30" s="1"/>
  <c r="G18" i="30"/>
  <c r="HC19" i="30"/>
  <c r="HN19" i="30"/>
  <c r="HO19" i="30" s="1"/>
  <c r="MT19" i="30"/>
  <c r="MU19" i="30" s="1"/>
  <c r="BW19" i="30"/>
  <c r="CH19" i="30"/>
  <c r="CI19" i="30" s="1"/>
  <c r="MT17" i="30"/>
  <c r="MU17" i="30" s="1"/>
  <c r="MI17" i="30"/>
  <c r="PJ17" i="30"/>
  <c r="PK17" i="30" s="1"/>
  <c r="OY17" i="30"/>
  <c r="RZ17" i="30"/>
  <c r="SA17" i="30" s="1"/>
  <c r="RO17" i="30"/>
  <c r="AZ18" i="30"/>
  <c r="BA18" i="30" s="1"/>
  <c r="QG18" i="30"/>
  <c r="QR18" i="30"/>
  <c r="QS18" i="30" s="1"/>
  <c r="SF15" i="30"/>
  <c r="X17" i="30"/>
  <c r="BF17" i="30"/>
  <c r="CN17" i="30"/>
  <c r="DV17" i="30"/>
  <c r="FD17" i="30"/>
  <c r="GL17" i="30"/>
  <c r="HT17" i="30"/>
  <c r="JB17" i="30"/>
  <c r="QA17" i="30"/>
  <c r="QB17" i="30" s="1"/>
  <c r="SQ17" i="30"/>
  <c r="SR17" i="30" s="1"/>
  <c r="CH18" i="30"/>
  <c r="CI18" i="30" s="1"/>
  <c r="EX18" i="30"/>
  <c r="EY18" i="30" s="1"/>
  <c r="LA18" i="30"/>
  <c r="LL18" i="30"/>
  <c r="LM18" i="30" s="1"/>
  <c r="RZ19" i="30"/>
  <c r="SA19" i="30" s="1"/>
  <c r="DP18" i="30"/>
  <c r="DQ18" i="30" s="1"/>
  <c r="OB19" i="30"/>
  <c r="OC19" i="30" s="1"/>
  <c r="AO18" i="30"/>
  <c r="BW18" i="30"/>
  <c r="FO18" i="30"/>
  <c r="FP18" i="30" s="1"/>
  <c r="KD18" i="30"/>
  <c r="KE18" i="30" s="1"/>
  <c r="PJ18" i="30"/>
  <c r="PK18" i="30" s="1"/>
  <c r="AZ19" i="30"/>
  <c r="BA19" i="30" s="1"/>
  <c r="GF19" i="30"/>
  <c r="GG19" i="30" s="1"/>
  <c r="PJ19" i="30"/>
  <c r="PK19" i="30" s="1"/>
  <c r="EG18" i="30"/>
  <c r="EH18" i="30" s="1"/>
  <c r="GF18" i="30"/>
  <c r="GG18" i="30" s="1"/>
  <c r="LL19" i="30"/>
  <c r="LM19" i="30" s="1"/>
  <c r="QR19" i="30"/>
  <c r="QS19" i="30" s="1"/>
  <c r="GW18" i="30"/>
  <c r="GX18" i="30" s="1"/>
  <c r="IE18" i="30"/>
  <c r="IF18" i="30" s="1"/>
  <c r="JM18" i="30"/>
  <c r="JN18" i="30" s="1"/>
  <c r="KU18" i="30"/>
  <c r="KV18" i="30" s="1"/>
  <c r="MC18" i="30"/>
  <c r="MD18" i="30" s="1"/>
  <c r="NK18" i="30"/>
  <c r="NL18" i="30" s="1"/>
  <c r="OS18" i="30"/>
  <c r="OT18" i="30" s="1"/>
  <c r="QA18" i="30"/>
  <c r="QB18" i="30" s="1"/>
  <c r="RI18" i="30"/>
  <c r="RJ18" i="30" s="1"/>
  <c r="SQ18" i="30"/>
  <c r="SR18" i="30" s="1"/>
  <c r="AI19" i="30"/>
  <c r="AJ19" i="30" s="1"/>
  <c r="BQ19" i="30"/>
  <c r="BR19" i="30" s="1"/>
  <c r="CY19" i="30"/>
  <c r="CZ19" i="30" s="1"/>
  <c r="EG19" i="30"/>
  <c r="EH19" i="30" s="1"/>
  <c r="FO19" i="30"/>
  <c r="FP19" i="30" s="1"/>
  <c r="GW19" i="30"/>
  <c r="GX19" i="30" s="1"/>
  <c r="IE19" i="30"/>
  <c r="IF19" i="30" s="1"/>
  <c r="JM19" i="30"/>
  <c r="JN19" i="30" s="1"/>
  <c r="KU19" i="30"/>
  <c r="KV19" i="30" s="1"/>
  <c r="MC19" i="30"/>
  <c r="MD19" i="30" s="1"/>
  <c r="NK19" i="30"/>
  <c r="NL19" i="30" s="1"/>
  <c r="OS19" i="30"/>
  <c r="OT19" i="30" s="1"/>
  <c r="QA19" i="30"/>
  <c r="QB19" i="30" s="1"/>
  <c r="RI19" i="30"/>
  <c r="RJ19" i="30" s="1"/>
  <c r="SQ19" i="30"/>
  <c r="SR19" i="30" s="1"/>
  <c r="AI21" i="30"/>
  <c r="AJ21" i="30" s="1"/>
  <c r="X21" i="30"/>
  <c r="CY21" i="30"/>
  <c r="CZ21" i="30" s="1"/>
  <c r="CN21" i="30"/>
  <c r="FO21" i="30"/>
  <c r="FP21" i="30" s="1"/>
  <c r="FD21" i="30"/>
  <c r="JM21" i="30"/>
  <c r="JN21" i="30" s="1"/>
  <c r="AZ21" i="30"/>
  <c r="BA21" i="30" s="1"/>
  <c r="DP21" i="30"/>
  <c r="DQ21" i="30" s="1"/>
  <c r="KU21" i="30"/>
  <c r="KV21" i="30" s="1"/>
  <c r="BQ21" i="30"/>
  <c r="BR21" i="30" s="1"/>
  <c r="BF21" i="30"/>
  <c r="EG21" i="30"/>
  <c r="EH21" i="30" s="1"/>
  <c r="DV21" i="30"/>
  <c r="CH21" i="30"/>
  <c r="CI21" i="30" s="1"/>
  <c r="EX21" i="30"/>
  <c r="EY21" i="30" s="1"/>
  <c r="GL21" i="30"/>
  <c r="HT21" i="30"/>
  <c r="JB21" i="30"/>
  <c r="KJ21" i="30"/>
  <c r="LR21" i="30"/>
  <c r="MZ21" i="30"/>
  <c r="OH21" i="30"/>
  <c r="PP21" i="30"/>
  <c r="QX21" i="30"/>
  <c r="SF21" i="30"/>
  <c r="NQ21" i="30"/>
  <c r="OY21" i="30"/>
  <c r="QG21" i="30"/>
  <c r="RO21" i="30"/>
  <c r="Q22" i="30"/>
  <c r="AT22" i="30"/>
  <c r="BP22" i="30"/>
  <c r="CN22" i="30"/>
  <c r="DJ22" i="30"/>
  <c r="EF22" i="30"/>
  <c r="FD22" i="30"/>
  <c r="FZ22" i="30"/>
  <c r="GV22" i="30"/>
  <c r="HT22" i="30"/>
  <c r="IP22" i="30"/>
  <c r="JL22" i="30"/>
  <c r="KJ22" i="30"/>
  <c r="LF22" i="30"/>
  <c r="MB22" i="30"/>
  <c r="MZ22" i="30"/>
  <c r="NV22" i="30"/>
  <c r="OR22" i="30"/>
  <c r="PP22" i="30"/>
  <c r="QL22" i="30"/>
  <c r="RH22" i="30"/>
  <c r="SF22" i="30"/>
  <c r="AO22" i="30"/>
  <c r="BK22" i="30"/>
  <c r="CG22" i="30"/>
  <c r="DE22" i="30"/>
  <c r="EA22" i="30"/>
  <c r="EW22" i="30"/>
  <c r="FU22" i="30"/>
  <c r="GQ22" i="30"/>
  <c r="HM22" i="30"/>
  <c r="IK22" i="30"/>
  <c r="JG22" i="30"/>
  <c r="KC22" i="30"/>
  <c r="LA22" i="30"/>
  <c r="LW22" i="30"/>
  <c r="MS22" i="30"/>
  <c r="NQ22" i="30"/>
  <c r="OM22" i="30"/>
  <c r="PI22" i="30"/>
  <c r="QG22" i="30"/>
  <c r="RC22" i="30"/>
  <c r="RY22" i="30"/>
  <c r="JM14" i="28"/>
  <c r="JN14" i="28" s="1"/>
  <c r="JM18" i="28"/>
  <c r="JN18" i="28" s="1"/>
  <c r="AH22" i="28"/>
  <c r="FN22" i="28"/>
  <c r="ID22" i="28"/>
  <c r="JB22" i="28"/>
  <c r="JX22" i="28"/>
  <c r="KT22" i="28"/>
  <c r="LR22" i="28"/>
  <c r="NJ22" i="28"/>
  <c r="OH22" i="28"/>
  <c r="PZ22" i="28"/>
  <c r="QX22" i="28"/>
  <c r="RT22" i="28"/>
  <c r="SP22" i="28"/>
  <c r="L22" i="28"/>
  <c r="BF22" i="28"/>
  <c r="CB22" i="28"/>
  <c r="CX22" i="28"/>
  <c r="DV22" i="28"/>
  <c r="ER22" i="28"/>
  <c r="GL22" i="28"/>
  <c r="HH22" i="28"/>
  <c r="MN22" i="28"/>
  <c r="PD22" i="28"/>
  <c r="G22" i="28"/>
  <c r="AC22" i="28"/>
  <c r="AY22" i="28"/>
  <c r="BW22" i="28"/>
  <c r="CS22" i="28"/>
  <c r="DO22" i="28"/>
  <c r="EM22" i="28"/>
  <c r="FI22" i="28"/>
  <c r="GE22" i="28"/>
  <c r="HC22" i="28"/>
  <c r="HY22" i="28"/>
  <c r="IU22" i="28"/>
  <c r="JS22" i="28"/>
  <c r="KO22" i="28"/>
  <c r="LK22" i="28"/>
  <c r="MI22" i="28"/>
  <c r="NE22" i="28"/>
  <c r="OA22" i="28"/>
  <c r="OY22" i="28"/>
  <c r="PU22" i="28"/>
  <c r="QQ22" i="28"/>
  <c r="RO22" i="28"/>
  <c r="SK22" i="28"/>
  <c r="X22" i="28"/>
  <c r="BB1" i="28"/>
  <c r="R5" i="28"/>
  <c r="S5" i="28" s="1"/>
  <c r="EX5" i="28"/>
  <c r="EY5" i="28" s="1"/>
  <c r="KD5" i="28"/>
  <c r="KE5" i="28" s="1"/>
  <c r="PJ5" i="28"/>
  <c r="PK5" i="28" s="1"/>
  <c r="AZ6" i="28"/>
  <c r="BA6" i="28" s="1"/>
  <c r="GF6" i="28"/>
  <c r="GG6" i="28" s="1"/>
  <c r="LL6" i="28"/>
  <c r="LM6" i="28" s="1"/>
  <c r="QR6" i="28"/>
  <c r="QS6" i="28" s="1"/>
  <c r="CH7" i="28"/>
  <c r="CI7" i="28" s="1"/>
  <c r="HN7" i="28"/>
  <c r="HO7" i="28" s="1"/>
  <c r="MT7" i="28"/>
  <c r="MU7" i="28" s="1"/>
  <c r="RZ7" i="28"/>
  <c r="SA7" i="28" s="1"/>
  <c r="RT9" i="28"/>
  <c r="RZ9" i="28"/>
  <c r="SA9" i="28" s="1"/>
  <c r="AZ5" i="28"/>
  <c r="BA5" i="28" s="1"/>
  <c r="GF5" i="28"/>
  <c r="GG5" i="28" s="1"/>
  <c r="LL5" i="28"/>
  <c r="LM5" i="28" s="1"/>
  <c r="QR5" i="28"/>
  <c r="QS5" i="28" s="1"/>
  <c r="CH6" i="28"/>
  <c r="CI6" i="28" s="1"/>
  <c r="HN6" i="28"/>
  <c r="HO6" i="28" s="1"/>
  <c r="MT6" i="28"/>
  <c r="MU6" i="28" s="1"/>
  <c r="RZ6" i="28"/>
  <c r="SA6" i="28" s="1"/>
  <c r="DP7" i="28"/>
  <c r="DQ7" i="28" s="1"/>
  <c r="IV7" i="28"/>
  <c r="IW7" i="28" s="1"/>
  <c r="OB7" i="28"/>
  <c r="OC7" i="28" s="1"/>
  <c r="R8" i="28"/>
  <c r="S8" i="28" s="1"/>
  <c r="AZ8" i="28"/>
  <c r="BA8" i="28" s="1"/>
  <c r="CH8" i="28"/>
  <c r="CI8" i="28" s="1"/>
  <c r="DP8" i="28"/>
  <c r="DQ8" i="28" s="1"/>
  <c r="EX8" i="28"/>
  <c r="EY8" i="28" s="1"/>
  <c r="GF8" i="28"/>
  <c r="GG8" i="28" s="1"/>
  <c r="HN8" i="28"/>
  <c r="HO8" i="28" s="1"/>
  <c r="IV8" i="28"/>
  <c r="IW8" i="28" s="1"/>
  <c r="KD8" i="28"/>
  <c r="KE8" i="28" s="1"/>
  <c r="LL8" i="28"/>
  <c r="LM8" i="28" s="1"/>
  <c r="MT8" i="28"/>
  <c r="MU8" i="28" s="1"/>
  <c r="OB8" i="28"/>
  <c r="OC8" i="28" s="1"/>
  <c r="PJ8" i="28"/>
  <c r="PK8" i="28" s="1"/>
  <c r="QR8" i="28"/>
  <c r="QS8" i="28" s="1"/>
  <c r="RZ8" i="28"/>
  <c r="SA8" i="28" s="1"/>
  <c r="R9" i="28"/>
  <c r="S9" i="28" s="1"/>
  <c r="AZ9" i="28"/>
  <c r="BA9" i="28" s="1"/>
  <c r="CH9" i="28"/>
  <c r="CI9" i="28" s="1"/>
  <c r="DP9" i="28"/>
  <c r="DQ9" i="28" s="1"/>
  <c r="EX9" i="28"/>
  <c r="EY9" i="28" s="1"/>
  <c r="GF9" i="28"/>
  <c r="GG9" i="28" s="1"/>
  <c r="HN9" i="28"/>
  <c r="HO9" i="28" s="1"/>
  <c r="IV9" i="28"/>
  <c r="IW9" i="28" s="1"/>
  <c r="KD9" i="28"/>
  <c r="KE9" i="28" s="1"/>
  <c r="LL9" i="28"/>
  <c r="LM9" i="28" s="1"/>
  <c r="MT9" i="28"/>
  <c r="MU9" i="28" s="1"/>
  <c r="OB9" i="28"/>
  <c r="OC9" i="28" s="1"/>
  <c r="PJ9" i="28"/>
  <c r="PK9" i="28" s="1"/>
  <c r="CH5" i="28"/>
  <c r="CI5" i="28" s="1"/>
  <c r="HN5" i="28"/>
  <c r="HO5" i="28" s="1"/>
  <c r="MT5" i="28"/>
  <c r="MU5" i="28" s="1"/>
  <c r="RZ5" i="28"/>
  <c r="SA5" i="28" s="1"/>
  <c r="DP6" i="28"/>
  <c r="DQ6" i="28" s="1"/>
  <c r="IV6" i="28"/>
  <c r="IW6" i="28" s="1"/>
  <c r="OB6" i="28"/>
  <c r="OC6" i="28" s="1"/>
  <c r="R7" i="28"/>
  <c r="S7" i="28" s="1"/>
  <c r="EX7" i="28"/>
  <c r="EY7" i="28" s="1"/>
  <c r="KD7" i="28"/>
  <c r="KE7" i="28" s="1"/>
  <c r="PJ7" i="28"/>
  <c r="PK7" i="28" s="1"/>
  <c r="QA9" i="28"/>
  <c r="QB9" i="28" s="1"/>
  <c r="RI9" i="28"/>
  <c r="RJ9" i="28" s="1"/>
  <c r="QX9" i="28"/>
  <c r="AI5" i="28"/>
  <c r="AJ5" i="28" s="1"/>
  <c r="BQ5" i="28"/>
  <c r="BR5" i="28" s="1"/>
  <c r="CY5" i="28"/>
  <c r="CZ5" i="28" s="1"/>
  <c r="EG5" i="28"/>
  <c r="EH5" i="28" s="1"/>
  <c r="FO5" i="28"/>
  <c r="FP5" i="28" s="1"/>
  <c r="GW5" i="28"/>
  <c r="GX5" i="28" s="1"/>
  <c r="IE5" i="28"/>
  <c r="IF5" i="28" s="1"/>
  <c r="JM5" i="28"/>
  <c r="JN5" i="28" s="1"/>
  <c r="KU5" i="28"/>
  <c r="KV5" i="28" s="1"/>
  <c r="MC5" i="28"/>
  <c r="MD5" i="28" s="1"/>
  <c r="NK5" i="28"/>
  <c r="NL5" i="28" s="1"/>
  <c r="OS5" i="28"/>
  <c r="OT5" i="28" s="1"/>
  <c r="QA5" i="28"/>
  <c r="QB5" i="28" s="1"/>
  <c r="RI5" i="28"/>
  <c r="RJ5" i="28" s="1"/>
  <c r="SQ5" i="28"/>
  <c r="SR5" i="28" s="1"/>
  <c r="AI6" i="28"/>
  <c r="AJ6" i="28" s="1"/>
  <c r="BQ6" i="28"/>
  <c r="BR6" i="28" s="1"/>
  <c r="CY6" i="28"/>
  <c r="CZ6" i="28" s="1"/>
  <c r="EG6" i="28"/>
  <c r="EH6" i="28" s="1"/>
  <c r="FO6" i="28"/>
  <c r="FP6" i="28" s="1"/>
  <c r="GW6" i="28"/>
  <c r="GX6" i="28" s="1"/>
  <c r="IE6" i="28"/>
  <c r="IF6" i="28" s="1"/>
  <c r="JM6" i="28"/>
  <c r="JN6" i="28" s="1"/>
  <c r="KU6" i="28"/>
  <c r="KV6" i="28" s="1"/>
  <c r="MC6" i="28"/>
  <c r="MD6" i="28" s="1"/>
  <c r="NK6" i="28"/>
  <c r="NL6" i="28" s="1"/>
  <c r="OS6" i="28"/>
  <c r="OT6" i="28" s="1"/>
  <c r="QA6" i="28"/>
  <c r="QB6" i="28" s="1"/>
  <c r="RI6" i="28"/>
  <c r="RJ6" i="28" s="1"/>
  <c r="SQ6" i="28"/>
  <c r="SR6" i="28" s="1"/>
  <c r="AI7" i="28"/>
  <c r="AJ7" i="28" s="1"/>
  <c r="BQ7" i="28"/>
  <c r="BR7" i="28" s="1"/>
  <c r="CY7" i="28"/>
  <c r="CZ7" i="28" s="1"/>
  <c r="EG7" i="28"/>
  <c r="EH7" i="28" s="1"/>
  <c r="FO7" i="28"/>
  <c r="FP7" i="28" s="1"/>
  <c r="GW7" i="28"/>
  <c r="GX7" i="28" s="1"/>
  <c r="IE7" i="28"/>
  <c r="IF7" i="28" s="1"/>
  <c r="JM7" i="28"/>
  <c r="JN7" i="28" s="1"/>
  <c r="KU7" i="28"/>
  <c r="KV7" i="28" s="1"/>
  <c r="MC7" i="28"/>
  <c r="MD7" i="28" s="1"/>
  <c r="NK7" i="28"/>
  <c r="NL7" i="28" s="1"/>
  <c r="OS7" i="28"/>
  <c r="OT7" i="28" s="1"/>
  <c r="QA7" i="28"/>
  <c r="QB7" i="28" s="1"/>
  <c r="RI7" i="28"/>
  <c r="RJ7" i="28" s="1"/>
  <c r="SQ7" i="28"/>
  <c r="SR7" i="28" s="1"/>
  <c r="AI8" i="28"/>
  <c r="AJ8" i="28" s="1"/>
  <c r="BQ8" i="28"/>
  <c r="BR8" i="28" s="1"/>
  <c r="CY8" i="28"/>
  <c r="CZ8" i="28" s="1"/>
  <c r="EG8" i="28"/>
  <c r="EH8" i="28" s="1"/>
  <c r="FO8" i="28"/>
  <c r="FP8" i="28" s="1"/>
  <c r="GW8" i="28"/>
  <c r="GX8" i="28" s="1"/>
  <c r="IE8" i="28"/>
  <c r="IF8" i="28" s="1"/>
  <c r="JM8" i="28"/>
  <c r="JN8" i="28" s="1"/>
  <c r="KU8" i="28"/>
  <c r="KV8" i="28" s="1"/>
  <c r="MC8" i="28"/>
  <c r="MD8" i="28" s="1"/>
  <c r="NK8" i="28"/>
  <c r="NL8" i="28" s="1"/>
  <c r="OS8" i="28"/>
  <c r="OT8" i="28" s="1"/>
  <c r="QA8" i="28"/>
  <c r="QB8" i="28" s="1"/>
  <c r="RI8" i="28"/>
  <c r="RJ8" i="28" s="1"/>
  <c r="SQ8" i="28"/>
  <c r="SR8" i="28" s="1"/>
  <c r="AI9" i="28"/>
  <c r="AJ9" i="28" s="1"/>
  <c r="BQ9" i="28"/>
  <c r="BR9" i="28" s="1"/>
  <c r="CY9" i="28"/>
  <c r="CZ9" i="28" s="1"/>
  <c r="EG9" i="28"/>
  <c r="EH9" i="28" s="1"/>
  <c r="FO9" i="28"/>
  <c r="FP9" i="28" s="1"/>
  <c r="GW9" i="28"/>
  <c r="GX9" i="28" s="1"/>
  <c r="IE9" i="28"/>
  <c r="IF9" i="28" s="1"/>
  <c r="JM9" i="28"/>
  <c r="JN9" i="28" s="1"/>
  <c r="KU9" i="28"/>
  <c r="KV9" i="28" s="1"/>
  <c r="MC9" i="28"/>
  <c r="MD9" i="28" s="1"/>
  <c r="NK9" i="28"/>
  <c r="NL9" i="28" s="1"/>
  <c r="OS9" i="28"/>
  <c r="OT9" i="28" s="1"/>
  <c r="PP9" i="28"/>
  <c r="X11" i="28"/>
  <c r="BF11" i="28"/>
  <c r="CN11" i="28"/>
  <c r="DV11" i="28"/>
  <c r="FD11" i="28"/>
  <c r="GL11" i="28"/>
  <c r="HT11" i="28"/>
  <c r="JB11" i="28"/>
  <c r="KJ11" i="28"/>
  <c r="LR11" i="28"/>
  <c r="MZ11" i="28"/>
  <c r="OH11" i="28"/>
  <c r="PP11" i="28"/>
  <c r="QX11" i="28"/>
  <c r="SF11" i="28"/>
  <c r="X12" i="28"/>
  <c r="BF12" i="28"/>
  <c r="DP12" i="28"/>
  <c r="DQ12" i="28" s="1"/>
  <c r="DE12" i="28"/>
  <c r="CH12" i="28"/>
  <c r="CI12" i="28" s="1"/>
  <c r="DV12" i="28"/>
  <c r="R11" i="28"/>
  <c r="S11" i="28" s="1"/>
  <c r="AZ11" i="28"/>
  <c r="BA11" i="28" s="1"/>
  <c r="CH11" i="28"/>
  <c r="CI11" i="28" s="1"/>
  <c r="DP11" i="28"/>
  <c r="DQ11" i="28" s="1"/>
  <c r="EX11" i="28"/>
  <c r="EY11" i="28" s="1"/>
  <c r="GF11" i="28"/>
  <c r="GG11" i="28" s="1"/>
  <c r="HN11" i="28"/>
  <c r="HO11" i="28" s="1"/>
  <c r="IV11" i="28"/>
  <c r="IW11" i="28" s="1"/>
  <c r="KD11" i="28"/>
  <c r="KE11" i="28" s="1"/>
  <c r="LL11" i="28"/>
  <c r="LM11" i="28" s="1"/>
  <c r="MT11" i="28"/>
  <c r="MU11" i="28" s="1"/>
  <c r="OB11" i="28"/>
  <c r="OC11" i="28" s="1"/>
  <c r="PJ11" i="28"/>
  <c r="PK11" i="28" s="1"/>
  <c r="QR11" i="28"/>
  <c r="QS11" i="28" s="1"/>
  <c r="RZ11" i="28"/>
  <c r="SA11" i="28" s="1"/>
  <c r="R12" i="28"/>
  <c r="S12" i="28" s="1"/>
  <c r="AZ12" i="28"/>
  <c r="BA12" i="28" s="1"/>
  <c r="EX12" i="28"/>
  <c r="EY12" i="28" s="1"/>
  <c r="EM12" i="28"/>
  <c r="FO12" i="28"/>
  <c r="FP12" i="28" s="1"/>
  <c r="FD12" i="28"/>
  <c r="GF12" i="28"/>
  <c r="GG12" i="28" s="1"/>
  <c r="FU12" i="28"/>
  <c r="GW12" i="28"/>
  <c r="GX12" i="28" s="1"/>
  <c r="GL12" i="28"/>
  <c r="HN12" i="28"/>
  <c r="HO12" i="28" s="1"/>
  <c r="HC12" i="28"/>
  <c r="IE12" i="28"/>
  <c r="IF12" i="28" s="1"/>
  <c r="HT12" i="28"/>
  <c r="IV12" i="28"/>
  <c r="IW12" i="28" s="1"/>
  <c r="IK12" i="28"/>
  <c r="JM12" i="28"/>
  <c r="JN12" i="28" s="1"/>
  <c r="JB12" i="28"/>
  <c r="KD12" i="28"/>
  <c r="KE12" i="28" s="1"/>
  <c r="JS12" i="28"/>
  <c r="KU12" i="28"/>
  <c r="KV12" i="28" s="1"/>
  <c r="KJ12" i="28"/>
  <c r="LL12" i="28"/>
  <c r="LM12" i="28" s="1"/>
  <c r="LA12" i="28"/>
  <c r="MC12" i="28"/>
  <c r="MD12" i="28" s="1"/>
  <c r="LR12" i="28"/>
  <c r="MT12" i="28"/>
  <c r="MU12" i="28" s="1"/>
  <c r="MI12" i="28"/>
  <c r="NK12" i="28"/>
  <c r="NL12" i="28" s="1"/>
  <c r="MZ12" i="28"/>
  <c r="OB12" i="28"/>
  <c r="OC12" i="28" s="1"/>
  <c r="NQ12" i="28"/>
  <c r="OS12" i="28"/>
  <c r="OT12" i="28" s="1"/>
  <c r="OH12" i="28"/>
  <c r="PJ12" i="28"/>
  <c r="PK12" i="28" s="1"/>
  <c r="OY12" i="28"/>
  <c r="QA12" i="28"/>
  <c r="QB12" i="28" s="1"/>
  <c r="PP12" i="28"/>
  <c r="QR12" i="28"/>
  <c r="QS12" i="28" s="1"/>
  <c r="QG12" i="28"/>
  <c r="RI12" i="28"/>
  <c r="RJ12" i="28" s="1"/>
  <c r="QX12" i="28"/>
  <c r="RZ12" i="28"/>
  <c r="SA12" i="28" s="1"/>
  <c r="RO12" i="28"/>
  <c r="SQ12" i="28"/>
  <c r="SR12" i="28" s="1"/>
  <c r="SF12" i="28"/>
  <c r="G14" i="28"/>
  <c r="AO14" i="28"/>
  <c r="BW14" i="28"/>
  <c r="DE14" i="28"/>
  <c r="EM14" i="28"/>
  <c r="FU14" i="28"/>
  <c r="HC14" i="28"/>
  <c r="IK14" i="28"/>
  <c r="JS14" i="28"/>
  <c r="LA14" i="28"/>
  <c r="MI14" i="28"/>
  <c r="OH14" i="28"/>
  <c r="PJ14" i="28"/>
  <c r="PK14" i="28" s="1"/>
  <c r="QG14" i="28"/>
  <c r="RO14" i="28"/>
  <c r="G15" i="28"/>
  <c r="AO15" i="28"/>
  <c r="BW15" i="28"/>
  <c r="DE15" i="28"/>
  <c r="EM15" i="28"/>
  <c r="FU15" i="28"/>
  <c r="HC15" i="28"/>
  <c r="IK15" i="28"/>
  <c r="X14" i="28"/>
  <c r="BF14" i="28"/>
  <c r="CN14" i="28"/>
  <c r="DV14" i="28"/>
  <c r="FD14" i="28"/>
  <c r="GL14" i="28"/>
  <c r="HT14" i="28"/>
  <c r="JB14" i="28"/>
  <c r="KJ14" i="28"/>
  <c r="LR14" i="28"/>
  <c r="MZ14" i="28"/>
  <c r="OB14" i="28"/>
  <c r="OC14" i="28" s="1"/>
  <c r="PP14" i="28"/>
  <c r="QX14" i="28"/>
  <c r="SF14" i="28"/>
  <c r="X15" i="28"/>
  <c r="BF15" i="28"/>
  <c r="CN15" i="28"/>
  <c r="DV15" i="28"/>
  <c r="FD15" i="28"/>
  <c r="GL15" i="28"/>
  <c r="HT15" i="28"/>
  <c r="MZ15" i="28"/>
  <c r="OH15" i="28"/>
  <c r="PP15" i="28"/>
  <c r="QX15" i="28"/>
  <c r="SF15" i="28"/>
  <c r="X17" i="28"/>
  <c r="BF17" i="28"/>
  <c r="CN17" i="28"/>
  <c r="DV17" i="28"/>
  <c r="EX17" i="28"/>
  <c r="EY17" i="28" s="1"/>
  <c r="FU17" i="28"/>
  <c r="HC17" i="28"/>
  <c r="IK17" i="28"/>
  <c r="JS17" i="28"/>
  <c r="LA17" i="28"/>
  <c r="MI17" i="28"/>
  <c r="NQ17" i="28"/>
  <c r="OY17" i="28"/>
  <c r="QG17" i="28"/>
  <c r="RO17" i="28"/>
  <c r="IE21" i="28"/>
  <c r="IF21" i="28" s="1"/>
  <c r="HT21" i="28"/>
  <c r="SQ21" i="28"/>
  <c r="SR21" i="28" s="1"/>
  <c r="SF21" i="28"/>
  <c r="NQ15" i="28"/>
  <c r="OY15" i="28"/>
  <c r="QG15" i="28"/>
  <c r="RO15" i="28"/>
  <c r="G17" i="28"/>
  <c r="AO17" i="28"/>
  <c r="BW17" i="28"/>
  <c r="DE17" i="28"/>
  <c r="FD17" i="28"/>
  <c r="GL17" i="28"/>
  <c r="HT17" i="28"/>
  <c r="JB17" i="28"/>
  <c r="KJ17" i="28"/>
  <c r="LR17" i="28"/>
  <c r="MZ17" i="28"/>
  <c r="OH17" i="28"/>
  <c r="PP17" i="28"/>
  <c r="QX17" i="28"/>
  <c r="SF17" i="28"/>
  <c r="X18" i="28"/>
  <c r="BF18" i="28"/>
  <c r="CN18" i="28"/>
  <c r="DV18" i="28"/>
  <c r="FD18" i="28"/>
  <c r="GL18" i="28"/>
  <c r="KU18" i="28"/>
  <c r="KV18" i="28" s="1"/>
  <c r="QA18" i="28"/>
  <c r="QB18" i="28" s="1"/>
  <c r="BQ19" i="28"/>
  <c r="BR19" i="28" s="1"/>
  <c r="GW19" i="28"/>
  <c r="GX19" i="28" s="1"/>
  <c r="MC19" i="28"/>
  <c r="MD19" i="28" s="1"/>
  <c r="MC18" i="28"/>
  <c r="MD18" i="28" s="1"/>
  <c r="RI18" i="28"/>
  <c r="RJ18" i="28" s="1"/>
  <c r="CY19" i="28"/>
  <c r="CZ19" i="28" s="1"/>
  <c r="IE19" i="28"/>
  <c r="IF19" i="28" s="1"/>
  <c r="NK19" i="28"/>
  <c r="NL19" i="28" s="1"/>
  <c r="OS19" i="28"/>
  <c r="OT19" i="28" s="1"/>
  <c r="QA19" i="28"/>
  <c r="QB19" i="28" s="1"/>
  <c r="RI19" i="28"/>
  <c r="RJ19" i="28" s="1"/>
  <c r="SQ19" i="28"/>
  <c r="SR19" i="28" s="1"/>
  <c r="CY21" i="28"/>
  <c r="CZ21" i="28" s="1"/>
  <c r="CN21" i="28"/>
  <c r="NK21" i="28"/>
  <c r="NL21" i="28" s="1"/>
  <c r="MZ21" i="28"/>
  <c r="IV18" i="28"/>
  <c r="IW18" i="28" s="1"/>
  <c r="KD18" i="28"/>
  <c r="KE18" i="28" s="1"/>
  <c r="LL18" i="28"/>
  <c r="LM18" i="28" s="1"/>
  <c r="MT18" i="28"/>
  <c r="MU18" i="28" s="1"/>
  <c r="OB18" i="28"/>
  <c r="OC18" i="28" s="1"/>
  <c r="PJ18" i="28"/>
  <c r="PK18" i="28" s="1"/>
  <c r="QR18" i="28"/>
  <c r="QS18" i="28" s="1"/>
  <c r="RZ18" i="28"/>
  <c r="SA18" i="28" s="1"/>
  <c r="R19" i="28"/>
  <c r="S19" i="28" s="1"/>
  <c r="AZ19" i="28"/>
  <c r="BA19" i="28" s="1"/>
  <c r="CH19" i="28"/>
  <c r="CI19" i="28" s="1"/>
  <c r="DP19" i="28"/>
  <c r="DQ19" i="28" s="1"/>
  <c r="EX19" i="28"/>
  <c r="EY19" i="28" s="1"/>
  <c r="GF19" i="28"/>
  <c r="GG19" i="28" s="1"/>
  <c r="HN19" i="28"/>
  <c r="HO19" i="28" s="1"/>
  <c r="IV19" i="28"/>
  <c r="IW19" i="28" s="1"/>
  <c r="KD19" i="28"/>
  <c r="KE19" i="28" s="1"/>
  <c r="LL19" i="28"/>
  <c r="LM19" i="28" s="1"/>
  <c r="MT19" i="28"/>
  <c r="MU19" i="28" s="1"/>
  <c r="OB19" i="28"/>
  <c r="OC19" i="28" s="1"/>
  <c r="PJ19" i="28"/>
  <c r="PK19" i="28" s="1"/>
  <c r="QR19" i="28"/>
  <c r="QS19" i="28" s="1"/>
  <c r="RZ19" i="28"/>
  <c r="SA19" i="28" s="1"/>
  <c r="R21" i="28"/>
  <c r="S21" i="28" s="1"/>
  <c r="G21" i="28"/>
  <c r="DP21" i="28"/>
  <c r="DQ21" i="28" s="1"/>
  <c r="DV21" i="28"/>
  <c r="IV21" i="28"/>
  <c r="IW21" i="28" s="1"/>
  <c r="JB21" i="28"/>
  <c r="OB21" i="28"/>
  <c r="OC21" i="28" s="1"/>
  <c r="OH21" i="28"/>
  <c r="X21" i="28"/>
  <c r="EX21" i="28"/>
  <c r="EY21" i="28" s="1"/>
  <c r="FD21" i="28"/>
  <c r="KD21" i="28"/>
  <c r="KE21" i="28" s="1"/>
  <c r="KJ21" i="28"/>
  <c r="PJ21" i="28"/>
  <c r="PK21" i="28" s="1"/>
  <c r="PP21" i="28"/>
  <c r="AO21" i="28"/>
  <c r="BW21" i="28"/>
  <c r="DE21" i="28"/>
  <c r="EM21" i="28"/>
  <c r="FU21" i="28"/>
  <c r="HC21" i="28"/>
  <c r="IK21" i="28"/>
  <c r="JS21" i="28"/>
  <c r="LA21" i="28"/>
  <c r="MI21" i="28"/>
  <c r="NQ21" i="28"/>
  <c r="OY21" i="28"/>
  <c r="QG21" i="28"/>
  <c r="RO21" i="28"/>
  <c r="Q22" i="28"/>
  <c r="AT22" i="28"/>
  <c r="BP22" i="28"/>
  <c r="CN22" i="28"/>
  <c r="DJ22" i="28"/>
  <c r="EF22" i="28"/>
  <c r="FD22" i="28"/>
  <c r="FZ22" i="28"/>
  <c r="GV22" i="28"/>
  <c r="HT22" i="28"/>
  <c r="IP22" i="28"/>
  <c r="JL22" i="28"/>
  <c r="KJ22" i="28"/>
  <c r="LF22" i="28"/>
  <c r="MB22" i="28"/>
  <c r="MZ22" i="28"/>
  <c r="NV22" i="28"/>
  <c r="OR22" i="28"/>
  <c r="PP22" i="28"/>
  <c r="QL22" i="28"/>
  <c r="RH22" i="28"/>
  <c r="SF22" i="28"/>
  <c r="AO22" i="28"/>
  <c r="BK22" i="28"/>
  <c r="CG22" i="28"/>
  <c r="DE22" i="28"/>
  <c r="EA22" i="28"/>
  <c r="EW22" i="28"/>
  <c r="FU22" i="28"/>
  <c r="GQ22" i="28"/>
  <c r="HM22" i="28"/>
  <c r="IK22" i="28"/>
  <c r="JG22" i="28"/>
  <c r="KC22" i="28"/>
  <c r="LA22" i="28"/>
  <c r="LW22" i="28"/>
  <c r="MS22" i="28"/>
  <c r="NQ22" i="28"/>
  <c r="OM22" i="28"/>
  <c r="PI22" i="28"/>
  <c r="QG22" i="28"/>
  <c r="RC22" i="28"/>
  <c r="RY22" i="28"/>
  <c r="PJ15" i="26"/>
  <c r="PK15" i="26" s="1"/>
  <c r="R17" i="26"/>
  <c r="S17" i="26" s="1"/>
  <c r="AZ17" i="26"/>
  <c r="BA17" i="26" s="1"/>
  <c r="BQ17" i="26"/>
  <c r="BR17" i="26" s="1"/>
  <c r="CH14" i="26"/>
  <c r="CI14" i="26" s="1"/>
  <c r="CN11" i="26"/>
  <c r="CN14" i="26"/>
  <c r="CY17" i="26"/>
  <c r="CZ17" i="26" s="1"/>
  <c r="DP17" i="26"/>
  <c r="DQ17" i="26" s="1"/>
  <c r="DV14" i="26"/>
  <c r="FO17" i="26"/>
  <c r="FP17" i="26" s="1"/>
  <c r="GF14" i="26"/>
  <c r="GG14" i="26" s="1"/>
  <c r="GW14" i="26"/>
  <c r="GX14" i="26" s="1"/>
  <c r="GW17" i="26"/>
  <c r="GX17" i="26" s="1"/>
  <c r="HN17" i="26"/>
  <c r="HO17" i="26" s="1"/>
  <c r="HN14" i="26"/>
  <c r="HO14" i="26" s="1"/>
  <c r="IE14" i="26"/>
  <c r="IF14" i="26" s="1"/>
  <c r="IE17" i="26"/>
  <c r="IF17" i="26" s="1"/>
  <c r="IV14" i="26"/>
  <c r="IW14" i="26" s="1"/>
  <c r="IV11" i="26"/>
  <c r="IW11" i="26" s="1"/>
  <c r="JM11" i="26"/>
  <c r="JN11" i="26" s="1"/>
  <c r="JM14" i="26"/>
  <c r="JN14" i="26" s="1"/>
  <c r="JM17" i="26"/>
  <c r="JN17" i="26" s="1"/>
  <c r="KD11" i="26"/>
  <c r="KE11" i="26" s="1"/>
  <c r="KU11" i="26"/>
  <c r="KV11" i="26" s="1"/>
  <c r="KU17" i="26"/>
  <c r="KV17" i="26" s="1"/>
  <c r="MC11" i="26"/>
  <c r="MD11" i="26" s="1"/>
  <c r="MC14" i="26"/>
  <c r="MD14" i="26" s="1"/>
  <c r="PZ22" i="26"/>
  <c r="SP22" i="26"/>
  <c r="NK14" i="26"/>
  <c r="NL14" i="26" s="1"/>
  <c r="OB14" i="26"/>
  <c r="OC14" i="26" s="1"/>
  <c r="OB11" i="26"/>
  <c r="OC11" i="26" s="1"/>
  <c r="OS11" i="26"/>
  <c r="OT11" i="26" s="1"/>
  <c r="OS14" i="26"/>
  <c r="OT14" i="26" s="1"/>
  <c r="PJ14" i="26"/>
  <c r="PK14" i="26" s="1"/>
  <c r="PJ11" i="26"/>
  <c r="PK11" i="26" s="1"/>
  <c r="AH22" i="26"/>
  <c r="BF22" i="26"/>
  <c r="NJ22" i="26"/>
  <c r="QA17" i="26"/>
  <c r="QB17" i="26" s="1"/>
  <c r="SF5" i="26"/>
  <c r="SQ14" i="26"/>
  <c r="SR14" i="26" s="1"/>
  <c r="SQ17" i="26"/>
  <c r="SR17" i="26" s="1"/>
  <c r="RI17" i="26"/>
  <c r="RJ17" i="26" s="1"/>
  <c r="RI14" i="26"/>
  <c r="RJ14" i="26" s="1"/>
  <c r="CX22" i="26"/>
  <c r="DV22" i="26"/>
  <c r="FN22" i="26"/>
  <c r="GL22" i="26"/>
  <c r="ID22" i="26"/>
  <c r="JB22" i="26"/>
  <c r="KT22" i="26"/>
  <c r="LR22" i="26"/>
  <c r="G22" i="26"/>
  <c r="AC22" i="26"/>
  <c r="L22" i="26"/>
  <c r="CB22" i="26"/>
  <c r="ER22" i="26"/>
  <c r="HH22" i="26"/>
  <c r="JX22" i="26"/>
  <c r="MN22" i="26"/>
  <c r="OH22" i="26"/>
  <c r="PD22" i="26"/>
  <c r="QX22" i="26"/>
  <c r="RT22" i="26"/>
  <c r="X22" i="26"/>
  <c r="Q22" i="26"/>
  <c r="BB1" i="26"/>
  <c r="AI5" i="26"/>
  <c r="AJ5" i="26" s="1"/>
  <c r="BQ5" i="26"/>
  <c r="BR5" i="26" s="1"/>
  <c r="CY5" i="26"/>
  <c r="CZ5" i="26" s="1"/>
  <c r="EG5" i="26"/>
  <c r="EH5" i="26" s="1"/>
  <c r="FO5" i="26"/>
  <c r="FP5" i="26" s="1"/>
  <c r="RI9" i="26"/>
  <c r="RJ9" i="26" s="1"/>
  <c r="R11" i="26"/>
  <c r="S11" i="26" s="1"/>
  <c r="G11" i="26"/>
  <c r="NK6" i="26"/>
  <c r="NL6" i="26" s="1"/>
  <c r="OS6" i="26"/>
  <c r="OT6" i="26" s="1"/>
  <c r="QA6" i="26"/>
  <c r="QB6" i="26" s="1"/>
  <c r="RI6" i="26"/>
  <c r="RJ6" i="26" s="1"/>
  <c r="SQ6" i="26"/>
  <c r="SR6" i="26" s="1"/>
  <c r="AI7" i="26"/>
  <c r="AJ7" i="26" s="1"/>
  <c r="BQ7" i="26"/>
  <c r="BR7" i="26" s="1"/>
  <c r="CY7" i="26"/>
  <c r="CZ7" i="26" s="1"/>
  <c r="EG7" i="26"/>
  <c r="EH7" i="26" s="1"/>
  <c r="FO7" i="26"/>
  <c r="FP7" i="26" s="1"/>
  <c r="GW7" i="26"/>
  <c r="GX7" i="26" s="1"/>
  <c r="IE7" i="26"/>
  <c r="IF7" i="26" s="1"/>
  <c r="JM7" i="26"/>
  <c r="JN7" i="26" s="1"/>
  <c r="KU7" i="26"/>
  <c r="KV7" i="26" s="1"/>
  <c r="MC7" i="26"/>
  <c r="MD7" i="26" s="1"/>
  <c r="NK7" i="26"/>
  <c r="NL7" i="26" s="1"/>
  <c r="OS7" i="26"/>
  <c r="OT7" i="26" s="1"/>
  <c r="QA7" i="26"/>
  <c r="QB7" i="26" s="1"/>
  <c r="RI7" i="26"/>
  <c r="RJ7" i="26" s="1"/>
  <c r="SQ7" i="26"/>
  <c r="SR7" i="26" s="1"/>
  <c r="AI8" i="26"/>
  <c r="AJ8" i="26" s="1"/>
  <c r="BQ8" i="26"/>
  <c r="BR8" i="26" s="1"/>
  <c r="CY8" i="26"/>
  <c r="CZ8" i="26" s="1"/>
  <c r="EG8" i="26"/>
  <c r="EH8" i="26" s="1"/>
  <c r="FO8" i="26"/>
  <c r="FP8" i="26" s="1"/>
  <c r="GW8" i="26"/>
  <c r="GX8" i="26" s="1"/>
  <c r="IE8" i="26"/>
  <c r="IF8" i="26" s="1"/>
  <c r="JM8" i="26"/>
  <c r="JN8" i="26" s="1"/>
  <c r="KU8" i="26"/>
  <c r="KV8" i="26" s="1"/>
  <c r="MC8" i="26"/>
  <c r="MD8" i="26" s="1"/>
  <c r="NK8" i="26"/>
  <c r="NL8" i="26" s="1"/>
  <c r="OS8" i="26"/>
  <c r="OT8" i="26" s="1"/>
  <c r="QA8" i="26"/>
  <c r="QB8" i="26" s="1"/>
  <c r="RI8" i="26"/>
  <c r="RJ8" i="26" s="1"/>
  <c r="SQ8" i="26"/>
  <c r="SR8" i="26" s="1"/>
  <c r="AI9" i="26"/>
  <c r="AJ9" i="26" s="1"/>
  <c r="BQ9" i="26"/>
  <c r="BR9" i="26" s="1"/>
  <c r="CY9" i="26"/>
  <c r="CZ9" i="26" s="1"/>
  <c r="EG9" i="26"/>
  <c r="EH9" i="26" s="1"/>
  <c r="FO9" i="26"/>
  <c r="FP9" i="26" s="1"/>
  <c r="GW9" i="26"/>
  <c r="GX9" i="26" s="1"/>
  <c r="IE9" i="26"/>
  <c r="IF9" i="26" s="1"/>
  <c r="RZ9" i="26"/>
  <c r="SA9" i="26" s="1"/>
  <c r="RO9" i="26"/>
  <c r="G5" i="26"/>
  <c r="AO5" i="26"/>
  <c r="BW5" i="26"/>
  <c r="DE5" i="26"/>
  <c r="EM5" i="26"/>
  <c r="FU5" i="26"/>
  <c r="GL5" i="26"/>
  <c r="HC5" i="26"/>
  <c r="HT5" i="26"/>
  <c r="IK5" i="26"/>
  <c r="JB5" i="26"/>
  <c r="JS5" i="26"/>
  <c r="KJ5" i="26"/>
  <c r="LA5" i="26"/>
  <c r="LR5" i="26"/>
  <c r="MI5" i="26"/>
  <c r="MZ5" i="26"/>
  <c r="NQ5" i="26"/>
  <c r="OH5" i="26"/>
  <c r="OY5" i="26"/>
  <c r="PP5" i="26"/>
  <c r="QG5" i="26"/>
  <c r="QX5" i="26"/>
  <c r="RO5" i="26"/>
  <c r="JM9" i="26"/>
  <c r="JN9" i="26" s="1"/>
  <c r="KD9" i="26"/>
  <c r="KE9" i="26" s="1"/>
  <c r="KU9" i="26"/>
  <c r="KV9" i="26" s="1"/>
  <c r="LL9" i="26"/>
  <c r="LM9" i="26" s="1"/>
  <c r="MC9" i="26"/>
  <c r="MD9" i="26" s="1"/>
  <c r="MT9" i="26"/>
  <c r="MU9" i="26" s="1"/>
  <c r="NK9" i="26"/>
  <c r="NL9" i="26" s="1"/>
  <c r="OB9" i="26"/>
  <c r="OC9" i="26" s="1"/>
  <c r="OS9" i="26"/>
  <c r="OT9" i="26" s="1"/>
  <c r="PJ9" i="26"/>
  <c r="PK9" i="26" s="1"/>
  <c r="AC11" i="26"/>
  <c r="AI11" i="26"/>
  <c r="AJ11" i="26" s="1"/>
  <c r="OB6" i="26"/>
  <c r="OC6" i="26" s="1"/>
  <c r="PJ6" i="26"/>
  <c r="PK6" i="26" s="1"/>
  <c r="QR6" i="26"/>
  <c r="QS6" i="26" s="1"/>
  <c r="RZ6" i="26"/>
  <c r="SA6" i="26" s="1"/>
  <c r="R7" i="26"/>
  <c r="S7" i="26" s="1"/>
  <c r="AZ7" i="26"/>
  <c r="BA7" i="26" s="1"/>
  <c r="CH7" i="26"/>
  <c r="CI7" i="26" s="1"/>
  <c r="DP7" i="26"/>
  <c r="DQ7" i="26" s="1"/>
  <c r="EX7" i="26"/>
  <c r="EY7" i="26" s="1"/>
  <c r="GF7" i="26"/>
  <c r="GG7" i="26" s="1"/>
  <c r="HN7" i="26"/>
  <c r="HO7" i="26" s="1"/>
  <c r="IV7" i="26"/>
  <c r="IW7" i="26" s="1"/>
  <c r="KD7" i="26"/>
  <c r="KE7" i="26" s="1"/>
  <c r="LL7" i="26"/>
  <c r="LM7" i="26" s="1"/>
  <c r="MT7" i="26"/>
  <c r="MU7" i="26" s="1"/>
  <c r="OB7" i="26"/>
  <c r="OC7" i="26" s="1"/>
  <c r="PJ7" i="26"/>
  <c r="PK7" i="26" s="1"/>
  <c r="QR7" i="26"/>
  <c r="QS7" i="26" s="1"/>
  <c r="RZ7" i="26"/>
  <c r="SA7" i="26" s="1"/>
  <c r="R8" i="26"/>
  <c r="S8" i="26" s="1"/>
  <c r="AZ8" i="26"/>
  <c r="BA8" i="26" s="1"/>
  <c r="CH8" i="26"/>
  <c r="CI8" i="26" s="1"/>
  <c r="DP8" i="26"/>
  <c r="DQ8" i="26" s="1"/>
  <c r="EX8" i="26"/>
  <c r="EY8" i="26" s="1"/>
  <c r="GF8" i="26"/>
  <c r="GG8" i="26" s="1"/>
  <c r="HN8" i="26"/>
  <c r="HO8" i="26" s="1"/>
  <c r="IV8" i="26"/>
  <c r="IW8" i="26" s="1"/>
  <c r="KD8" i="26"/>
  <c r="KE8" i="26" s="1"/>
  <c r="LL8" i="26"/>
  <c r="LM8" i="26" s="1"/>
  <c r="MT8" i="26"/>
  <c r="MU8" i="26" s="1"/>
  <c r="OB8" i="26"/>
  <c r="OC8" i="26" s="1"/>
  <c r="PJ8" i="26"/>
  <c r="PK8" i="26" s="1"/>
  <c r="QR8" i="26"/>
  <c r="QS8" i="26" s="1"/>
  <c r="RZ8" i="26"/>
  <c r="SA8" i="26" s="1"/>
  <c r="R9" i="26"/>
  <c r="S9" i="26" s="1"/>
  <c r="AZ9" i="26"/>
  <c r="BA9" i="26" s="1"/>
  <c r="CH9" i="26"/>
  <c r="CI9" i="26" s="1"/>
  <c r="DP9" i="26"/>
  <c r="DQ9" i="26" s="1"/>
  <c r="EX9" i="26"/>
  <c r="EY9" i="26" s="1"/>
  <c r="GF9" i="26"/>
  <c r="GG9" i="26" s="1"/>
  <c r="HN9" i="26"/>
  <c r="HO9" i="26" s="1"/>
  <c r="IV9" i="26"/>
  <c r="IW9" i="26" s="1"/>
  <c r="QR9" i="26"/>
  <c r="QS9" i="26" s="1"/>
  <c r="QG9" i="26"/>
  <c r="DP11" i="26"/>
  <c r="DQ11" i="26" s="1"/>
  <c r="EG11" i="26"/>
  <c r="EH11" i="26" s="1"/>
  <c r="EX11" i="26"/>
  <c r="EY11" i="26" s="1"/>
  <c r="FO11" i="26"/>
  <c r="FP11" i="26" s="1"/>
  <c r="GF11" i="26"/>
  <c r="GG11" i="26" s="1"/>
  <c r="GW11" i="26"/>
  <c r="GX11" i="26" s="1"/>
  <c r="HN11" i="26"/>
  <c r="HO11" i="26" s="1"/>
  <c r="IE11" i="26"/>
  <c r="IF11" i="26" s="1"/>
  <c r="AO11" i="26"/>
  <c r="BW11" i="26"/>
  <c r="QA11" i="26"/>
  <c r="QB11" i="26" s="1"/>
  <c r="PP11" i="26"/>
  <c r="BQ11" i="26"/>
  <c r="BR11" i="26" s="1"/>
  <c r="RI11" i="26"/>
  <c r="RJ11" i="26" s="1"/>
  <c r="SQ11" i="26"/>
  <c r="SR11" i="26" s="1"/>
  <c r="AI12" i="26"/>
  <c r="AJ12" i="26" s="1"/>
  <c r="BQ12" i="26"/>
  <c r="BR12" i="26" s="1"/>
  <c r="CY12" i="26"/>
  <c r="CZ12" i="26" s="1"/>
  <c r="EG12" i="26"/>
  <c r="EH12" i="26" s="1"/>
  <c r="FO12" i="26"/>
  <c r="FP12" i="26" s="1"/>
  <c r="GW12" i="26"/>
  <c r="GX12" i="26" s="1"/>
  <c r="IE12" i="26"/>
  <c r="IF12" i="26" s="1"/>
  <c r="JM12" i="26"/>
  <c r="JN12" i="26" s="1"/>
  <c r="KU12" i="26"/>
  <c r="KV12" i="26" s="1"/>
  <c r="MC12" i="26"/>
  <c r="MD12" i="26" s="1"/>
  <c r="NK12" i="26"/>
  <c r="NL12" i="26" s="1"/>
  <c r="OS12" i="26"/>
  <c r="OT12" i="26" s="1"/>
  <c r="QA12" i="26"/>
  <c r="QB12" i="26" s="1"/>
  <c r="RI12" i="26"/>
  <c r="RJ12" i="26" s="1"/>
  <c r="SQ12" i="26"/>
  <c r="SR12" i="26" s="1"/>
  <c r="AZ14" i="26"/>
  <c r="BA14" i="26" s="1"/>
  <c r="KC17" i="26"/>
  <c r="KD17" i="26"/>
  <c r="KE17" i="26" s="1"/>
  <c r="PI17" i="26"/>
  <c r="PJ17" i="26"/>
  <c r="PK17" i="26" s="1"/>
  <c r="AY18" i="26"/>
  <c r="AZ18" i="26"/>
  <c r="BA18" i="26" s="1"/>
  <c r="GE18" i="26"/>
  <c r="GF18" i="26"/>
  <c r="GG18" i="26" s="1"/>
  <c r="HY18" i="26"/>
  <c r="IE18" i="26"/>
  <c r="IF18" i="26" s="1"/>
  <c r="KO18" i="26"/>
  <c r="KU18" i="26"/>
  <c r="KV18" i="26" s="1"/>
  <c r="NE18" i="26"/>
  <c r="NK18" i="26"/>
  <c r="NL18" i="26" s="1"/>
  <c r="PU18" i="26"/>
  <c r="QA18" i="26"/>
  <c r="QB18" i="26" s="1"/>
  <c r="SK18" i="26"/>
  <c r="SQ18" i="26"/>
  <c r="SR18" i="26" s="1"/>
  <c r="BK19" i="26"/>
  <c r="BQ19" i="26"/>
  <c r="BR19" i="26" s="1"/>
  <c r="EA19" i="26"/>
  <c r="EG19" i="26"/>
  <c r="EH19" i="26" s="1"/>
  <c r="GQ19" i="26"/>
  <c r="GW19" i="26"/>
  <c r="GX19" i="26" s="1"/>
  <c r="JG19" i="26"/>
  <c r="JM19" i="26"/>
  <c r="JN19" i="26" s="1"/>
  <c r="QR11" i="26"/>
  <c r="QS11" i="26" s="1"/>
  <c r="RZ11" i="26"/>
  <c r="SA11" i="26" s="1"/>
  <c r="R12" i="26"/>
  <c r="S12" i="26" s="1"/>
  <c r="AZ12" i="26"/>
  <c r="BA12" i="26" s="1"/>
  <c r="CH12" i="26"/>
  <c r="CI12" i="26" s="1"/>
  <c r="DP12" i="26"/>
  <c r="DQ12" i="26" s="1"/>
  <c r="EX12" i="26"/>
  <c r="EY12" i="26" s="1"/>
  <c r="GF12" i="26"/>
  <c r="GG12" i="26" s="1"/>
  <c r="HN12" i="26"/>
  <c r="HO12" i="26" s="1"/>
  <c r="IV12" i="26"/>
  <c r="IW12" i="26" s="1"/>
  <c r="KD12" i="26"/>
  <c r="KE12" i="26" s="1"/>
  <c r="LL12" i="26"/>
  <c r="LM12" i="26" s="1"/>
  <c r="MT12" i="26"/>
  <c r="MU12" i="26" s="1"/>
  <c r="OB12" i="26"/>
  <c r="OC12" i="26" s="1"/>
  <c r="PJ12" i="26"/>
  <c r="PK12" i="26" s="1"/>
  <c r="QR12" i="26"/>
  <c r="QS12" i="26" s="1"/>
  <c r="RZ12" i="26"/>
  <c r="SA12" i="26" s="1"/>
  <c r="ER14" i="26"/>
  <c r="FI14" i="26"/>
  <c r="FZ14" i="26"/>
  <c r="GQ14" i="26"/>
  <c r="HH14" i="26"/>
  <c r="HY14" i="26"/>
  <c r="IP14" i="26"/>
  <c r="JG14" i="26"/>
  <c r="JX14" i="26"/>
  <c r="KO14" i="26"/>
  <c r="LF14" i="26"/>
  <c r="LW14" i="26"/>
  <c r="MN14" i="26"/>
  <c r="NE14" i="26"/>
  <c r="NV14" i="26"/>
  <c r="OM14" i="26"/>
  <c r="MS17" i="26"/>
  <c r="MT17" i="26"/>
  <c r="MU17" i="26" s="1"/>
  <c r="RY17" i="26"/>
  <c r="RZ17" i="26"/>
  <c r="SA17" i="26" s="1"/>
  <c r="DO18" i="26"/>
  <c r="DP18" i="26"/>
  <c r="DQ18" i="26" s="1"/>
  <c r="GQ18" i="26"/>
  <c r="GW18" i="26"/>
  <c r="GX18" i="26" s="1"/>
  <c r="JG18" i="26"/>
  <c r="JM18" i="26"/>
  <c r="JN18" i="26" s="1"/>
  <c r="LW18" i="26"/>
  <c r="MC18" i="26"/>
  <c r="MD18" i="26" s="1"/>
  <c r="OM18" i="26"/>
  <c r="OS18" i="26"/>
  <c r="OT18" i="26" s="1"/>
  <c r="RC18" i="26"/>
  <c r="RI18" i="26"/>
  <c r="RJ18" i="26" s="1"/>
  <c r="AC19" i="26"/>
  <c r="AI19" i="26"/>
  <c r="AJ19" i="26" s="1"/>
  <c r="CS19" i="26"/>
  <c r="CY19" i="26"/>
  <c r="CZ19" i="26" s="1"/>
  <c r="FI19" i="26"/>
  <c r="FO19" i="26"/>
  <c r="FP19" i="26" s="1"/>
  <c r="HY19" i="26"/>
  <c r="IE19" i="26"/>
  <c r="IF19" i="26" s="1"/>
  <c r="KO19" i="26"/>
  <c r="KU19" i="26"/>
  <c r="KV19" i="26" s="1"/>
  <c r="AI14" i="26"/>
  <c r="AJ14" i="26" s="1"/>
  <c r="BQ14" i="26"/>
  <c r="BR14" i="26" s="1"/>
  <c r="IU17" i="26"/>
  <c r="IV17" i="26"/>
  <c r="IW17" i="26" s="1"/>
  <c r="OA17" i="26"/>
  <c r="OB17" i="26"/>
  <c r="OC17" i="26" s="1"/>
  <c r="Q18" i="26"/>
  <c r="R18" i="26"/>
  <c r="S18" i="26" s="1"/>
  <c r="EW18" i="26"/>
  <c r="EX18" i="26"/>
  <c r="EY18" i="26" s="1"/>
  <c r="IP18" i="26"/>
  <c r="IV18" i="26"/>
  <c r="IW18" i="26" s="1"/>
  <c r="LF18" i="26"/>
  <c r="LL18" i="26"/>
  <c r="LM18" i="26" s="1"/>
  <c r="NV18" i="26"/>
  <c r="OB18" i="26"/>
  <c r="OC18" i="26" s="1"/>
  <c r="QL18" i="26"/>
  <c r="QR18" i="26"/>
  <c r="QS18" i="26" s="1"/>
  <c r="L19" i="26"/>
  <c r="R19" i="26"/>
  <c r="S19" i="26" s="1"/>
  <c r="CB19" i="26"/>
  <c r="CH19" i="26"/>
  <c r="CI19" i="26" s="1"/>
  <c r="ER19" i="26"/>
  <c r="EX19" i="26"/>
  <c r="EY19" i="26" s="1"/>
  <c r="HH19" i="26"/>
  <c r="HN19" i="26"/>
  <c r="HO19" i="26" s="1"/>
  <c r="JX19" i="26"/>
  <c r="KD19" i="26"/>
  <c r="KE19" i="26" s="1"/>
  <c r="LK17" i="26"/>
  <c r="LL17" i="26"/>
  <c r="LM17" i="26" s="1"/>
  <c r="QQ17" i="26"/>
  <c r="QR17" i="26"/>
  <c r="QS17" i="26" s="1"/>
  <c r="CG18" i="26"/>
  <c r="CH18" i="26"/>
  <c r="CI18" i="26" s="1"/>
  <c r="HH18" i="26"/>
  <c r="HN18" i="26"/>
  <c r="HO18" i="26" s="1"/>
  <c r="JX18" i="26"/>
  <c r="KD18" i="26"/>
  <c r="KE18" i="26" s="1"/>
  <c r="MN18" i="26"/>
  <c r="MT18" i="26"/>
  <c r="MU18" i="26" s="1"/>
  <c r="PD18" i="26"/>
  <c r="PJ18" i="26"/>
  <c r="PK18" i="26" s="1"/>
  <c r="RT18" i="26"/>
  <c r="RZ18" i="26"/>
  <c r="SA18" i="26" s="1"/>
  <c r="AT19" i="26"/>
  <c r="AZ19" i="26"/>
  <c r="BA19" i="26" s="1"/>
  <c r="DJ19" i="26"/>
  <c r="DP19" i="26"/>
  <c r="DQ19" i="26" s="1"/>
  <c r="FZ19" i="26"/>
  <c r="GF19" i="26"/>
  <c r="GG19" i="26" s="1"/>
  <c r="IP19" i="26"/>
  <c r="IV19" i="26"/>
  <c r="IW19" i="26" s="1"/>
  <c r="LL19" i="26"/>
  <c r="LM19" i="26" s="1"/>
  <c r="AT21" i="26"/>
  <c r="AZ21" i="26"/>
  <c r="BA21" i="26" s="1"/>
  <c r="MI21" i="26"/>
  <c r="MT21" i="26"/>
  <c r="MU21" i="26" s="1"/>
  <c r="RZ21" i="26"/>
  <c r="SA21" i="26" s="1"/>
  <c r="HC21" i="26"/>
  <c r="HN21" i="26"/>
  <c r="HO21" i="26" s="1"/>
  <c r="BW21" i="26"/>
  <c r="CH21" i="26"/>
  <c r="CI21" i="26" s="1"/>
  <c r="LF21" i="26"/>
  <c r="LL21" i="26"/>
  <c r="LM21" i="26" s="1"/>
  <c r="FZ21" i="26"/>
  <c r="GF21" i="26"/>
  <c r="GG21" i="26" s="1"/>
  <c r="PJ21" i="26"/>
  <c r="PK21" i="26" s="1"/>
  <c r="QR21" i="26"/>
  <c r="QS21" i="26" s="1"/>
  <c r="AI21" i="26"/>
  <c r="AJ21" i="26" s="1"/>
  <c r="BQ21" i="26"/>
  <c r="BR21" i="26" s="1"/>
  <c r="CY21" i="26"/>
  <c r="CZ21" i="26" s="1"/>
  <c r="EG21" i="26"/>
  <c r="EH21" i="26" s="1"/>
  <c r="FO21" i="26"/>
  <c r="FP21" i="26" s="1"/>
  <c r="GW21" i="26"/>
  <c r="GX21" i="26" s="1"/>
  <c r="IE21" i="26"/>
  <c r="IF21" i="26" s="1"/>
  <c r="JM21" i="26"/>
  <c r="JN21" i="26" s="1"/>
  <c r="KU21" i="26"/>
  <c r="KV21" i="26" s="1"/>
  <c r="MC21" i="26"/>
  <c r="MD21" i="26" s="1"/>
  <c r="NK21" i="26"/>
  <c r="NL21" i="26" s="1"/>
  <c r="OS21" i="26"/>
  <c r="OT21" i="26" s="1"/>
  <c r="QA21" i="26"/>
  <c r="QB21" i="26" s="1"/>
  <c r="RI21" i="26"/>
  <c r="RJ21" i="26" s="1"/>
  <c r="SQ21" i="26"/>
  <c r="SR21" i="26" s="1"/>
  <c r="AT22" i="26"/>
  <c r="BP22" i="26"/>
  <c r="CN22" i="26"/>
  <c r="DJ22" i="26"/>
  <c r="EF22" i="26"/>
  <c r="FD22" i="26"/>
  <c r="FZ22" i="26"/>
  <c r="GV22" i="26"/>
  <c r="HT22" i="26"/>
  <c r="IP22" i="26"/>
  <c r="JL22" i="26"/>
  <c r="KJ22" i="26"/>
  <c r="LF22" i="26"/>
  <c r="MB22" i="26"/>
  <c r="MZ22" i="26"/>
  <c r="NV22" i="26"/>
  <c r="OR22" i="26"/>
  <c r="PP22" i="26"/>
  <c r="QL22" i="26"/>
  <c r="RH22" i="26"/>
  <c r="SF22" i="26"/>
  <c r="AO22" i="26"/>
  <c r="BK22" i="26"/>
  <c r="CG22" i="26"/>
  <c r="DE22" i="26"/>
  <c r="EA22" i="26"/>
  <c r="EW22" i="26"/>
  <c r="FU22" i="26"/>
  <c r="GQ22" i="26"/>
  <c r="HM22" i="26"/>
  <c r="IK22" i="26"/>
  <c r="AY22" i="26"/>
  <c r="BW22" i="26"/>
  <c r="CS22" i="26"/>
  <c r="DO22" i="26"/>
  <c r="EM22" i="26"/>
  <c r="FI22" i="26"/>
  <c r="GE22" i="26"/>
  <c r="HC22" i="26"/>
  <c r="HY22" i="26"/>
  <c r="IU22" i="26"/>
  <c r="JS22" i="26"/>
  <c r="KO22" i="26"/>
  <c r="LK22" i="26"/>
  <c r="MI22" i="26"/>
  <c r="NE22" i="26"/>
  <c r="OA22" i="26"/>
  <c r="OY22" i="26"/>
  <c r="PU22" i="26"/>
  <c r="QQ22" i="26"/>
  <c r="RO22" i="26"/>
  <c r="SK22" i="26"/>
  <c r="JG22" i="26"/>
  <c r="KC22" i="26"/>
  <c r="LA22" i="26"/>
  <c r="LW22" i="26"/>
  <c r="MS22" i="26"/>
  <c r="NQ22" i="26"/>
  <c r="OM22" i="26"/>
  <c r="PI22" i="26"/>
  <c r="QG22" i="26"/>
  <c r="RC22" i="26"/>
  <c r="RY22" i="26"/>
  <c r="A13" i="31"/>
  <c r="A9" i="31"/>
  <c r="A10" i="31"/>
  <c r="A16" i="29"/>
  <c r="A27" i="31"/>
  <c r="A25" i="29"/>
  <c r="A24" i="31"/>
  <c r="A17" i="29"/>
  <c r="A20" i="29"/>
  <c r="A22" i="31"/>
  <c r="A12" i="29"/>
  <c r="A11" i="29"/>
  <c r="A5" i="27"/>
  <c r="A14" i="29"/>
  <c r="A22" i="27"/>
  <c r="A13" i="27"/>
  <c r="A11" i="27"/>
  <c r="A29" i="27"/>
  <c r="A28" i="27"/>
  <c r="A31" i="27"/>
  <c r="A16" i="27"/>
  <c r="A29" i="29"/>
  <c r="A10" i="24"/>
  <c r="A4" i="24"/>
  <c r="A22" i="24"/>
  <c r="A9" i="24"/>
  <c r="A5" i="24"/>
  <c r="A31" i="24"/>
  <c r="A7" i="24"/>
  <c r="A11" i="24"/>
  <c r="A19" i="31"/>
  <c r="A4" i="31"/>
  <c r="A9" i="29"/>
  <c r="A29" i="31"/>
  <c r="A25" i="31"/>
  <c r="A31" i="29"/>
  <c r="A6" i="31"/>
  <c r="AK2" i="32" s="1"/>
  <c r="A23" i="29"/>
  <c r="A6" i="29"/>
  <c r="A32" i="31"/>
  <c r="A26" i="29"/>
  <c r="A23" i="27"/>
  <c r="A6" i="27"/>
  <c r="A24" i="27"/>
  <c r="A24" i="29"/>
  <c r="A14" i="27"/>
  <c r="A15" i="27"/>
  <c r="A30" i="27"/>
  <c r="A13" i="29"/>
  <c r="A19" i="27"/>
  <c r="A28" i="24"/>
  <c r="A10" i="27"/>
  <c r="A17" i="27"/>
  <c r="A4" i="27"/>
  <c r="A24" i="24"/>
  <c r="A30" i="24"/>
  <c r="A17" i="24"/>
  <c r="A25" i="24"/>
  <c r="A8" i="24"/>
  <c r="A30" i="29"/>
  <c r="A26" i="27"/>
  <c r="A5" i="31"/>
  <c r="A18" i="29"/>
  <c r="A15" i="29"/>
  <c r="A8" i="31"/>
  <c r="A7" i="29"/>
  <c r="A5" i="29"/>
  <c r="A16" i="31"/>
  <c r="A20" i="31"/>
  <c r="A30" i="31"/>
  <c r="A31" i="31"/>
  <c r="A4" i="29"/>
  <c r="A8" i="27"/>
  <c r="A19" i="29"/>
  <c r="A22" i="29"/>
  <c r="A20" i="27"/>
  <c r="A7" i="31"/>
  <c r="A18" i="31"/>
  <c r="A32" i="29"/>
  <c r="A32" i="27"/>
  <c r="A20" i="24"/>
  <c r="A23" i="24"/>
  <c r="A6" i="24"/>
  <c r="A27" i="27"/>
  <c r="A18" i="24"/>
  <c r="A18" i="27"/>
  <c r="A13" i="24"/>
  <c r="A16" i="24"/>
  <c r="A32" i="24"/>
  <c r="A9" i="27"/>
  <c r="A11" i="31"/>
  <c r="A28" i="29"/>
  <c r="A12" i="31"/>
  <c r="A21" i="31"/>
  <c r="A15" i="31"/>
  <c r="A14" i="31"/>
  <c r="A26" i="31"/>
  <c r="A10" i="29"/>
  <c r="A17" i="31"/>
  <c r="A33" i="29"/>
  <c r="A33" i="31"/>
  <c r="A21" i="29"/>
  <c r="A7" i="27"/>
  <c r="A21" i="27"/>
  <c r="A8" i="29"/>
  <c r="A27" i="29"/>
  <c r="A33" i="27"/>
  <c r="A12" i="27"/>
  <c r="A28" i="31"/>
  <c r="A19" i="24"/>
  <c r="A26" i="24"/>
  <c r="A27" i="24"/>
  <c r="A14" i="24"/>
  <c r="A15" i="24"/>
  <c r="A23" i="31"/>
  <c r="A12" i="24"/>
  <c r="A25" i="27"/>
  <c r="A29" i="24"/>
  <c r="A33" i="24"/>
  <c r="A21" i="24"/>
  <c r="BS1" i="32" l="1"/>
  <c r="CJ1" i="30"/>
  <c r="BS1" i="28"/>
  <c r="BS1" i="26"/>
  <c r="SN22" i="14"/>
  <c r="SM22" i="14"/>
  <c r="SL22" i="14"/>
  <c r="SI22" i="14"/>
  <c r="SH22" i="14"/>
  <c r="SG22" i="14"/>
  <c r="SD22" i="14"/>
  <c r="SC22" i="14"/>
  <c r="SB22" i="14"/>
  <c r="SO21" i="14"/>
  <c r="SP21" i="14" s="1"/>
  <c r="SJ21" i="14"/>
  <c r="SK21" i="14" s="1"/>
  <c r="SE21" i="14"/>
  <c r="SQ21" i="14" s="1"/>
  <c r="SR21" i="14" s="1"/>
  <c r="SQ20" i="14"/>
  <c r="SR20" i="14" s="1"/>
  <c r="SO20" i="14"/>
  <c r="SP20" i="14" s="1"/>
  <c r="SJ20" i="14"/>
  <c r="SK20" i="14" s="1"/>
  <c r="SE20" i="14"/>
  <c r="SF20" i="14" s="1"/>
  <c r="SO19" i="14"/>
  <c r="SP19" i="14" s="1"/>
  <c r="SJ19" i="14"/>
  <c r="SK19" i="14" s="1"/>
  <c r="SE19" i="14"/>
  <c r="SO18" i="14"/>
  <c r="SP18" i="14" s="1"/>
  <c r="SJ18" i="14"/>
  <c r="SK18" i="14" s="1"/>
  <c r="SE18" i="14"/>
  <c r="SO17" i="14"/>
  <c r="SP17" i="14" s="1"/>
  <c r="SJ17" i="14"/>
  <c r="SK17" i="14" s="1"/>
  <c r="SE17" i="14"/>
  <c r="SQ16" i="14"/>
  <c r="SR16" i="14" s="1"/>
  <c r="SO16" i="14"/>
  <c r="SP16" i="14" s="1"/>
  <c r="SJ16" i="14"/>
  <c r="SK16" i="14" s="1"/>
  <c r="SE16" i="14"/>
  <c r="SF16" i="14" s="1"/>
  <c r="SO15" i="14"/>
  <c r="SP15" i="14" s="1"/>
  <c r="SJ15" i="14"/>
  <c r="SK15" i="14" s="1"/>
  <c r="SE15" i="14"/>
  <c r="SQ15" i="14" s="1"/>
  <c r="SR15" i="14" s="1"/>
  <c r="SO14" i="14"/>
  <c r="SP14" i="14" s="1"/>
  <c r="SJ14" i="14"/>
  <c r="SK14" i="14" s="1"/>
  <c r="SE14" i="14"/>
  <c r="SQ13" i="14"/>
  <c r="SR13" i="14" s="1"/>
  <c r="SO13" i="14"/>
  <c r="SP13" i="14" s="1"/>
  <c r="SJ13" i="14"/>
  <c r="SK13" i="14" s="1"/>
  <c r="SE13" i="14"/>
  <c r="SF13" i="14" s="1"/>
  <c r="SO12" i="14"/>
  <c r="SP12" i="14" s="1"/>
  <c r="SJ12" i="14"/>
  <c r="SK12" i="14" s="1"/>
  <c r="SE12" i="14"/>
  <c r="SO11" i="14"/>
  <c r="SP11" i="14" s="1"/>
  <c r="SJ11" i="14"/>
  <c r="SK11" i="14" s="1"/>
  <c r="SE11" i="14"/>
  <c r="SQ10" i="14"/>
  <c r="SR10" i="14" s="1"/>
  <c r="SO10" i="14"/>
  <c r="SP10" i="14" s="1"/>
  <c r="SJ10" i="14"/>
  <c r="SK10" i="14" s="1"/>
  <c r="SE10" i="14"/>
  <c r="SF10" i="14" s="1"/>
  <c r="SO9" i="14"/>
  <c r="SP9" i="14" s="1"/>
  <c r="SJ9" i="14"/>
  <c r="SK9" i="14" s="1"/>
  <c r="SE9" i="14"/>
  <c r="SQ9" i="14" s="1"/>
  <c r="SR9" i="14" s="1"/>
  <c r="SO8" i="14"/>
  <c r="SP8" i="14" s="1"/>
  <c r="SJ8" i="14"/>
  <c r="SK8" i="14" s="1"/>
  <c r="SE8" i="14"/>
  <c r="SO7" i="14"/>
  <c r="SP7" i="14" s="1"/>
  <c r="SJ7" i="14"/>
  <c r="SK7" i="14" s="1"/>
  <c r="SE7" i="14"/>
  <c r="SO6" i="14"/>
  <c r="SP6" i="14" s="1"/>
  <c r="SJ6" i="14"/>
  <c r="SK6" i="14" s="1"/>
  <c r="SE6" i="14"/>
  <c r="SO5" i="14"/>
  <c r="SP5" i="14" s="1"/>
  <c r="SJ5" i="14"/>
  <c r="SK5" i="14" s="1"/>
  <c r="SE5" i="14"/>
  <c r="SQ5" i="14" s="1"/>
  <c r="SR5" i="14" s="1"/>
  <c r="SQ4" i="14"/>
  <c r="SR4" i="14" s="1"/>
  <c r="SO4" i="14"/>
  <c r="SP4" i="14" s="1"/>
  <c r="SJ4" i="14"/>
  <c r="SK4" i="14" s="1"/>
  <c r="SE4" i="14"/>
  <c r="SF4" i="14" s="1"/>
  <c r="RW22" i="14"/>
  <c r="RV22" i="14"/>
  <c r="RU22" i="14"/>
  <c r="RR22" i="14"/>
  <c r="RQ22" i="14"/>
  <c r="RP22" i="14"/>
  <c r="RM22" i="14"/>
  <c r="RL22" i="14"/>
  <c r="RK22" i="14"/>
  <c r="RX21" i="14"/>
  <c r="RY21" i="14" s="1"/>
  <c r="RS21" i="14"/>
  <c r="RT21" i="14" s="1"/>
  <c r="RN21" i="14"/>
  <c r="RZ20" i="14"/>
  <c r="SA20" i="14" s="1"/>
  <c r="RX20" i="14"/>
  <c r="RY20" i="14" s="1"/>
  <c r="RS20" i="14"/>
  <c r="RT20" i="14" s="1"/>
  <c r="RN20" i="14"/>
  <c r="RO20" i="14" s="1"/>
  <c r="RX19" i="14"/>
  <c r="RY19" i="14" s="1"/>
  <c r="RS19" i="14"/>
  <c r="RT19" i="14" s="1"/>
  <c r="RN19" i="14"/>
  <c r="RZ19" i="14" s="1"/>
  <c r="SA19" i="14" s="1"/>
  <c r="RX18" i="14"/>
  <c r="RY18" i="14" s="1"/>
  <c r="RS18" i="14"/>
  <c r="RT18" i="14" s="1"/>
  <c r="RN18" i="14"/>
  <c r="RX17" i="14"/>
  <c r="RY17" i="14" s="1"/>
  <c r="RS17" i="14"/>
  <c r="RT17" i="14" s="1"/>
  <c r="RN17" i="14"/>
  <c r="RZ16" i="14"/>
  <c r="SA16" i="14" s="1"/>
  <c r="RX16" i="14"/>
  <c r="RY16" i="14" s="1"/>
  <c r="RS16" i="14"/>
  <c r="RT16" i="14" s="1"/>
  <c r="RN16" i="14"/>
  <c r="RO16" i="14" s="1"/>
  <c r="RX15" i="14"/>
  <c r="RY15" i="14" s="1"/>
  <c r="RS15" i="14"/>
  <c r="RT15" i="14" s="1"/>
  <c r="RN15" i="14"/>
  <c r="RX14" i="14"/>
  <c r="RY14" i="14" s="1"/>
  <c r="RS14" i="14"/>
  <c r="RT14" i="14" s="1"/>
  <c r="RN14" i="14"/>
  <c r="RZ14" i="14" s="1"/>
  <c r="SA14" i="14" s="1"/>
  <c r="RZ13" i="14"/>
  <c r="SA13" i="14" s="1"/>
  <c r="RX13" i="14"/>
  <c r="RY13" i="14" s="1"/>
  <c r="RS13" i="14"/>
  <c r="RT13" i="14" s="1"/>
  <c r="RN13" i="14"/>
  <c r="RO13" i="14" s="1"/>
  <c r="RX12" i="14"/>
  <c r="RY12" i="14" s="1"/>
  <c r="RS12" i="14"/>
  <c r="RT12" i="14" s="1"/>
  <c r="RN12" i="14"/>
  <c r="RX11" i="14"/>
  <c r="RY11" i="14" s="1"/>
  <c r="RS11" i="14"/>
  <c r="RT11" i="14" s="1"/>
  <c r="RN11" i="14"/>
  <c r="RZ10" i="14"/>
  <c r="SA10" i="14" s="1"/>
  <c r="RX10" i="14"/>
  <c r="RY10" i="14" s="1"/>
  <c r="RS10" i="14"/>
  <c r="RT10" i="14" s="1"/>
  <c r="RN10" i="14"/>
  <c r="RO10" i="14" s="1"/>
  <c r="RX9" i="14"/>
  <c r="RY9" i="14" s="1"/>
  <c r="RS9" i="14"/>
  <c r="RT9" i="14" s="1"/>
  <c r="RN9" i="14"/>
  <c r="RX8" i="14"/>
  <c r="RY8" i="14" s="1"/>
  <c r="RS8" i="14"/>
  <c r="RT8" i="14" s="1"/>
  <c r="RN8" i="14"/>
  <c r="RZ8" i="14" s="1"/>
  <c r="SA8" i="14" s="1"/>
  <c r="RX7" i="14"/>
  <c r="RY7" i="14" s="1"/>
  <c r="RS7" i="14"/>
  <c r="RT7" i="14" s="1"/>
  <c r="RN7" i="14"/>
  <c r="RX6" i="14"/>
  <c r="RY6" i="14" s="1"/>
  <c r="RS6" i="14"/>
  <c r="RT6" i="14" s="1"/>
  <c r="RN6" i="14"/>
  <c r="RX5" i="14"/>
  <c r="RY5" i="14" s="1"/>
  <c r="RS5" i="14"/>
  <c r="RT5" i="14" s="1"/>
  <c r="RN5" i="14"/>
  <c r="RZ4" i="14"/>
  <c r="SA4" i="14" s="1"/>
  <c r="RX4" i="14"/>
  <c r="RY4" i="14" s="1"/>
  <c r="RS4" i="14"/>
  <c r="RT4" i="14" s="1"/>
  <c r="RN4" i="14"/>
  <c r="RO4" i="14" s="1"/>
  <c r="RF22" i="14"/>
  <c r="RE22" i="14"/>
  <c r="RD22" i="14"/>
  <c r="RA22" i="14"/>
  <c r="QZ22" i="14"/>
  <c r="QY22" i="14"/>
  <c r="QV22" i="14"/>
  <c r="QU22" i="14"/>
  <c r="QT22" i="14"/>
  <c r="RG21" i="14"/>
  <c r="RH21" i="14" s="1"/>
  <c r="RB21" i="14"/>
  <c r="RC21" i="14" s="1"/>
  <c r="QW21" i="14"/>
  <c r="RI20" i="14"/>
  <c r="RJ20" i="14" s="1"/>
  <c r="RG20" i="14"/>
  <c r="RH20" i="14" s="1"/>
  <c r="RB20" i="14"/>
  <c r="RC20" i="14" s="1"/>
  <c r="QW20" i="14"/>
  <c r="QX20" i="14" s="1"/>
  <c r="RG19" i="14"/>
  <c r="RH19" i="14" s="1"/>
  <c r="RB19" i="14"/>
  <c r="RC19" i="14" s="1"/>
  <c r="QW19" i="14"/>
  <c r="RG18" i="14"/>
  <c r="RH18" i="14" s="1"/>
  <c r="RB18" i="14"/>
  <c r="RC18" i="14" s="1"/>
  <c r="QW18" i="14"/>
  <c r="RI18" i="14" s="1"/>
  <c r="RJ18" i="14" s="1"/>
  <c r="RG17" i="14"/>
  <c r="RH17" i="14" s="1"/>
  <c r="RB17" i="14"/>
  <c r="RC17" i="14" s="1"/>
  <c r="QW17" i="14"/>
  <c r="RI16" i="14"/>
  <c r="RJ16" i="14" s="1"/>
  <c r="RG16" i="14"/>
  <c r="RH16" i="14" s="1"/>
  <c r="RB16" i="14"/>
  <c r="RC16" i="14" s="1"/>
  <c r="QW16" i="14"/>
  <c r="QX16" i="14" s="1"/>
  <c r="RG15" i="14"/>
  <c r="RH15" i="14" s="1"/>
  <c r="RB15" i="14"/>
  <c r="RC15" i="14" s="1"/>
  <c r="QW15" i="14"/>
  <c r="RG14" i="14"/>
  <c r="RH14" i="14" s="1"/>
  <c r="RB14" i="14"/>
  <c r="RC14" i="14" s="1"/>
  <c r="QW14" i="14"/>
  <c r="RI13" i="14"/>
  <c r="RJ13" i="14" s="1"/>
  <c r="RG13" i="14"/>
  <c r="RH13" i="14" s="1"/>
  <c r="RB13" i="14"/>
  <c r="RC13" i="14" s="1"/>
  <c r="QW13" i="14"/>
  <c r="QX13" i="14" s="1"/>
  <c r="RG12" i="14"/>
  <c r="RH12" i="14" s="1"/>
  <c r="RB12" i="14"/>
  <c r="RC12" i="14" s="1"/>
  <c r="QW12" i="14"/>
  <c r="RI12" i="14" s="1"/>
  <c r="RJ12" i="14" s="1"/>
  <c r="RG11" i="14"/>
  <c r="RH11" i="14" s="1"/>
  <c r="RB11" i="14"/>
  <c r="RC11" i="14" s="1"/>
  <c r="QW11" i="14"/>
  <c r="RI10" i="14"/>
  <c r="RJ10" i="14" s="1"/>
  <c r="RG10" i="14"/>
  <c r="RH10" i="14" s="1"/>
  <c r="RB10" i="14"/>
  <c r="RC10" i="14" s="1"/>
  <c r="QW10" i="14"/>
  <c r="QX10" i="14" s="1"/>
  <c r="RG9" i="14"/>
  <c r="RH9" i="14" s="1"/>
  <c r="RB9" i="14"/>
  <c r="RC9" i="14" s="1"/>
  <c r="QW9" i="14"/>
  <c r="RG8" i="14"/>
  <c r="RH8" i="14" s="1"/>
  <c r="RB8" i="14"/>
  <c r="RC8" i="14" s="1"/>
  <c r="QW8" i="14"/>
  <c r="RG7" i="14"/>
  <c r="RH7" i="14" s="1"/>
  <c r="RB7" i="14"/>
  <c r="RC7" i="14" s="1"/>
  <c r="QW7" i="14"/>
  <c r="RI7" i="14" s="1"/>
  <c r="RJ7" i="14" s="1"/>
  <c r="RG6" i="14"/>
  <c r="RH6" i="14" s="1"/>
  <c r="RB6" i="14"/>
  <c r="RC6" i="14" s="1"/>
  <c r="QW6" i="14"/>
  <c r="RG5" i="14"/>
  <c r="RH5" i="14" s="1"/>
  <c r="RB5" i="14"/>
  <c r="RC5" i="14" s="1"/>
  <c r="QW5" i="14"/>
  <c r="RI4" i="14"/>
  <c r="RJ4" i="14" s="1"/>
  <c r="RG4" i="14"/>
  <c r="RH4" i="14" s="1"/>
  <c r="RB4" i="14"/>
  <c r="RC4" i="14" s="1"/>
  <c r="QW4" i="14"/>
  <c r="QX4" i="14" s="1"/>
  <c r="QO22" i="14"/>
  <c r="QN22" i="14"/>
  <c r="QM22" i="14"/>
  <c r="QJ22" i="14"/>
  <c r="QI22" i="14"/>
  <c r="QH22" i="14"/>
  <c r="QE22" i="14"/>
  <c r="QD22" i="14"/>
  <c r="QC22" i="14"/>
  <c r="QP21" i="14"/>
  <c r="QQ21" i="14" s="1"/>
  <c r="QK21" i="14"/>
  <c r="QL21" i="14" s="1"/>
  <c r="QF21" i="14"/>
  <c r="QR20" i="14"/>
  <c r="QS20" i="14" s="1"/>
  <c r="QP20" i="14"/>
  <c r="QQ20" i="14" s="1"/>
  <c r="QK20" i="14"/>
  <c r="QL20" i="14" s="1"/>
  <c r="QF20" i="14"/>
  <c r="QG20" i="14" s="1"/>
  <c r="QP19" i="14"/>
  <c r="QQ19" i="14" s="1"/>
  <c r="QK19" i="14"/>
  <c r="QL19" i="14" s="1"/>
  <c r="QF19" i="14"/>
  <c r="QP18" i="14"/>
  <c r="QQ18" i="14" s="1"/>
  <c r="QK18" i="14"/>
  <c r="QL18" i="14" s="1"/>
  <c r="QF18" i="14"/>
  <c r="QP17" i="14"/>
  <c r="QQ17" i="14" s="1"/>
  <c r="QK17" i="14"/>
  <c r="QL17" i="14" s="1"/>
  <c r="QF17" i="14"/>
  <c r="QR17" i="14" s="1"/>
  <c r="QS17" i="14" s="1"/>
  <c r="QR16" i="14"/>
  <c r="QS16" i="14" s="1"/>
  <c r="QP16" i="14"/>
  <c r="QQ16" i="14" s="1"/>
  <c r="QK16" i="14"/>
  <c r="QL16" i="14" s="1"/>
  <c r="QF16" i="14"/>
  <c r="QG16" i="14" s="1"/>
  <c r="QP15" i="14"/>
  <c r="QQ15" i="14" s="1"/>
  <c r="QK15" i="14"/>
  <c r="QL15" i="14" s="1"/>
  <c r="QF15" i="14"/>
  <c r="QP14" i="14"/>
  <c r="QQ14" i="14" s="1"/>
  <c r="QK14" i="14"/>
  <c r="QL14" i="14" s="1"/>
  <c r="QF14" i="14"/>
  <c r="QR13" i="14"/>
  <c r="QS13" i="14" s="1"/>
  <c r="QP13" i="14"/>
  <c r="QQ13" i="14" s="1"/>
  <c r="QK13" i="14"/>
  <c r="QL13" i="14" s="1"/>
  <c r="QF13" i="14"/>
  <c r="QG13" i="14" s="1"/>
  <c r="QP12" i="14"/>
  <c r="QQ12" i="14" s="1"/>
  <c r="QK12" i="14"/>
  <c r="QL12" i="14" s="1"/>
  <c r="QF12" i="14"/>
  <c r="QP11" i="14"/>
  <c r="QQ11" i="14" s="1"/>
  <c r="QK11" i="14"/>
  <c r="QL11" i="14" s="1"/>
  <c r="QF11" i="14"/>
  <c r="QR11" i="14" s="1"/>
  <c r="QS11" i="14" s="1"/>
  <c r="QR10" i="14"/>
  <c r="QS10" i="14" s="1"/>
  <c r="QP10" i="14"/>
  <c r="QQ10" i="14" s="1"/>
  <c r="QK10" i="14"/>
  <c r="QL10" i="14" s="1"/>
  <c r="QF10" i="14"/>
  <c r="QG10" i="14" s="1"/>
  <c r="QP9" i="14"/>
  <c r="QQ9" i="14" s="1"/>
  <c r="QK9" i="14"/>
  <c r="QL9" i="14" s="1"/>
  <c r="QF9" i="14"/>
  <c r="QP8" i="14"/>
  <c r="QQ8" i="14" s="1"/>
  <c r="QK8" i="14"/>
  <c r="QL8" i="14" s="1"/>
  <c r="QF8" i="14"/>
  <c r="QP7" i="14"/>
  <c r="QQ7" i="14" s="1"/>
  <c r="QK7" i="14"/>
  <c r="QL7" i="14" s="1"/>
  <c r="QF7" i="14"/>
  <c r="QP6" i="14"/>
  <c r="QQ6" i="14" s="1"/>
  <c r="QK6" i="14"/>
  <c r="QL6" i="14" s="1"/>
  <c r="QF6" i="14"/>
  <c r="QR6" i="14" s="1"/>
  <c r="QS6" i="14" s="1"/>
  <c r="QP5" i="14"/>
  <c r="QQ5" i="14" s="1"/>
  <c r="QK5" i="14"/>
  <c r="QL5" i="14" s="1"/>
  <c r="QF5" i="14"/>
  <c r="QR4" i="14"/>
  <c r="QS4" i="14" s="1"/>
  <c r="QP4" i="14"/>
  <c r="QQ4" i="14" s="1"/>
  <c r="QK4" i="14"/>
  <c r="QL4" i="14" s="1"/>
  <c r="QF4" i="14"/>
  <c r="QG4" i="14" s="1"/>
  <c r="PX22" i="14"/>
  <c r="PW22" i="14"/>
  <c r="PV22" i="14"/>
  <c r="PS22" i="14"/>
  <c r="PR22" i="14"/>
  <c r="PQ22" i="14"/>
  <c r="PN22" i="14"/>
  <c r="PM22" i="14"/>
  <c r="PL22" i="14"/>
  <c r="PY21" i="14"/>
  <c r="PZ21" i="14" s="1"/>
  <c r="PT21" i="14"/>
  <c r="PU21" i="14" s="1"/>
  <c r="PO21" i="14"/>
  <c r="QA21" i="14" s="1"/>
  <c r="QB21" i="14" s="1"/>
  <c r="QA20" i="14"/>
  <c r="QB20" i="14" s="1"/>
  <c r="PY20" i="14"/>
  <c r="PZ20" i="14" s="1"/>
  <c r="PT20" i="14"/>
  <c r="PU20" i="14" s="1"/>
  <c r="PO20" i="14"/>
  <c r="PP20" i="14" s="1"/>
  <c r="PY19" i="14"/>
  <c r="PZ19" i="14" s="1"/>
  <c r="PT19" i="14"/>
  <c r="PU19" i="14" s="1"/>
  <c r="PO19" i="14"/>
  <c r="PY18" i="14"/>
  <c r="PZ18" i="14" s="1"/>
  <c r="PT18" i="14"/>
  <c r="PU18" i="14" s="1"/>
  <c r="PO18" i="14"/>
  <c r="PY17" i="14"/>
  <c r="PZ17" i="14" s="1"/>
  <c r="PT17" i="14"/>
  <c r="PU17" i="14" s="1"/>
  <c r="PO17" i="14"/>
  <c r="QA16" i="14"/>
  <c r="QB16" i="14" s="1"/>
  <c r="PY16" i="14"/>
  <c r="PZ16" i="14" s="1"/>
  <c r="PT16" i="14"/>
  <c r="PU16" i="14" s="1"/>
  <c r="PO16" i="14"/>
  <c r="PP16" i="14" s="1"/>
  <c r="PY15" i="14"/>
  <c r="PZ15" i="14" s="1"/>
  <c r="PT15" i="14"/>
  <c r="PU15" i="14" s="1"/>
  <c r="PO15" i="14"/>
  <c r="QA15" i="14" s="1"/>
  <c r="QB15" i="14" s="1"/>
  <c r="PY14" i="14"/>
  <c r="PZ14" i="14" s="1"/>
  <c r="PT14" i="14"/>
  <c r="PU14" i="14" s="1"/>
  <c r="PO14" i="14"/>
  <c r="QA13" i="14"/>
  <c r="QB13" i="14" s="1"/>
  <c r="PY13" i="14"/>
  <c r="PZ13" i="14" s="1"/>
  <c r="PT13" i="14"/>
  <c r="PU13" i="14" s="1"/>
  <c r="PO13" i="14"/>
  <c r="PP13" i="14" s="1"/>
  <c r="PY12" i="14"/>
  <c r="PZ12" i="14" s="1"/>
  <c r="PT12" i="14"/>
  <c r="PU12" i="14" s="1"/>
  <c r="PO12" i="14"/>
  <c r="PY11" i="14"/>
  <c r="PZ11" i="14" s="1"/>
  <c r="PT11" i="14"/>
  <c r="PU11" i="14" s="1"/>
  <c r="PO11" i="14"/>
  <c r="QA10" i="14"/>
  <c r="QB10" i="14" s="1"/>
  <c r="PY10" i="14"/>
  <c r="PZ10" i="14" s="1"/>
  <c r="PT10" i="14"/>
  <c r="PU10" i="14" s="1"/>
  <c r="PO10" i="14"/>
  <c r="PP10" i="14" s="1"/>
  <c r="PY9" i="14"/>
  <c r="PZ9" i="14" s="1"/>
  <c r="PT9" i="14"/>
  <c r="PU9" i="14" s="1"/>
  <c r="PO9" i="14"/>
  <c r="QA9" i="14" s="1"/>
  <c r="QB9" i="14" s="1"/>
  <c r="PY8" i="14"/>
  <c r="PZ8" i="14" s="1"/>
  <c r="PT8" i="14"/>
  <c r="PU8" i="14" s="1"/>
  <c r="PO8" i="14"/>
  <c r="PY7" i="14"/>
  <c r="PZ7" i="14" s="1"/>
  <c r="PT7" i="14"/>
  <c r="PU7" i="14" s="1"/>
  <c r="PO7" i="14"/>
  <c r="PY6" i="14"/>
  <c r="PZ6" i="14" s="1"/>
  <c r="PT6" i="14"/>
  <c r="PU6" i="14" s="1"/>
  <c r="PO6" i="14"/>
  <c r="PY5" i="14"/>
  <c r="PZ5" i="14" s="1"/>
  <c r="PT5" i="14"/>
  <c r="PU5" i="14" s="1"/>
  <c r="PO5" i="14"/>
  <c r="QA5" i="14" s="1"/>
  <c r="QB5" i="14" s="1"/>
  <c r="QA4" i="14"/>
  <c r="QB4" i="14" s="1"/>
  <c r="PY4" i="14"/>
  <c r="PZ4" i="14" s="1"/>
  <c r="PT4" i="14"/>
  <c r="PU4" i="14" s="1"/>
  <c r="PO4" i="14"/>
  <c r="PP4" i="14" s="1"/>
  <c r="PG22" i="14"/>
  <c r="PF22" i="14"/>
  <c r="PE22" i="14"/>
  <c r="PB22" i="14"/>
  <c r="PA22" i="14"/>
  <c r="OZ22" i="14"/>
  <c r="OW22" i="14"/>
  <c r="OV22" i="14"/>
  <c r="OU22" i="14"/>
  <c r="PH21" i="14"/>
  <c r="PI21" i="14" s="1"/>
  <c r="PC21" i="14"/>
  <c r="PD21" i="14" s="1"/>
  <c r="OX21" i="14"/>
  <c r="PJ20" i="14"/>
  <c r="PK20" i="14" s="1"/>
  <c r="PH20" i="14"/>
  <c r="PI20" i="14" s="1"/>
  <c r="PC20" i="14"/>
  <c r="PD20" i="14" s="1"/>
  <c r="OX20" i="14"/>
  <c r="OY20" i="14" s="1"/>
  <c r="PH19" i="14"/>
  <c r="PI19" i="14" s="1"/>
  <c r="PC19" i="14"/>
  <c r="PD19" i="14" s="1"/>
  <c r="OX19" i="14"/>
  <c r="PJ19" i="14" s="1"/>
  <c r="PK19" i="14" s="1"/>
  <c r="PH18" i="14"/>
  <c r="PI18" i="14" s="1"/>
  <c r="PC18" i="14"/>
  <c r="PD18" i="14" s="1"/>
  <c r="OX18" i="14"/>
  <c r="PH17" i="14"/>
  <c r="PI17" i="14" s="1"/>
  <c r="PC17" i="14"/>
  <c r="PD17" i="14" s="1"/>
  <c r="OX17" i="14"/>
  <c r="PJ16" i="14"/>
  <c r="PK16" i="14" s="1"/>
  <c r="PH16" i="14"/>
  <c r="PI16" i="14" s="1"/>
  <c r="PC16" i="14"/>
  <c r="PD16" i="14" s="1"/>
  <c r="OX16" i="14"/>
  <c r="OY16" i="14" s="1"/>
  <c r="PH15" i="14"/>
  <c r="PI15" i="14" s="1"/>
  <c r="PC15" i="14"/>
  <c r="PD15" i="14" s="1"/>
  <c r="OX15" i="14"/>
  <c r="PH14" i="14"/>
  <c r="PI14" i="14" s="1"/>
  <c r="PC14" i="14"/>
  <c r="PD14" i="14" s="1"/>
  <c r="OX14" i="14"/>
  <c r="PJ14" i="14" s="1"/>
  <c r="PK14" i="14" s="1"/>
  <c r="PJ13" i="14"/>
  <c r="PK13" i="14" s="1"/>
  <c r="PH13" i="14"/>
  <c r="PI13" i="14" s="1"/>
  <c r="PC13" i="14"/>
  <c r="PD13" i="14" s="1"/>
  <c r="OX13" i="14"/>
  <c r="OY13" i="14" s="1"/>
  <c r="PH12" i="14"/>
  <c r="PI12" i="14" s="1"/>
  <c r="PC12" i="14"/>
  <c r="PD12" i="14" s="1"/>
  <c r="OX12" i="14"/>
  <c r="OY12" i="14" s="1"/>
  <c r="PH11" i="14"/>
  <c r="PI11" i="14" s="1"/>
  <c r="PC11" i="14"/>
  <c r="PD11" i="14" s="1"/>
  <c r="OX11" i="14"/>
  <c r="OY11" i="14" s="1"/>
  <c r="PJ10" i="14"/>
  <c r="PK10" i="14" s="1"/>
  <c r="PH10" i="14"/>
  <c r="PI10" i="14" s="1"/>
  <c r="PC10" i="14"/>
  <c r="PD10" i="14" s="1"/>
  <c r="OX10" i="14"/>
  <c r="OY10" i="14" s="1"/>
  <c r="PH9" i="14"/>
  <c r="PI9" i="14" s="1"/>
  <c r="PC9" i="14"/>
  <c r="PD9" i="14" s="1"/>
  <c r="OX9" i="14"/>
  <c r="OY9" i="14" s="1"/>
  <c r="PH8" i="14"/>
  <c r="PI8" i="14" s="1"/>
  <c r="PC8" i="14"/>
  <c r="PD8" i="14" s="1"/>
  <c r="OX8" i="14"/>
  <c r="OY8" i="14" s="1"/>
  <c r="PH7" i="14"/>
  <c r="PI7" i="14" s="1"/>
  <c r="PC7" i="14"/>
  <c r="PD7" i="14" s="1"/>
  <c r="OX7" i="14"/>
  <c r="OY7" i="14" s="1"/>
  <c r="PH6" i="14"/>
  <c r="PI6" i="14" s="1"/>
  <c r="PC6" i="14"/>
  <c r="PD6" i="14" s="1"/>
  <c r="OX6" i="14"/>
  <c r="OY6" i="14" s="1"/>
  <c r="PH5" i="14"/>
  <c r="PI5" i="14" s="1"/>
  <c r="PC5" i="14"/>
  <c r="PD5" i="14" s="1"/>
  <c r="OX5" i="14"/>
  <c r="OY5" i="14" s="1"/>
  <c r="PJ4" i="14"/>
  <c r="PK4" i="14" s="1"/>
  <c r="PH4" i="14"/>
  <c r="PI4" i="14" s="1"/>
  <c r="PC4" i="14"/>
  <c r="PD4" i="14" s="1"/>
  <c r="OX4" i="14"/>
  <c r="OY4" i="14" s="1"/>
  <c r="OP22" i="14"/>
  <c r="OO22" i="14"/>
  <c r="ON22" i="14"/>
  <c r="OK22" i="14"/>
  <c r="OJ22" i="14"/>
  <c r="OI22" i="14"/>
  <c r="OF22" i="14"/>
  <c r="OE22" i="14"/>
  <c r="OD22" i="14"/>
  <c r="OQ21" i="14"/>
  <c r="OR21" i="14" s="1"/>
  <c r="OL21" i="14"/>
  <c r="OM21" i="14" s="1"/>
  <c r="OG21" i="14"/>
  <c r="OS20" i="14"/>
  <c r="OT20" i="14" s="1"/>
  <c r="OQ20" i="14"/>
  <c r="OR20" i="14" s="1"/>
  <c r="OL20" i="14"/>
  <c r="OM20" i="14" s="1"/>
  <c r="OG20" i="14"/>
  <c r="OH20" i="14" s="1"/>
  <c r="OQ19" i="14"/>
  <c r="OR19" i="14" s="1"/>
  <c r="OL19" i="14"/>
  <c r="OM19" i="14" s="1"/>
  <c r="OG19" i="14"/>
  <c r="OQ18" i="14"/>
  <c r="OR18" i="14" s="1"/>
  <c r="OL18" i="14"/>
  <c r="OM18" i="14" s="1"/>
  <c r="OG18" i="14"/>
  <c r="OS18" i="14" s="1"/>
  <c r="OT18" i="14" s="1"/>
  <c r="OQ17" i="14"/>
  <c r="OR17" i="14" s="1"/>
  <c r="OL17" i="14"/>
  <c r="OM17" i="14" s="1"/>
  <c r="OG17" i="14"/>
  <c r="OS16" i="14"/>
  <c r="OT16" i="14" s="1"/>
  <c r="OQ16" i="14"/>
  <c r="OR16" i="14" s="1"/>
  <c r="OL16" i="14"/>
  <c r="OM16" i="14" s="1"/>
  <c r="OG16" i="14"/>
  <c r="OH16" i="14" s="1"/>
  <c r="OQ15" i="14"/>
  <c r="OR15" i="14" s="1"/>
  <c r="OL15" i="14"/>
  <c r="OM15" i="14" s="1"/>
  <c r="OG15" i="14"/>
  <c r="OQ14" i="14"/>
  <c r="OR14" i="14" s="1"/>
  <c r="OL14" i="14"/>
  <c r="OM14" i="14" s="1"/>
  <c r="OG14" i="14"/>
  <c r="OS13" i="14"/>
  <c r="OT13" i="14" s="1"/>
  <c r="OQ13" i="14"/>
  <c r="OR13" i="14" s="1"/>
  <c r="OL13" i="14"/>
  <c r="OM13" i="14" s="1"/>
  <c r="OG13" i="14"/>
  <c r="OH13" i="14" s="1"/>
  <c r="OQ12" i="14"/>
  <c r="OR12" i="14" s="1"/>
  <c r="OL12" i="14"/>
  <c r="OM12" i="14" s="1"/>
  <c r="OG12" i="14"/>
  <c r="OS12" i="14" s="1"/>
  <c r="OT12" i="14" s="1"/>
  <c r="OQ11" i="14"/>
  <c r="OR11" i="14" s="1"/>
  <c r="OL11" i="14"/>
  <c r="OM11" i="14" s="1"/>
  <c r="OG11" i="14"/>
  <c r="OS10" i="14"/>
  <c r="OT10" i="14" s="1"/>
  <c r="OQ10" i="14"/>
  <c r="OR10" i="14" s="1"/>
  <c r="OL10" i="14"/>
  <c r="OM10" i="14" s="1"/>
  <c r="OG10" i="14"/>
  <c r="OH10" i="14" s="1"/>
  <c r="OQ9" i="14"/>
  <c r="OR9" i="14" s="1"/>
  <c r="OL9" i="14"/>
  <c r="OM9" i="14" s="1"/>
  <c r="OG9" i="14"/>
  <c r="OQ8" i="14"/>
  <c r="OR8" i="14" s="1"/>
  <c r="OL8" i="14"/>
  <c r="OM8" i="14" s="1"/>
  <c r="OG8" i="14"/>
  <c r="OQ7" i="14"/>
  <c r="OR7" i="14" s="1"/>
  <c r="OL7" i="14"/>
  <c r="OM7" i="14" s="1"/>
  <c r="OG7" i="14"/>
  <c r="OS7" i="14" s="1"/>
  <c r="OT7" i="14" s="1"/>
  <c r="OQ6" i="14"/>
  <c r="OR6" i="14" s="1"/>
  <c r="OL6" i="14"/>
  <c r="OM6" i="14" s="1"/>
  <c r="OG6" i="14"/>
  <c r="OQ5" i="14"/>
  <c r="OR5" i="14" s="1"/>
  <c r="OL5" i="14"/>
  <c r="OM5" i="14" s="1"/>
  <c r="OG5" i="14"/>
  <c r="OS4" i="14"/>
  <c r="OT4" i="14" s="1"/>
  <c r="OQ4" i="14"/>
  <c r="OR4" i="14" s="1"/>
  <c r="OL4" i="14"/>
  <c r="OM4" i="14" s="1"/>
  <c r="OG4" i="14"/>
  <c r="OH4" i="14" s="1"/>
  <c r="NY22" i="14"/>
  <c r="NX22" i="14"/>
  <c r="NW22" i="14"/>
  <c r="NT22" i="14"/>
  <c r="NS22" i="14"/>
  <c r="NR22" i="14"/>
  <c r="NO22" i="14"/>
  <c r="NN22" i="14"/>
  <c r="NM22" i="14"/>
  <c r="NZ21" i="14"/>
  <c r="OA21" i="14" s="1"/>
  <c r="NU21" i="14"/>
  <c r="NV21" i="14" s="1"/>
  <c r="NP21" i="14"/>
  <c r="OB20" i="14"/>
  <c r="OC20" i="14" s="1"/>
  <c r="NZ20" i="14"/>
  <c r="OA20" i="14" s="1"/>
  <c r="NU20" i="14"/>
  <c r="NV20" i="14" s="1"/>
  <c r="NP20" i="14"/>
  <c r="NQ20" i="14" s="1"/>
  <c r="NZ19" i="14"/>
  <c r="OA19" i="14" s="1"/>
  <c r="NU19" i="14"/>
  <c r="NV19" i="14" s="1"/>
  <c r="NP19" i="14"/>
  <c r="NZ18" i="14"/>
  <c r="OA18" i="14" s="1"/>
  <c r="NU18" i="14"/>
  <c r="NV18" i="14" s="1"/>
  <c r="NP18" i="14"/>
  <c r="NZ17" i="14"/>
  <c r="OA17" i="14" s="1"/>
  <c r="NU17" i="14"/>
  <c r="NV17" i="14" s="1"/>
  <c r="NP17" i="14"/>
  <c r="OB17" i="14" s="1"/>
  <c r="OC17" i="14" s="1"/>
  <c r="OB16" i="14"/>
  <c r="OC16" i="14" s="1"/>
  <c r="NZ16" i="14"/>
  <c r="OA16" i="14" s="1"/>
  <c r="NU16" i="14"/>
  <c r="NV16" i="14" s="1"/>
  <c r="NP16" i="14"/>
  <c r="NQ16" i="14" s="1"/>
  <c r="NZ15" i="14"/>
  <c r="OA15" i="14" s="1"/>
  <c r="NU15" i="14"/>
  <c r="NV15" i="14" s="1"/>
  <c r="NP15" i="14"/>
  <c r="NZ14" i="14"/>
  <c r="OA14" i="14" s="1"/>
  <c r="NU14" i="14"/>
  <c r="NV14" i="14" s="1"/>
  <c r="NP14" i="14"/>
  <c r="OB13" i="14"/>
  <c r="OC13" i="14" s="1"/>
  <c r="NZ13" i="14"/>
  <c r="OA13" i="14" s="1"/>
  <c r="NU13" i="14"/>
  <c r="NV13" i="14" s="1"/>
  <c r="NP13" i="14"/>
  <c r="NQ13" i="14" s="1"/>
  <c r="NZ12" i="14"/>
  <c r="OA12" i="14" s="1"/>
  <c r="NU12" i="14"/>
  <c r="NV12" i="14" s="1"/>
  <c r="NP12" i="14"/>
  <c r="NZ11" i="14"/>
  <c r="OA11" i="14" s="1"/>
  <c r="NU11" i="14"/>
  <c r="NV11" i="14" s="1"/>
  <c r="NP11" i="14"/>
  <c r="OB11" i="14" s="1"/>
  <c r="OC11" i="14" s="1"/>
  <c r="OB10" i="14"/>
  <c r="OC10" i="14" s="1"/>
  <c r="NZ10" i="14"/>
  <c r="OA10" i="14" s="1"/>
  <c r="NU10" i="14"/>
  <c r="NV10" i="14" s="1"/>
  <c r="NP10" i="14"/>
  <c r="NQ10" i="14" s="1"/>
  <c r="NZ9" i="14"/>
  <c r="OA9" i="14" s="1"/>
  <c r="NU9" i="14"/>
  <c r="NV9" i="14" s="1"/>
  <c r="NP9" i="14"/>
  <c r="NZ8" i="14"/>
  <c r="OA8" i="14" s="1"/>
  <c r="NU8" i="14"/>
  <c r="NV8" i="14" s="1"/>
  <c r="NP8" i="14"/>
  <c r="NZ7" i="14"/>
  <c r="OA7" i="14" s="1"/>
  <c r="NU7" i="14"/>
  <c r="NV7" i="14" s="1"/>
  <c r="NP7" i="14"/>
  <c r="NZ6" i="14"/>
  <c r="OA6" i="14" s="1"/>
  <c r="NU6" i="14"/>
  <c r="NV6" i="14" s="1"/>
  <c r="NP6" i="14"/>
  <c r="OB6" i="14" s="1"/>
  <c r="OC6" i="14" s="1"/>
  <c r="NZ5" i="14"/>
  <c r="OA5" i="14" s="1"/>
  <c r="NU5" i="14"/>
  <c r="NV5" i="14" s="1"/>
  <c r="NP5" i="14"/>
  <c r="OB4" i="14"/>
  <c r="OC4" i="14" s="1"/>
  <c r="NZ4" i="14"/>
  <c r="OA4" i="14" s="1"/>
  <c r="NU4" i="14"/>
  <c r="NV4" i="14" s="1"/>
  <c r="NP4" i="14"/>
  <c r="NQ4" i="14" s="1"/>
  <c r="NH22" i="14"/>
  <c r="NG22" i="14"/>
  <c r="NF22" i="14"/>
  <c r="NC22" i="14"/>
  <c r="NB22" i="14"/>
  <c r="NA22" i="14"/>
  <c r="MX22" i="14"/>
  <c r="MW22" i="14"/>
  <c r="MV22" i="14"/>
  <c r="NI21" i="14"/>
  <c r="NJ21" i="14" s="1"/>
  <c r="ND21" i="14"/>
  <c r="NE21" i="14" s="1"/>
  <c r="MY21" i="14"/>
  <c r="NK21" i="14" s="1"/>
  <c r="NL21" i="14" s="1"/>
  <c r="NK20" i="14"/>
  <c r="NL20" i="14" s="1"/>
  <c r="NI20" i="14"/>
  <c r="NJ20" i="14" s="1"/>
  <c r="ND20" i="14"/>
  <c r="NE20" i="14" s="1"/>
  <c r="MY20" i="14"/>
  <c r="MZ20" i="14" s="1"/>
  <c r="NI19" i="14"/>
  <c r="NJ19" i="14" s="1"/>
  <c r="ND19" i="14"/>
  <c r="NE19" i="14" s="1"/>
  <c r="MY19" i="14"/>
  <c r="NI18" i="14"/>
  <c r="NJ18" i="14" s="1"/>
  <c r="ND18" i="14"/>
  <c r="NE18" i="14" s="1"/>
  <c r="MY18" i="14"/>
  <c r="NI17" i="14"/>
  <c r="NJ17" i="14" s="1"/>
  <c r="ND17" i="14"/>
  <c r="NE17" i="14" s="1"/>
  <c r="MY17" i="14"/>
  <c r="NK16" i="14"/>
  <c r="NL16" i="14" s="1"/>
  <c r="NI16" i="14"/>
  <c r="NJ16" i="14" s="1"/>
  <c r="ND16" i="14"/>
  <c r="NE16" i="14" s="1"/>
  <c r="MY16" i="14"/>
  <c r="MZ16" i="14" s="1"/>
  <c r="NI15" i="14"/>
  <c r="NJ15" i="14" s="1"/>
  <c r="ND15" i="14"/>
  <c r="NE15" i="14" s="1"/>
  <c r="MY15" i="14"/>
  <c r="NK15" i="14" s="1"/>
  <c r="NL15" i="14" s="1"/>
  <c r="NI14" i="14"/>
  <c r="NJ14" i="14" s="1"/>
  <c r="ND14" i="14"/>
  <c r="NE14" i="14" s="1"/>
  <c r="MY14" i="14"/>
  <c r="NK13" i="14"/>
  <c r="NL13" i="14" s="1"/>
  <c r="NI13" i="14"/>
  <c r="NJ13" i="14" s="1"/>
  <c r="ND13" i="14"/>
  <c r="NE13" i="14" s="1"/>
  <c r="MY13" i="14"/>
  <c r="MZ13" i="14" s="1"/>
  <c r="NI12" i="14"/>
  <c r="NJ12" i="14" s="1"/>
  <c r="ND12" i="14"/>
  <c r="NE12" i="14" s="1"/>
  <c r="MY12" i="14"/>
  <c r="NI11" i="14"/>
  <c r="NJ11" i="14" s="1"/>
  <c r="ND11" i="14"/>
  <c r="NE11" i="14" s="1"/>
  <c r="MY11" i="14"/>
  <c r="NK10" i="14"/>
  <c r="NL10" i="14" s="1"/>
  <c r="NI10" i="14"/>
  <c r="NJ10" i="14" s="1"/>
  <c r="ND10" i="14"/>
  <c r="NE10" i="14" s="1"/>
  <c r="MY10" i="14"/>
  <c r="MZ10" i="14" s="1"/>
  <c r="NI9" i="14"/>
  <c r="NJ9" i="14" s="1"/>
  <c r="ND9" i="14"/>
  <c r="NE9" i="14" s="1"/>
  <c r="MY9" i="14"/>
  <c r="NK9" i="14" s="1"/>
  <c r="NL9" i="14" s="1"/>
  <c r="NI8" i="14"/>
  <c r="NJ8" i="14" s="1"/>
  <c r="ND8" i="14"/>
  <c r="NE8" i="14" s="1"/>
  <c r="MY8" i="14"/>
  <c r="NI7" i="14"/>
  <c r="NJ7" i="14" s="1"/>
  <c r="ND7" i="14"/>
  <c r="NE7" i="14" s="1"/>
  <c r="MY7" i="14"/>
  <c r="NI6" i="14"/>
  <c r="NJ6" i="14" s="1"/>
  <c r="ND6" i="14"/>
  <c r="NE6" i="14" s="1"/>
  <c r="MY6" i="14"/>
  <c r="NI5" i="14"/>
  <c r="NJ5" i="14" s="1"/>
  <c r="ND5" i="14"/>
  <c r="NE5" i="14" s="1"/>
  <c r="MY5" i="14"/>
  <c r="NK5" i="14" s="1"/>
  <c r="NL5" i="14" s="1"/>
  <c r="NK4" i="14"/>
  <c r="NL4" i="14" s="1"/>
  <c r="NI4" i="14"/>
  <c r="NJ4" i="14" s="1"/>
  <c r="ND4" i="14"/>
  <c r="NE4" i="14" s="1"/>
  <c r="MY4" i="14"/>
  <c r="MZ4" i="14" s="1"/>
  <c r="MQ22" i="14"/>
  <c r="MP22" i="14"/>
  <c r="MO22" i="14"/>
  <c r="ML22" i="14"/>
  <c r="MK22" i="14"/>
  <c r="MJ22" i="14"/>
  <c r="MG22" i="14"/>
  <c r="MF22" i="14"/>
  <c r="ME22" i="14"/>
  <c r="MR21" i="14"/>
  <c r="MS21" i="14" s="1"/>
  <c r="MM21" i="14"/>
  <c r="MN21" i="14" s="1"/>
  <c r="MH21" i="14"/>
  <c r="MT20" i="14"/>
  <c r="MU20" i="14" s="1"/>
  <c r="MR20" i="14"/>
  <c r="MS20" i="14" s="1"/>
  <c r="MM20" i="14"/>
  <c r="MN20" i="14" s="1"/>
  <c r="MH20" i="14"/>
  <c r="MI20" i="14" s="1"/>
  <c r="MR19" i="14"/>
  <c r="MS19" i="14" s="1"/>
  <c r="MM19" i="14"/>
  <c r="MN19" i="14" s="1"/>
  <c r="MH19" i="14"/>
  <c r="MT19" i="14" s="1"/>
  <c r="MU19" i="14" s="1"/>
  <c r="MR18" i="14"/>
  <c r="MS18" i="14" s="1"/>
  <c r="MM18" i="14"/>
  <c r="MN18" i="14" s="1"/>
  <c r="MH18" i="14"/>
  <c r="MR17" i="14"/>
  <c r="MS17" i="14" s="1"/>
  <c r="MM17" i="14"/>
  <c r="MN17" i="14" s="1"/>
  <c r="MH17" i="14"/>
  <c r="MT16" i="14"/>
  <c r="MU16" i="14" s="1"/>
  <c r="MR16" i="14"/>
  <c r="MS16" i="14" s="1"/>
  <c r="MM16" i="14"/>
  <c r="MN16" i="14" s="1"/>
  <c r="MH16" i="14"/>
  <c r="MI16" i="14" s="1"/>
  <c r="MR15" i="14"/>
  <c r="MS15" i="14" s="1"/>
  <c r="MM15" i="14"/>
  <c r="MN15" i="14" s="1"/>
  <c r="MH15" i="14"/>
  <c r="MR14" i="14"/>
  <c r="MS14" i="14" s="1"/>
  <c r="MM14" i="14"/>
  <c r="MN14" i="14" s="1"/>
  <c r="MH14" i="14"/>
  <c r="MT14" i="14" s="1"/>
  <c r="MU14" i="14" s="1"/>
  <c r="MT13" i="14"/>
  <c r="MU13" i="14" s="1"/>
  <c r="MR13" i="14"/>
  <c r="MS13" i="14" s="1"/>
  <c r="MM13" i="14"/>
  <c r="MN13" i="14" s="1"/>
  <c r="MH13" i="14"/>
  <c r="MI13" i="14" s="1"/>
  <c r="MR12" i="14"/>
  <c r="MS12" i="14" s="1"/>
  <c r="MM12" i="14"/>
  <c r="MN12" i="14" s="1"/>
  <c r="MH12" i="14"/>
  <c r="MR11" i="14"/>
  <c r="MS11" i="14" s="1"/>
  <c r="MM11" i="14"/>
  <c r="MN11" i="14" s="1"/>
  <c r="MH11" i="14"/>
  <c r="MT10" i="14"/>
  <c r="MU10" i="14" s="1"/>
  <c r="MR10" i="14"/>
  <c r="MS10" i="14" s="1"/>
  <c r="MM10" i="14"/>
  <c r="MN10" i="14" s="1"/>
  <c r="MH10" i="14"/>
  <c r="MI10" i="14" s="1"/>
  <c r="MR9" i="14"/>
  <c r="MS9" i="14" s="1"/>
  <c r="MM9" i="14"/>
  <c r="MN9" i="14" s="1"/>
  <c r="MH9" i="14"/>
  <c r="MR8" i="14"/>
  <c r="MS8" i="14" s="1"/>
  <c r="MM8" i="14"/>
  <c r="MN8" i="14" s="1"/>
  <c r="MH8" i="14"/>
  <c r="MT8" i="14" s="1"/>
  <c r="MU8" i="14" s="1"/>
  <c r="MR7" i="14"/>
  <c r="MS7" i="14" s="1"/>
  <c r="MM7" i="14"/>
  <c r="MN7" i="14" s="1"/>
  <c r="MH7" i="14"/>
  <c r="MR6" i="14"/>
  <c r="MS6" i="14" s="1"/>
  <c r="MM6" i="14"/>
  <c r="MN6" i="14" s="1"/>
  <c r="MH6" i="14"/>
  <c r="MR5" i="14"/>
  <c r="MS5" i="14" s="1"/>
  <c r="MM5" i="14"/>
  <c r="MN5" i="14" s="1"/>
  <c r="MH5" i="14"/>
  <c r="MT4" i="14"/>
  <c r="MU4" i="14" s="1"/>
  <c r="MR4" i="14"/>
  <c r="MS4" i="14" s="1"/>
  <c r="MM4" i="14"/>
  <c r="MN4" i="14" s="1"/>
  <c r="MH4" i="14"/>
  <c r="MI4" i="14" s="1"/>
  <c r="LZ22" i="14"/>
  <c r="LY22" i="14"/>
  <c r="LX22" i="14"/>
  <c r="LU22" i="14"/>
  <c r="LT22" i="14"/>
  <c r="LS22" i="14"/>
  <c r="LP22" i="14"/>
  <c r="LO22" i="14"/>
  <c r="LN22" i="14"/>
  <c r="MA21" i="14"/>
  <c r="MB21" i="14" s="1"/>
  <c r="LV21" i="14"/>
  <c r="LW21" i="14" s="1"/>
  <c r="LQ21" i="14"/>
  <c r="MC20" i="14"/>
  <c r="MD20" i="14" s="1"/>
  <c r="MA20" i="14"/>
  <c r="MB20" i="14" s="1"/>
  <c r="LV20" i="14"/>
  <c r="LW20" i="14" s="1"/>
  <c r="LQ20" i="14"/>
  <c r="LR20" i="14" s="1"/>
  <c r="MA19" i="14"/>
  <c r="MB19" i="14" s="1"/>
  <c r="LV19" i="14"/>
  <c r="LW19" i="14" s="1"/>
  <c r="LQ19" i="14"/>
  <c r="MA18" i="14"/>
  <c r="MB18" i="14" s="1"/>
  <c r="LV18" i="14"/>
  <c r="LW18" i="14" s="1"/>
  <c r="LQ18" i="14"/>
  <c r="MC18" i="14" s="1"/>
  <c r="MD18" i="14" s="1"/>
  <c r="MA17" i="14"/>
  <c r="MB17" i="14" s="1"/>
  <c r="LV17" i="14"/>
  <c r="LW17" i="14" s="1"/>
  <c r="LQ17" i="14"/>
  <c r="MC16" i="14"/>
  <c r="MD16" i="14" s="1"/>
  <c r="MA16" i="14"/>
  <c r="MB16" i="14" s="1"/>
  <c r="LV16" i="14"/>
  <c r="LW16" i="14" s="1"/>
  <c r="LQ16" i="14"/>
  <c r="LR16" i="14" s="1"/>
  <c r="MA15" i="14"/>
  <c r="MB15" i="14" s="1"/>
  <c r="LV15" i="14"/>
  <c r="LW15" i="14" s="1"/>
  <c r="LQ15" i="14"/>
  <c r="MA14" i="14"/>
  <c r="MB14" i="14" s="1"/>
  <c r="LV14" i="14"/>
  <c r="LW14" i="14" s="1"/>
  <c r="LQ14" i="14"/>
  <c r="MC13" i="14"/>
  <c r="MD13" i="14" s="1"/>
  <c r="MA13" i="14"/>
  <c r="MB13" i="14" s="1"/>
  <c r="LV13" i="14"/>
  <c r="LW13" i="14" s="1"/>
  <c r="LQ13" i="14"/>
  <c r="LR13" i="14" s="1"/>
  <c r="MA12" i="14"/>
  <c r="MB12" i="14" s="1"/>
  <c r="LV12" i="14"/>
  <c r="LW12" i="14" s="1"/>
  <c r="LQ12" i="14"/>
  <c r="MC12" i="14" s="1"/>
  <c r="MD12" i="14" s="1"/>
  <c r="MA11" i="14"/>
  <c r="MB11" i="14" s="1"/>
  <c r="LV11" i="14"/>
  <c r="LW11" i="14" s="1"/>
  <c r="LQ11" i="14"/>
  <c r="MC10" i="14"/>
  <c r="MD10" i="14" s="1"/>
  <c r="MA10" i="14"/>
  <c r="MB10" i="14" s="1"/>
  <c r="LV10" i="14"/>
  <c r="LW10" i="14" s="1"/>
  <c r="LQ10" i="14"/>
  <c r="LR10" i="14" s="1"/>
  <c r="MA9" i="14"/>
  <c r="MB9" i="14" s="1"/>
  <c r="LV9" i="14"/>
  <c r="LW9" i="14" s="1"/>
  <c r="LQ9" i="14"/>
  <c r="MA8" i="14"/>
  <c r="MB8" i="14" s="1"/>
  <c r="LV8" i="14"/>
  <c r="LW8" i="14" s="1"/>
  <c r="LQ8" i="14"/>
  <c r="MA7" i="14"/>
  <c r="MB7" i="14" s="1"/>
  <c r="LV7" i="14"/>
  <c r="LW7" i="14" s="1"/>
  <c r="LQ7" i="14"/>
  <c r="MC7" i="14" s="1"/>
  <c r="MD7" i="14" s="1"/>
  <c r="MA6" i="14"/>
  <c r="MB6" i="14" s="1"/>
  <c r="LV6" i="14"/>
  <c r="LW6" i="14" s="1"/>
  <c r="LQ6" i="14"/>
  <c r="MA5" i="14"/>
  <c r="MB5" i="14" s="1"/>
  <c r="LV5" i="14"/>
  <c r="LW5" i="14" s="1"/>
  <c r="LQ5" i="14"/>
  <c r="MC4" i="14"/>
  <c r="MD4" i="14" s="1"/>
  <c r="MA4" i="14"/>
  <c r="MB4" i="14" s="1"/>
  <c r="LV4" i="14"/>
  <c r="LW4" i="14" s="1"/>
  <c r="LQ4" i="14"/>
  <c r="LR4" i="14" s="1"/>
  <c r="LI22" i="14"/>
  <c r="LH22" i="14"/>
  <c r="LG22" i="14"/>
  <c r="LD22" i="14"/>
  <c r="LC22" i="14"/>
  <c r="LB22" i="14"/>
  <c r="KY22" i="14"/>
  <c r="KX22" i="14"/>
  <c r="KW22" i="14"/>
  <c r="LJ21" i="14"/>
  <c r="LK21" i="14" s="1"/>
  <c r="LE21" i="14"/>
  <c r="LF21" i="14" s="1"/>
  <c r="KZ21" i="14"/>
  <c r="LL20" i="14"/>
  <c r="LM20" i="14" s="1"/>
  <c r="LJ20" i="14"/>
  <c r="LK20" i="14" s="1"/>
  <c r="LE20" i="14"/>
  <c r="LF20" i="14" s="1"/>
  <c r="KZ20" i="14"/>
  <c r="LA20" i="14" s="1"/>
  <c r="LJ19" i="14"/>
  <c r="LK19" i="14" s="1"/>
  <c r="LE19" i="14"/>
  <c r="LF19" i="14" s="1"/>
  <c r="KZ19" i="14"/>
  <c r="LJ18" i="14"/>
  <c r="LK18" i="14" s="1"/>
  <c r="LE18" i="14"/>
  <c r="LF18" i="14" s="1"/>
  <c r="KZ18" i="14"/>
  <c r="LJ17" i="14"/>
  <c r="LK17" i="14" s="1"/>
  <c r="LE17" i="14"/>
  <c r="LF17" i="14" s="1"/>
  <c r="KZ17" i="14"/>
  <c r="LL17" i="14" s="1"/>
  <c r="LM17" i="14" s="1"/>
  <c r="LL16" i="14"/>
  <c r="LM16" i="14" s="1"/>
  <c r="LJ16" i="14"/>
  <c r="LK16" i="14" s="1"/>
  <c r="LE16" i="14"/>
  <c r="LF16" i="14" s="1"/>
  <c r="KZ16" i="14"/>
  <c r="LA16" i="14" s="1"/>
  <c r="LJ15" i="14"/>
  <c r="LK15" i="14" s="1"/>
  <c r="LE15" i="14"/>
  <c r="LF15" i="14" s="1"/>
  <c r="KZ15" i="14"/>
  <c r="LJ14" i="14"/>
  <c r="LK14" i="14" s="1"/>
  <c r="LE14" i="14"/>
  <c r="LF14" i="14" s="1"/>
  <c r="KZ14" i="14"/>
  <c r="LL13" i="14"/>
  <c r="LM13" i="14" s="1"/>
  <c r="LJ13" i="14"/>
  <c r="LK13" i="14" s="1"/>
  <c r="LE13" i="14"/>
  <c r="LF13" i="14" s="1"/>
  <c r="KZ13" i="14"/>
  <c r="LA13" i="14" s="1"/>
  <c r="LJ12" i="14"/>
  <c r="LK12" i="14" s="1"/>
  <c r="LE12" i="14"/>
  <c r="LF12" i="14" s="1"/>
  <c r="KZ12" i="14"/>
  <c r="LJ11" i="14"/>
  <c r="LK11" i="14" s="1"/>
  <c r="LE11" i="14"/>
  <c r="LF11" i="14" s="1"/>
  <c r="KZ11" i="14"/>
  <c r="LL11" i="14" s="1"/>
  <c r="LM11" i="14" s="1"/>
  <c r="LL10" i="14"/>
  <c r="LM10" i="14" s="1"/>
  <c r="LJ10" i="14"/>
  <c r="LK10" i="14" s="1"/>
  <c r="LE10" i="14"/>
  <c r="LF10" i="14" s="1"/>
  <c r="KZ10" i="14"/>
  <c r="LA10" i="14" s="1"/>
  <c r="LJ9" i="14"/>
  <c r="LK9" i="14" s="1"/>
  <c r="LE9" i="14"/>
  <c r="LF9" i="14" s="1"/>
  <c r="KZ9" i="14"/>
  <c r="LJ8" i="14"/>
  <c r="LK8" i="14" s="1"/>
  <c r="LE8" i="14"/>
  <c r="LF8" i="14" s="1"/>
  <c r="KZ8" i="14"/>
  <c r="LJ7" i="14"/>
  <c r="LK7" i="14" s="1"/>
  <c r="LE7" i="14"/>
  <c r="LF7" i="14" s="1"/>
  <c r="KZ7" i="14"/>
  <c r="LJ6" i="14"/>
  <c r="LK6" i="14" s="1"/>
  <c r="LE6" i="14"/>
  <c r="LF6" i="14" s="1"/>
  <c r="KZ6" i="14"/>
  <c r="LL6" i="14" s="1"/>
  <c r="LM6" i="14" s="1"/>
  <c r="LJ5" i="14"/>
  <c r="LK5" i="14" s="1"/>
  <c r="LE5" i="14"/>
  <c r="LF5" i="14" s="1"/>
  <c r="KZ5" i="14"/>
  <c r="LL4" i="14"/>
  <c r="LM4" i="14" s="1"/>
  <c r="LJ4" i="14"/>
  <c r="LK4" i="14" s="1"/>
  <c r="LE4" i="14"/>
  <c r="LF4" i="14" s="1"/>
  <c r="KZ4" i="14"/>
  <c r="LA4" i="14" s="1"/>
  <c r="KR22" i="14"/>
  <c r="KQ22" i="14"/>
  <c r="KP22" i="14"/>
  <c r="KM22" i="14"/>
  <c r="KL22" i="14"/>
  <c r="KK22" i="14"/>
  <c r="KH22" i="14"/>
  <c r="KG22" i="14"/>
  <c r="KF22" i="14"/>
  <c r="KS21" i="14"/>
  <c r="KT21" i="14" s="1"/>
  <c r="KN21" i="14"/>
  <c r="KO21" i="14" s="1"/>
  <c r="KI21" i="14"/>
  <c r="KU21" i="14" s="1"/>
  <c r="KV21" i="14" s="1"/>
  <c r="KU20" i="14"/>
  <c r="KV20" i="14" s="1"/>
  <c r="KS20" i="14"/>
  <c r="KT20" i="14" s="1"/>
  <c r="KN20" i="14"/>
  <c r="KO20" i="14" s="1"/>
  <c r="KI20" i="14"/>
  <c r="KJ20" i="14" s="1"/>
  <c r="KS19" i="14"/>
  <c r="KT19" i="14" s="1"/>
  <c r="KN19" i="14"/>
  <c r="KO19" i="14" s="1"/>
  <c r="KI19" i="14"/>
  <c r="KS18" i="14"/>
  <c r="KT18" i="14" s="1"/>
  <c r="KN18" i="14"/>
  <c r="KO18" i="14" s="1"/>
  <c r="KI18" i="14"/>
  <c r="KS17" i="14"/>
  <c r="KT17" i="14" s="1"/>
  <c r="KN17" i="14"/>
  <c r="KO17" i="14" s="1"/>
  <c r="KI17" i="14"/>
  <c r="KU16" i="14"/>
  <c r="KV16" i="14" s="1"/>
  <c r="KS16" i="14"/>
  <c r="KT16" i="14" s="1"/>
  <c r="KN16" i="14"/>
  <c r="KO16" i="14" s="1"/>
  <c r="KI16" i="14"/>
  <c r="KJ16" i="14" s="1"/>
  <c r="KS15" i="14"/>
  <c r="KT15" i="14" s="1"/>
  <c r="KN15" i="14"/>
  <c r="KO15" i="14" s="1"/>
  <c r="KI15" i="14"/>
  <c r="KU15" i="14" s="1"/>
  <c r="KV15" i="14" s="1"/>
  <c r="KS14" i="14"/>
  <c r="KT14" i="14" s="1"/>
  <c r="KN14" i="14"/>
  <c r="KO14" i="14" s="1"/>
  <c r="KI14" i="14"/>
  <c r="KU13" i="14"/>
  <c r="KV13" i="14" s="1"/>
  <c r="KS13" i="14"/>
  <c r="KT13" i="14" s="1"/>
  <c r="KN13" i="14"/>
  <c r="KO13" i="14" s="1"/>
  <c r="KI13" i="14"/>
  <c r="KJ13" i="14" s="1"/>
  <c r="KS12" i="14"/>
  <c r="KT12" i="14" s="1"/>
  <c r="KN12" i="14"/>
  <c r="KO12" i="14" s="1"/>
  <c r="KI12" i="14"/>
  <c r="KS11" i="14"/>
  <c r="KT11" i="14" s="1"/>
  <c r="KN11" i="14"/>
  <c r="KO11" i="14" s="1"/>
  <c r="KI11" i="14"/>
  <c r="KU10" i="14"/>
  <c r="KV10" i="14" s="1"/>
  <c r="KS10" i="14"/>
  <c r="KT10" i="14" s="1"/>
  <c r="KN10" i="14"/>
  <c r="KO10" i="14" s="1"/>
  <c r="KI10" i="14"/>
  <c r="KJ10" i="14" s="1"/>
  <c r="KS9" i="14"/>
  <c r="KT9" i="14" s="1"/>
  <c r="KN9" i="14"/>
  <c r="KO9" i="14" s="1"/>
  <c r="KI9" i="14"/>
  <c r="KU9" i="14" s="1"/>
  <c r="KV9" i="14" s="1"/>
  <c r="KS8" i="14"/>
  <c r="KT8" i="14" s="1"/>
  <c r="KN8" i="14"/>
  <c r="KO8" i="14" s="1"/>
  <c r="KI8" i="14"/>
  <c r="KS7" i="14"/>
  <c r="KT7" i="14" s="1"/>
  <c r="KN7" i="14"/>
  <c r="KO7" i="14" s="1"/>
  <c r="KI7" i="14"/>
  <c r="KS6" i="14"/>
  <c r="KT6" i="14" s="1"/>
  <c r="KN6" i="14"/>
  <c r="KO6" i="14" s="1"/>
  <c r="KI6" i="14"/>
  <c r="KS5" i="14"/>
  <c r="KT5" i="14" s="1"/>
  <c r="KN5" i="14"/>
  <c r="KO5" i="14" s="1"/>
  <c r="KI5" i="14"/>
  <c r="KU5" i="14" s="1"/>
  <c r="KV5" i="14" s="1"/>
  <c r="KU4" i="14"/>
  <c r="KV4" i="14" s="1"/>
  <c r="KS4" i="14"/>
  <c r="KT4" i="14" s="1"/>
  <c r="KN4" i="14"/>
  <c r="KO4" i="14" s="1"/>
  <c r="KI4" i="14"/>
  <c r="KJ4" i="14" s="1"/>
  <c r="KA22" i="14"/>
  <c r="JZ22" i="14"/>
  <c r="JY22" i="14"/>
  <c r="JV22" i="14"/>
  <c r="JU22" i="14"/>
  <c r="JT22" i="14"/>
  <c r="JQ22" i="14"/>
  <c r="JP22" i="14"/>
  <c r="JO22" i="14"/>
  <c r="KB21" i="14"/>
  <c r="KC21" i="14" s="1"/>
  <c r="JW21" i="14"/>
  <c r="JX21" i="14" s="1"/>
  <c r="JR21" i="14"/>
  <c r="KD20" i="14"/>
  <c r="KE20" i="14" s="1"/>
  <c r="KB20" i="14"/>
  <c r="KC20" i="14" s="1"/>
  <c r="JW20" i="14"/>
  <c r="JX20" i="14" s="1"/>
  <c r="JR20" i="14"/>
  <c r="JS20" i="14" s="1"/>
  <c r="KB19" i="14"/>
  <c r="KC19" i="14" s="1"/>
  <c r="JW19" i="14"/>
  <c r="JX19" i="14" s="1"/>
  <c r="JR19" i="14"/>
  <c r="KD19" i="14" s="1"/>
  <c r="KE19" i="14" s="1"/>
  <c r="KB18" i="14"/>
  <c r="KC18" i="14" s="1"/>
  <c r="JW18" i="14"/>
  <c r="JX18" i="14" s="1"/>
  <c r="JR18" i="14"/>
  <c r="KB17" i="14"/>
  <c r="KC17" i="14" s="1"/>
  <c r="JW17" i="14"/>
  <c r="JX17" i="14" s="1"/>
  <c r="JR17" i="14"/>
  <c r="KD16" i="14"/>
  <c r="KE16" i="14" s="1"/>
  <c r="KB16" i="14"/>
  <c r="KC16" i="14" s="1"/>
  <c r="JW16" i="14"/>
  <c r="JX16" i="14" s="1"/>
  <c r="JR16" i="14"/>
  <c r="JS16" i="14" s="1"/>
  <c r="KB15" i="14"/>
  <c r="KC15" i="14" s="1"/>
  <c r="JW15" i="14"/>
  <c r="JX15" i="14" s="1"/>
  <c r="JR15" i="14"/>
  <c r="KB14" i="14"/>
  <c r="KC14" i="14" s="1"/>
  <c r="JW14" i="14"/>
  <c r="JX14" i="14" s="1"/>
  <c r="JR14" i="14"/>
  <c r="KD14" i="14" s="1"/>
  <c r="KE14" i="14" s="1"/>
  <c r="KD13" i="14"/>
  <c r="KE13" i="14" s="1"/>
  <c r="KB13" i="14"/>
  <c r="KC13" i="14" s="1"/>
  <c r="JW13" i="14"/>
  <c r="JX13" i="14" s="1"/>
  <c r="JR13" i="14"/>
  <c r="JS13" i="14" s="1"/>
  <c r="KB12" i="14"/>
  <c r="KC12" i="14" s="1"/>
  <c r="JW12" i="14"/>
  <c r="JX12" i="14" s="1"/>
  <c r="JR12" i="14"/>
  <c r="KB11" i="14"/>
  <c r="KC11" i="14" s="1"/>
  <c r="JW11" i="14"/>
  <c r="JX11" i="14" s="1"/>
  <c r="JR11" i="14"/>
  <c r="KD10" i="14"/>
  <c r="KE10" i="14" s="1"/>
  <c r="KB10" i="14"/>
  <c r="KC10" i="14" s="1"/>
  <c r="JW10" i="14"/>
  <c r="JX10" i="14" s="1"/>
  <c r="JR10" i="14"/>
  <c r="JS10" i="14" s="1"/>
  <c r="KB9" i="14"/>
  <c r="KC9" i="14" s="1"/>
  <c r="JW9" i="14"/>
  <c r="JX9" i="14" s="1"/>
  <c r="JR9" i="14"/>
  <c r="KB8" i="14"/>
  <c r="KC8" i="14" s="1"/>
  <c r="JW8" i="14"/>
  <c r="JX8" i="14" s="1"/>
  <c r="JR8" i="14"/>
  <c r="KD8" i="14" s="1"/>
  <c r="KE8" i="14" s="1"/>
  <c r="KB7" i="14"/>
  <c r="KC7" i="14" s="1"/>
  <c r="JW7" i="14"/>
  <c r="JX7" i="14" s="1"/>
  <c r="JR7" i="14"/>
  <c r="KB6" i="14"/>
  <c r="KC6" i="14" s="1"/>
  <c r="JW6" i="14"/>
  <c r="JX6" i="14" s="1"/>
  <c r="JR6" i="14"/>
  <c r="KB5" i="14"/>
  <c r="KC5" i="14" s="1"/>
  <c r="JW5" i="14"/>
  <c r="JX5" i="14" s="1"/>
  <c r="JR5" i="14"/>
  <c r="KD4" i="14"/>
  <c r="KE4" i="14" s="1"/>
  <c r="KB4" i="14"/>
  <c r="KC4" i="14" s="1"/>
  <c r="JW4" i="14"/>
  <c r="JX4" i="14" s="1"/>
  <c r="JR4" i="14"/>
  <c r="JS4" i="14" s="1"/>
  <c r="JJ22" i="14"/>
  <c r="JI22" i="14"/>
  <c r="JH22" i="14"/>
  <c r="JE22" i="14"/>
  <c r="JD22" i="14"/>
  <c r="JC22" i="14"/>
  <c r="IZ22" i="14"/>
  <c r="IY22" i="14"/>
  <c r="IX22" i="14"/>
  <c r="JK21" i="14"/>
  <c r="JL21" i="14" s="1"/>
  <c r="JF21" i="14"/>
  <c r="JG21" i="14" s="1"/>
  <c r="JA21" i="14"/>
  <c r="JM20" i="14"/>
  <c r="JN20" i="14" s="1"/>
  <c r="JK20" i="14"/>
  <c r="JL20" i="14" s="1"/>
  <c r="JF20" i="14"/>
  <c r="JG20" i="14" s="1"/>
  <c r="JA20" i="14"/>
  <c r="JB20" i="14" s="1"/>
  <c r="JK19" i="14"/>
  <c r="JL19" i="14" s="1"/>
  <c r="JF19" i="14"/>
  <c r="JG19" i="14" s="1"/>
  <c r="JA19" i="14"/>
  <c r="JK18" i="14"/>
  <c r="JL18" i="14" s="1"/>
  <c r="JF18" i="14"/>
  <c r="JG18" i="14" s="1"/>
  <c r="JA18" i="14"/>
  <c r="JM18" i="14" s="1"/>
  <c r="JN18" i="14" s="1"/>
  <c r="JK17" i="14"/>
  <c r="JL17" i="14" s="1"/>
  <c r="JF17" i="14"/>
  <c r="JG17" i="14" s="1"/>
  <c r="JA17" i="14"/>
  <c r="JM16" i="14"/>
  <c r="JN16" i="14" s="1"/>
  <c r="JK16" i="14"/>
  <c r="JL16" i="14" s="1"/>
  <c r="JF16" i="14"/>
  <c r="JG16" i="14" s="1"/>
  <c r="JA16" i="14"/>
  <c r="JB16" i="14" s="1"/>
  <c r="JK15" i="14"/>
  <c r="JL15" i="14" s="1"/>
  <c r="JF15" i="14"/>
  <c r="JG15" i="14" s="1"/>
  <c r="JA15" i="14"/>
  <c r="JK14" i="14"/>
  <c r="JL14" i="14" s="1"/>
  <c r="JF14" i="14"/>
  <c r="JG14" i="14" s="1"/>
  <c r="JA14" i="14"/>
  <c r="JM13" i="14"/>
  <c r="JN13" i="14" s="1"/>
  <c r="JK13" i="14"/>
  <c r="JL13" i="14" s="1"/>
  <c r="JF13" i="14"/>
  <c r="JG13" i="14" s="1"/>
  <c r="JA13" i="14"/>
  <c r="JB13" i="14" s="1"/>
  <c r="JK12" i="14"/>
  <c r="JL12" i="14" s="1"/>
  <c r="JF12" i="14"/>
  <c r="JG12" i="14" s="1"/>
  <c r="JA12" i="14"/>
  <c r="JM12" i="14" s="1"/>
  <c r="JN12" i="14" s="1"/>
  <c r="JK11" i="14"/>
  <c r="JL11" i="14" s="1"/>
  <c r="JF11" i="14"/>
  <c r="JG11" i="14" s="1"/>
  <c r="JA11" i="14"/>
  <c r="JM10" i="14"/>
  <c r="JN10" i="14" s="1"/>
  <c r="JK10" i="14"/>
  <c r="JL10" i="14" s="1"/>
  <c r="JF10" i="14"/>
  <c r="JG10" i="14" s="1"/>
  <c r="JA10" i="14"/>
  <c r="JB10" i="14" s="1"/>
  <c r="JK9" i="14"/>
  <c r="JL9" i="14" s="1"/>
  <c r="JF9" i="14"/>
  <c r="JG9" i="14" s="1"/>
  <c r="JA9" i="14"/>
  <c r="JK8" i="14"/>
  <c r="JL8" i="14" s="1"/>
  <c r="JF8" i="14"/>
  <c r="JG8" i="14" s="1"/>
  <c r="JA8" i="14"/>
  <c r="JK7" i="14"/>
  <c r="JL7" i="14" s="1"/>
  <c r="JF7" i="14"/>
  <c r="JG7" i="14" s="1"/>
  <c r="JA7" i="14"/>
  <c r="JM7" i="14" s="1"/>
  <c r="JN7" i="14" s="1"/>
  <c r="JK6" i="14"/>
  <c r="JL6" i="14" s="1"/>
  <c r="JF6" i="14"/>
  <c r="JG6" i="14" s="1"/>
  <c r="JA6" i="14"/>
  <c r="JK5" i="14"/>
  <c r="JL5" i="14" s="1"/>
  <c r="JF5" i="14"/>
  <c r="JG5" i="14" s="1"/>
  <c r="JA5" i="14"/>
  <c r="JM4" i="14"/>
  <c r="JN4" i="14" s="1"/>
  <c r="JK4" i="14"/>
  <c r="JL4" i="14" s="1"/>
  <c r="JF4" i="14"/>
  <c r="JG4" i="14" s="1"/>
  <c r="JA4" i="14"/>
  <c r="JB4" i="14" s="1"/>
  <c r="IS22" i="14"/>
  <c r="IR22" i="14"/>
  <c r="IQ22" i="14"/>
  <c r="IN22" i="14"/>
  <c r="IM22" i="14"/>
  <c r="IL22" i="14"/>
  <c r="II22" i="14"/>
  <c r="IH22" i="14"/>
  <c r="IG22" i="14"/>
  <c r="IT21" i="14"/>
  <c r="IU21" i="14" s="1"/>
  <c r="IO21" i="14"/>
  <c r="IP21" i="14" s="1"/>
  <c r="IJ21" i="14"/>
  <c r="IV20" i="14"/>
  <c r="IW20" i="14" s="1"/>
  <c r="IT20" i="14"/>
  <c r="IU20" i="14" s="1"/>
  <c r="IO20" i="14"/>
  <c r="IP20" i="14" s="1"/>
  <c r="IJ20" i="14"/>
  <c r="IK20" i="14" s="1"/>
  <c r="IT19" i="14"/>
  <c r="IU19" i="14" s="1"/>
  <c r="IO19" i="14"/>
  <c r="IP19" i="14" s="1"/>
  <c r="IJ19" i="14"/>
  <c r="IT18" i="14"/>
  <c r="IU18" i="14" s="1"/>
  <c r="IO18" i="14"/>
  <c r="IP18" i="14" s="1"/>
  <c r="IJ18" i="14"/>
  <c r="IT17" i="14"/>
  <c r="IU17" i="14" s="1"/>
  <c r="IO17" i="14"/>
  <c r="IP17" i="14" s="1"/>
  <c r="IJ17" i="14"/>
  <c r="IV17" i="14" s="1"/>
  <c r="IW17" i="14" s="1"/>
  <c r="IV16" i="14"/>
  <c r="IW16" i="14" s="1"/>
  <c r="IT16" i="14"/>
  <c r="IU16" i="14" s="1"/>
  <c r="IO16" i="14"/>
  <c r="IP16" i="14" s="1"/>
  <c r="IJ16" i="14"/>
  <c r="IK16" i="14" s="1"/>
  <c r="IT15" i="14"/>
  <c r="IU15" i="14" s="1"/>
  <c r="IO15" i="14"/>
  <c r="IP15" i="14" s="1"/>
  <c r="IJ15" i="14"/>
  <c r="IT14" i="14"/>
  <c r="IU14" i="14" s="1"/>
  <c r="IO14" i="14"/>
  <c r="IP14" i="14" s="1"/>
  <c r="IJ14" i="14"/>
  <c r="IV13" i="14"/>
  <c r="IW13" i="14" s="1"/>
  <c r="IT13" i="14"/>
  <c r="IU13" i="14" s="1"/>
  <c r="IO13" i="14"/>
  <c r="IP13" i="14" s="1"/>
  <c r="IJ13" i="14"/>
  <c r="IK13" i="14" s="1"/>
  <c r="IT12" i="14"/>
  <c r="IU12" i="14" s="1"/>
  <c r="IO12" i="14"/>
  <c r="IP12" i="14" s="1"/>
  <c r="IJ12" i="14"/>
  <c r="IT11" i="14"/>
  <c r="IU11" i="14" s="1"/>
  <c r="IO11" i="14"/>
  <c r="IP11" i="14" s="1"/>
  <c r="IJ11" i="14"/>
  <c r="IV11" i="14" s="1"/>
  <c r="IW11" i="14" s="1"/>
  <c r="IV10" i="14"/>
  <c r="IW10" i="14" s="1"/>
  <c r="IT10" i="14"/>
  <c r="IU10" i="14" s="1"/>
  <c r="IO10" i="14"/>
  <c r="IP10" i="14" s="1"/>
  <c r="IJ10" i="14"/>
  <c r="IK10" i="14" s="1"/>
  <c r="IT9" i="14"/>
  <c r="IU9" i="14" s="1"/>
  <c r="IO9" i="14"/>
  <c r="IP9" i="14" s="1"/>
  <c r="IJ9" i="14"/>
  <c r="IT8" i="14"/>
  <c r="IU8" i="14" s="1"/>
  <c r="IO8" i="14"/>
  <c r="IP8" i="14" s="1"/>
  <c r="IJ8" i="14"/>
  <c r="IT7" i="14"/>
  <c r="IU7" i="14" s="1"/>
  <c r="IO7" i="14"/>
  <c r="IP7" i="14" s="1"/>
  <c r="IJ7" i="14"/>
  <c r="IT6" i="14"/>
  <c r="IU6" i="14" s="1"/>
  <c r="IO6" i="14"/>
  <c r="IP6" i="14" s="1"/>
  <c r="IJ6" i="14"/>
  <c r="IV6" i="14" s="1"/>
  <c r="IW6" i="14" s="1"/>
  <c r="IT5" i="14"/>
  <c r="IU5" i="14" s="1"/>
  <c r="IO5" i="14"/>
  <c r="IP5" i="14" s="1"/>
  <c r="IJ5" i="14"/>
  <c r="IV4" i="14"/>
  <c r="IW4" i="14" s="1"/>
  <c r="IT4" i="14"/>
  <c r="IU4" i="14" s="1"/>
  <c r="IO4" i="14"/>
  <c r="IP4" i="14" s="1"/>
  <c r="IJ4" i="14"/>
  <c r="IK4" i="14" s="1"/>
  <c r="IB22" i="14"/>
  <c r="IA22" i="14"/>
  <c r="HZ22" i="14"/>
  <c r="HW22" i="14"/>
  <c r="HV22" i="14"/>
  <c r="HU22" i="14"/>
  <c r="HR22" i="14"/>
  <c r="HQ22" i="14"/>
  <c r="HP22" i="14"/>
  <c r="IC21" i="14"/>
  <c r="ID21" i="14" s="1"/>
  <c r="HX21" i="14"/>
  <c r="HY21" i="14" s="1"/>
  <c r="HS21" i="14"/>
  <c r="IE21" i="14" s="1"/>
  <c r="IF21" i="14" s="1"/>
  <c r="IE20" i="14"/>
  <c r="IF20" i="14" s="1"/>
  <c r="IC20" i="14"/>
  <c r="ID20" i="14" s="1"/>
  <c r="HX20" i="14"/>
  <c r="HY20" i="14" s="1"/>
  <c r="HS20" i="14"/>
  <c r="HT20" i="14" s="1"/>
  <c r="IC19" i="14"/>
  <c r="ID19" i="14" s="1"/>
  <c r="HX19" i="14"/>
  <c r="HY19" i="14" s="1"/>
  <c r="HS19" i="14"/>
  <c r="IC18" i="14"/>
  <c r="ID18" i="14" s="1"/>
  <c r="HX18" i="14"/>
  <c r="HY18" i="14" s="1"/>
  <c r="HS18" i="14"/>
  <c r="IC17" i="14"/>
  <c r="ID17" i="14" s="1"/>
  <c r="HX17" i="14"/>
  <c r="HY17" i="14" s="1"/>
  <c r="HS17" i="14"/>
  <c r="IE16" i="14"/>
  <c r="IF16" i="14" s="1"/>
  <c r="IC16" i="14"/>
  <c r="ID16" i="14" s="1"/>
  <c r="HX16" i="14"/>
  <c r="HY16" i="14" s="1"/>
  <c r="HS16" i="14"/>
  <c r="HT16" i="14" s="1"/>
  <c r="IC15" i="14"/>
  <c r="ID15" i="14" s="1"/>
  <c r="HX15" i="14"/>
  <c r="HY15" i="14" s="1"/>
  <c r="HS15" i="14"/>
  <c r="IE15" i="14" s="1"/>
  <c r="IF15" i="14" s="1"/>
  <c r="IC14" i="14"/>
  <c r="ID14" i="14" s="1"/>
  <c r="HX14" i="14"/>
  <c r="HY14" i="14" s="1"/>
  <c r="HS14" i="14"/>
  <c r="IE13" i="14"/>
  <c r="IF13" i="14" s="1"/>
  <c r="IC13" i="14"/>
  <c r="ID13" i="14" s="1"/>
  <c r="HX13" i="14"/>
  <c r="HY13" i="14" s="1"/>
  <c r="HS13" i="14"/>
  <c r="HT13" i="14" s="1"/>
  <c r="IC12" i="14"/>
  <c r="ID12" i="14" s="1"/>
  <c r="HX12" i="14"/>
  <c r="HY12" i="14" s="1"/>
  <c r="HS12" i="14"/>
  <c r="IC11" i="14"/>
  <c r="ID11" i="14" s="1"/>
  <c r="HX11" i="14"/>
  <c r="HY11" i="14" s="1"/>
  <c r="HS11" i="14"/>
  <c r="IE10" i="14"/>
  <c r="IF10" i="14" s="1"/>
  <c r="IC10" i="14"/>
  <c r="ID10" i="14" s="1"/>
  <c r="HX10" i="14"/>
  <c r="HY10" i="14" s="1"/>
  <c r="HS10" i="14"/>
  <c r="HT10" i="14" s="1"/>
  <c r="IC9" i="14"/>
  <c r="ID9" i="14" s="1"/>
  <c r="HX9" i="14"/>
  <c r="HY9" i="14" s="1"/>
  <c r="HS9" i="14"/>
  <c r="IE9" i="14" s="1"/>
  <c r="IF9" i="14" s="1"/>
  <c r="IC8" i="14"/>
  <c r="ID8" i="14" s="1"/>
  <c r="HX8" i="14"/>
  <c r="HY8" i="14" s="1"/>
  <c r="HS8" i="14"/>
  <c r="IC7" i="14"/>
  <c r="ID7" i="14" s="1"/>
  <c r="HX7" i="14"/>
  <c r="HY7" i="14" s="1"/>
  <c r="HS7" i="14"/>
  <c r="IC6" i="14"/>
  <c r="ID6" i="14" s="1"/>
  <c r="HX6" i="14"/>
  <c r="HY6" i="14" s="1"/>
  <c r="HS6" i="14"/>
  <c r="IC5" i="14"/>
  <c r="ID5" i="14" s="1"/>
  <c r="HX5" i="14"/>
  <c r="HY5" i="14" s="1"/>
  <c r="HS5" i="14"/>
  <c r="IE5" i="14" s="1"/>
  <c r="IF5" i="14" s="1"/>
  <c r="IE4" i="14"/>
  <c r="IF4" i="14" s="1"/>
  <c r="IC4" i="14"/>
  <c r="ID4" i="14" s="1"/>
  <c r="HX4" i="14"/>
  <c r="HY4" i="14" s="1"/>
  <c r="HS4" i="14"/>
  <c r="HT4" i="14" s="1"/>
  <c r="HK22" i="14"/>
  <c r="HJ22" i="14"/>
  <c r="HI22" i="14"/>
  <c r="HF22" i="14"/>
  <c r="HE22" i="14"/>
  <c r="HD22" i="14"/>
  <c r="HA22" i="14"/>
  <c r="GZ22" i="14"/>
  <c r="GY22" i="14"/>
  <c r="HL21" i="14"/>
  <c r="HM21" i="14" s="1"/>
  <c r="HG21" i="14"/>
  <c r="HH21" i="14" s="1"/>
  <c r="HB21" i="14"/>
  <c r="HN20" i="14"/>
  <c r="HO20" i="14" s="1"/>
  <c r="HL20" i="14"/>
  <c r="HM20" i="14" s="1"/>
  <c r="HG20" i="14"/>
  <c r="HH20" i="14" s="1"/>
  <c r="HB20" i="14"/>
  <c r="HC20" i="14" s="1"/>
  <c r="HL19" i="14"/>
  <c r="HM19" i="14" s="1"/>
  <c r="HG19" i="14"/>
  <c r="HH19" i="14" s="1"/>
  <c r="HB19" i="14"/>
  <c r="HN19" i="14" s="1"/>
  <c r="HO19" i="14" s="1"/>
  <c r="HL18" i="14"/>
  <c r="HM18" i="14" s="1"/>
  <c r="HG18" i="14"/>
  <c r="HH18" i="14" s="1"/>
  <c r="HB18" i="14"/>
  <c r="HL17" i="14"/>
  <c r="HM17" i="14" s="1"/>
  <c r="HG17" i="14"/>
  <c r="HH17" i="14" s="1"/>
  <c r="HB17" i="14"/>
  <c r="HN16" i="14"/>
  <c r="HO16" i="14" s="1"/>
  <c r="HL16" i="14"/>
  <c r="HM16" i="14" s="1"/>
  <c r="HG16" i="14"/>
  <c r="HH16" i="14" s="1"/>
  <c r="HB16" i="14"/>
  <c r="HC16" i="14" s="1"/>
  <c r="HL15" i="14"/>
  <c r="HM15" i="14" s="1"/>
  <c r="HG15" i="14"/>
  <c r="HH15" i="14" s="1"/>
  <c r="HB15" i="14"/>
  <c r="HL14" i="14"/>
  <c r="HM14" i="14" s="1"/>
  <c r="HG14" i="14"/>
  <c r="HH14" i="14" s="1"/>
  <c r="HB14" i="14"/>
  <c r="HN14" i="14" s="1"/>
  <c r="HO14" i="14" s="1"/>
  <c r="HN13" i="14"/>
  <c r="HO13" i="14" s="1"/>
  <c r="HL13" i="14"/>
  <c r="HM13" i="14" s="1"/>
  <c r="HG13" i="14"/>
  <c r="HH13" i="14" s="1"/>
  <c r="HB13" i="14"/>
  <c r="HC13" i="14" s="1"/>
  <c r="HL12" i="14"/>
  <c r="HM12" i="14" s="1"/>
  <c r="HG12" i="14"/>
  <c r="HH12" i="14" s="1"/>
  <c r="HB12" i="14"/>
  <c r="HL11" i="14"/>
  <c r="HM11" i="14" s="1"/>
  <c r="HG11" i="14"/>
  <c r="HH11" i="14" s="1"/>
  <c r="HB11" i="14"/>
  <c r="HN10" i="14"/>
  <c r="HO10" i="14" s="1"/>
  <c r="HL10" i="14"/>
  <c r="HM10" i="14" s="1"/>
  <c r="HG10" i="14"/>
  <c r="HH10" i="14" s="1"/>
  <c r="HB10" i="14"/>
  <c r="HC10" i="14" s="1"/>
  <c r="HL9" i="14"/>
  <c r="HM9" i="14" s="1"/>
  <c r="HG9" i="14"/>
  <c r="HH9" i="14" s="1"/>
  <c r="HB9" i="14"/>
  <c r="HL8" i="14"/>
  <c r="HM8" i="14" s="1"/>
  <c r="HG8" i="14"/>
  <c r="HH8" i="14" s="1"/>
  <c r="HB8" i="14"/>
  <c r="HN8" i="14" s="1"/>
  <c r="HO8" i="14" s="1"/>
  <c r="HL7" i="14"/>
  <c r="HM7" i="14" s="1"/>
  <c r="HG7" i="14"/>
  <c r="HH7" i="14" s="1"/>
  <c r="HB7" i="14"/>
  <c r="HL6" i="14"/>
  <c r="HM6" i="14" s="1"/>
  <c r="HG6" i="14"/>
  <c r="HH6" i="14" s="1"/>
  <c r="HB6" i="14"/>
  <c r="HL5" i="14"/>
  <c r="HM5" i="14" s="1"/>
  <c r="HG5" i="14"/>
  <c r="HH5" i="14" s="1"/>
  <c r="HB5" i="14"/>
  <c r="HN4" i="14"/>
  <c r="HO4" i="14" s="1"/>
  <c r="HL4" i="14"/>
  <c r="HM4" i="14" s="1"/>
  <c r="HG4" i="14"/>
  <c r="HH4" i="14" s="1"/>
  <c r="HB4" i="14"/>
  <c r="HC4" i="14" s="1"/>
  <c r="GT22" i="14"/>
  <c r="GS22" i="14"/>
  <c r="GR22" i="14"/>
  <c r="GO22" i="14"/>
  <c r="GN22" i="14"/>
  <c r="GM22" i="14"/>
  <c r="GJ22" i="14"/>
  <c r="GI22" i="14"/>
  <c r="GH22" i="14"/>
  <c r="GU21" i="14"/>
  <c r="GV21" i="14" s="1"/>
  <c r="GP21" i="14"/>
  <c r="GQ21" i="14" s="1"/>
  <c r="GK21" i="14"/>
  <c r="GW20" i="14"/>
  <c r="GX20" i="14" s="1"/>
  <c r="GU20" i="14"/>
  <c r="GV20" i="14" s="1"/>
  <c r="GP20" i="14"/>
  <c r="GQ20" i="14" s="1"/>
  <c r="GK20" i="14"/>
  <c r="GL20" i="14" s="1"/>
  <c r="GU19" i="14"/>
  <c r="GV19" i="14" s="1"/>
  <c r="GP19" i="14"/>
  <c r="GQ19" i="14" s="1"/>
  <c r="GK19" i="14"/>
  <c r="GU18" i="14"/>
  <c r="GV18" i="14" s="1"/>
  <c r="GP18" i="14"/>
  <c r="GQ18" i="14" s="1"/>
  <c r="GK18" i="14"/>
  <c r="GW18" i="14" s="1"/>
  <c r="GX18" i="14" s="1"/>
  <c r="GU17" i="14"/>
  <c r="GV17" i="14" s="1"/>
  <c r="GP17" i="14"/>
  <c r="GQ17" i="14" s="1"/>
  <c r="GK17" i="14"/>
  <c r="GW16" i="14"/>
  <c r="GX16" i="14" s="1"/>
  <c r="GU16" i="14"/>
  <c r="GV16" i="14" s="1"/>
  <c r="GP16" i="14"/>
  <c r="GQ16" i="14" s="1"/>
  <c r="GK16" i="14"/>
  <c r="GL16" i="14" s="1"/>
  <c r="GU15" i="14"/>
  <c r="GV15" i="14" s="1"/>
  <c r="GP15" i="14"/>
  <c r="GQ15" i="14" s="1"/>
  <c r="GK15" i="14"/>
  <c r="GU14" i="14"/>
  <c r="GV14" i="14" s="1"/>
  <c r="GP14" i="14"/>
  <c r="GQ14" i="14" s="1"/>
  <c r="GK14" i="14"/>
  <c r="GW13" i="14"/>
  <c r="GX13" i="14" s="1"/>
  <c r="GU13" i="14"/>
  <c r="GV13" i="14" s="1"/>
  <c r="GP13" i="14"/>
  <c r="GQ13" i="14" s="1"/>
  <c r="GK13" i="14"/>
  <c r="GL13" i="14" s="1"/>
  <c r="GU12" i="14"/>
  <c r="GV12" i="14" s="1"/>
  <c r="GP12" i="14"/>
  <c r="GQ12" i="14" s="1"/>
  <c r="GK12" i="14"/>
  <c r="GW12" i="14" s="1"/>
  <c r="GX12" i="14" s="1"/>
  <c r="GU11" i="14"/>
  <c r="GV11" i="14" s="1"/>
  <c r="GP11" i="14"/>
  <c r="GQ11" i="14" s="1"/>
  <c r="GK11" i="14"/>
  <c r="GW10" i="14"/>
  <c r="GX10" i="14" s="1"/>
  <c r="GU10" i="14"/>
  <c r="GV10" i="14" s="1"/>
  <c r="GP10" i="14"/>
  <c r="GQ10" i="14" s="1"/>
  <c r="GK10" i="14"/>
  <c r="GL10" i="14" s="1"/>
  <c r="GU9" i="14"/>
  <c r="GV9" i="14" s="1"/>
  <c r="GP9" i="14"/>
  <c r="GQ9" i="14" s="1"/>
  <c r="GK9" i="14"/>
  <c r="GU8" i="14"/>
  <c r="GV8" i="14" s="1"/>
  <c r="GP8" i="14"/>
  <c r="GQ8" i="14" s="1"/>
  <c r="GK8" i="14"/>
  <c r="GU7" i="14"/>
  <c r="GV7" i="14" s="1"/>
  <c r="GP7" i="14"/>
  <c r="GQ7" i="14" s="1"/>
  <c r="GK7" i="14"/>
  <c r="GW7" i="14" s="1"/>
  <c r="GX7" i="14" s="1"/>
  <c r="GU6" i="14"/>
  <c r="GV6" i="14" s="1"/>
  <c r="GP6" i="14"/>
  <c r="GQ6" i="14" s="1"/>
  <c r="GK6" i="14"/>
  <c r="GU5" i="14"/>
  <c r="GV5" i="14" s="1"/>
  <c r="GP5" i="14"/>
  <c r="GQ5" i="14" s="1"/>
  <c r="GK5" i="14"/>
  <c r="GW4" i="14"/>
  <c r="GX4" i="14" s="1"/>
  <c r="GU4" i="14"/>
  <c r="GV4" i="14" s="1"/>
  <c r="GP4" i="14"/>
  <c r="GQ4" i="14" s="1"/>
  <c r="GK4" i="14"/>
  <c r="GL4" i="14" s="1"/>
  <c r="GC22" i="14"/>
  <c r="GB22" i="14"/>
  <c r="GA22" i="14"/>
  <c r="FX22" i="14"/>
  <c r="FW22" i="14"/>
  <c r="FV22" i="14"/>
  <c r="FS22" i="14"/>
  <c r="FR22" i="14"/>
  <c r="FQ22" i="14"/>
  <c r="GD21" i="14"/>
  <c r="GE21" i="14" s="1"/>
  <c r="FY21" i="14"/>
  <c r="FZ21" i="14" s="1"/>
  <c r="FT21" i="14"/>
  <c r="GF20" i="14"/>
  <c r="GG20" i="14" s="1"/>
  <c r="GD20" i="14"/>
  <c r="GE20" i="14" s="1"/>
  <c r="FY20" i="14"/>
  <c r="FZ20" i="14" s="1"/>
  <c r="FT20" i="14"/>
  <c r="FU20" i="14" s="1"/>
  <c r="GD19" i="14"/>
  <c r="GE19" i="14" s="1"/>
  <c r="FY19" i="14"/>
  <c r="FZ19" i="14" s="1"/>
  <c r="FT19" i="14"/>
  <c r="GD18" i="14"/>
  <c r="GE18" i="14" s="1"/>
  <c r="FY18" i="14"/>
  <c r="FZ18" i="14" s="1"/>
  <c r="FT18" i="14"/>
  <c r="GD17" i="14"/>
  <c r="GE17" i="14" s="1"/>
  <c r="FY17" i="14"/>
  <c r="FZ17" i="14" s="1"/>
  <c r="FT17" i="14"/>
  <c r="GF17" i="14" s="1"/>
  <c r="GG17" i="14" s="1"/>
  <c r="GF16" i="14"/>
  <c r="GG16" i="14" s="1"/>
  <c r="GD16" i="14"/>
  <c r="GE16" i="14" s="1"/>
  <c r="FY16" i="14"/>
  <c r="FZ16" i="14" s="1"/>
  <c r="FT16" i="14"/>
  <c r="FU16" i="14" s="1"/>
  <c r="GD15" i="14"/>
  <c r="GE15" i="14" s="1"/>
  <c r="FY15" i="14"/>
  <c r="FZ15" i="14" s="1"/>
  <c r="FT15" i="14"/>
  <c r="GD14" i="14"/>
  <c r="GE14" i="14" s="1"/>
  <c r="FY14" i="14"/>
  <c r="FZ14" i="14" s="1"/>
  <c r="FT14" i="14"/>
  <c r="GF13" i="14"/>
  <c r="GG13" i="14" s="1"/>
  <c r="GD13" i="14"/>
  <c r="GE13" i="14" s="1"/>
  <c r="FY13" i="14"/>
  <c r="FZ13" i="14" s="1"/>
  <c r="FT13" i="14"/>
  <c r="FU13" i="14" s="1"/>
  <c r="GD12" i="14"/>
  <c r="GE12" i="14" s="1"/>
  <c r="FY12" i="14"/>
  <c r="FZ12" i="14" s="1"/>
  <c r="FT12" i="14"/>
  <c r="GD11" i="14"/>
  <c r="GE11" i="14" s="1"/>
  <c r="FY11" i="14"/>
  <c r="FZ11" i="14" s="1"/>
  <c r="FT11" i="14"/>
  <c r="GF11" i="14" s="1"/>
  <c r="GG11" i="14" s="1"/>
  <c r="GF10" i="14"/>
  <c r="GG10" i="14" s="1"/>
  <c r="GD10" i="14"/>
  <c r="GE10" i="14" s="1"/>
  <c r="FY10" i="14"/>
  <c r="FZ10" i="14" s="1"/>
  <c r="FT10" i="14"/>
  <c r="FU10" i="14" s="1"/>
  <c r="GD9" i="14"/>
  <c r="GE9" i="14" s="1"/>
  <c r="FY9" i="14"/>
  <c r="FZ9" i="14" s="1"/>
  <c r="FT9" i="14"/>
  <c r="GD8" i="14"/>
  <c r="GE8" i="14" s="1"/>
  <c r="FY8" i="14"/>
  <c r="FZ8" i="14" s="1"/>
  <c r="FT8" i="14"/>
  <c r="GD7" i="14"/>
  <c r="GE7" i="14" s="1"/>
  <c r="FY7" i="14"/>
  <c r="FZ7" i="14" s="1"/>
  <c r="FT7" i="14"/>
  <c r="GD6" i="14"/>
  <c r="GE6" i="14" s="1"/>
  <c r="FY6" i="14"/>
  <c r="FZ6" i="14" s="1"/>
  <c r="FT6" i="14"/>
  <c r="GF6" i="14" s="1"/>
  <c r="GG6" i="14" s="1"/>
  <c r="GD5" i="14"/>
  <c r="GE5" i="14" s="1"/>
  <c r="FY5" i="14"/>
  <c r="FZ5" i="14" s="1"/>
  <c r="FT5" i="14"/>
  <c r="GF4" i="14"/>
  <c r="GG4" i="14" s="1"/>
  <c r="GD4" i="14"/>
  <c r="GE4" i="14" s="1"/>
  <c r="FY4" i="14"/>
  <c r="FZ4" i="14" s="1"/>
  <c r="FT4" i="14"/>
  <c r="FU4" i="14" s="1"/>
  <c r="FL22" i="14"/>
  <c r="FK22" i="14"/>
  <c r="FJ22" i="14"/>
  <c r="FG22" i="14"/>
  <c r="FF22" i="14"/>
  <c r="FE22" i="14"/>
  <c r="FB22" i="14"/>
  <c r="FA22" i="14"/>
  <c r="EZ22" i="14"/>
  <c r="FM21" i="14"/>
  <c r="FN21" i="14" s="1"/>
  <c r="FH21" i="14"/>
  <c r="FI21" i="14" s="1"/>
  <c r="FC21" i="14"/>
  <c r="FO21" i="14" s="1"/>
  <c r="FP21" i="14" s="1"/>
  <c r="FO20" i="14"/>
  <c r="FP20" i="14" s="1"/>
  <c r="FM20" i="14"/>
  <c r="FN20" i="14" s="1"/>
  <c r="FH20" i="14"/>
  <c r="FI20" i="14" s="1"/>
  <c r="FC20" i="14"/>
  <c r="FD20" i="14" s="1"/>
  <c r="FM19" i="14"/>
  <c r="FN19" i="14" s="1"/>
  <c r="FH19" i="14"/>
  <c r="FI19" i="14" s="1"/>
  <c r="FC19" i="14"/>
  <c r="FM18" i="14"/>
  <c r="FN18" i="14" s="1"/>
  <c r="FH18" i="14"/>
  <c r="FI18" i="14" s="1"/>
  <c r="FC18" i="14"/>
  <c r="FM17" i="14"/>
  <c r="FN17" i="14" s="1"/>
  <c r="FH17" i="14"/>
  <c r="FI17" i="14" s="1"/>
  <c r="FC17" i="14"/>
  <c r="FO16" i="14"/>
  <c r="FP16" i="14" s="1"/>
  <c r="FM16" i="14"/>
  <c r="FN16" i="14" s="1"/>
  <c r="FH16" i="14"/>
  <c r="FI16" i="14" s="1"/>
  <c r="FC16" i="14"/>
  <c r="FD16" i="14" s="1"/>
  <c r="FM15" i="14"/>
  <c r="FN15" i="14" s="1"/>
  <c r="FH15" i="14"/>
  <c r="FI15" i="14" s="1"/>
  <c r="FC15" i="14"/>
  <c r="FO15" i="14" s="1"/>
  <c r="FP15" i="14" s="1"/>
  <c r="FM14" i="14"/>
  <c r="FN14" i="14" s="1"/>
  <c r="FH14" i="14"/>
  <c r="FI14" i="14" s="1"/>
  <c r="FC14" i="14"/>
  <c r="FO13" i="14"/>
  <c r="FP13" i="14" s="1"/>
  <c r="FM13" i="14"/>
  <c r="FN13" i="14" s="1"/>
  <c r="FH13" i="14"/>
  <c r="FI13" i="14" s="1"/>
  <c r="FC13" i="14"/>
  <c r="FD13" i="14" s="1"/>
  <c r="FM12" i="14"/>
  <c r="FN12" i="14" s="1"/>
  <c r="FH12" i="14"/>
  <c r="FI12" i="14" s="1"/>
  <c r="FC12" i="14"/>
  <c r="FM11" i="14"/>
  <c r="FN11" i="14" s="1"/>
  <c r="FH11" i="14"/>
  <c r="FI11" i="14" s="1"/>
  <c r="FC11" i="14"/>
  <c r="FO10" i="14"/>
  <c r="FP10" i="14" s="1"/>
  <c r="FM10" i="14"/>
  <c r="FN10" i="14" s="1"/>
  <c r="FH10" i="14"/>
  <c r="FI10" i="14" s="1"/>
  <c r="FC10" i="14"/>
  <c r="FD10" i="14" s="1"/>
  <c r="FM9" i="14"/>
  <c r="FN9" i="14" s="1"/>
  <c r="FH9" i="14"/>
  <c r="FI9" i="14" s="1"/>
  <c r="FC9" i="14"/>
  <c r="FO9" i="14" s="1"/>
  <c r="FP9" i="14" s="1"/>
  <c r="FM8" i="14"/>
  <c r="FN8" i="14" s="1"/>
  <c r="FH8" i="14"/>
  <c r="FI8" i="14" s="1"/>
  <c r="FC8" i="14"/>
  <c r="FM7" i="14"/>
  <c r="FN7" i="14" s="1"/>
  <c r="FH7" i="14"/>
  <c r="FI7" i="14" s="1"/>
  <c r="FC7" i="14"/>
  <c r="FM6" i="14"/>
  <c r="FN6" i="14" s="1"/>
  <c r="FH6" i="14"/>
  <c r="FI6" i="14" s="1"/>
  <c r="FC6" i="14"/>
  <c r="FM5" i="14"/>
  <c r="FN5" i="14" s="1"/>
  <c r="FH5" i="14"/>
  <c r="FI5" i="14" s="1"/>
  <c r="FC5" i="14"/>
  <c r="FO5" i="14" s="1"/>
  <c r="FP5" i="14" s="1"/>
  <c r="FO4" i="14"/>
  <c r="FP4" i="14" s="1"/>
  <c r="FM4" i="14"/>
  <c r="FN4" i="14" s="1"/>
  <c r="FH4" i="14"/>
  <c r="FI4" i="14" s="1"/>
  <c r="FC4" i="14"/>
  <c r="FD4" i="14" s="1"/>
  <c r="EU22" i="14"/>
  <c r="ET22" i="14"/>
  <c r="ES22" i="14"/>
  <c r="EP22" i="14"/>
  <c r="EO22" i="14"/>
  <c r="EN22" i="14"/>
  <c r="EK22" i="14"/>
  <c r="EJ22" i="14"/>
  <c r="EI22" i="14"/>
  <c r="EV21" i="14"/>
  <c r="EW21" i="14" s="1"/>
  <c r="EQ21" i="14"/>
  <c r="ER21" i="14" s="1"/>
  <c r="EL21" i="14"/>
  <c r="EX20" i="14"/>
  <c r="EY20" i="14" s="1"/>
  <c r="EV20" i="14"/>
  <c r="EW20" i="14" s="1"/>
  <c r="EQ20" i="14"/>
  <c r="ER20" i="14" s="1"/>
  <c r="EL20" i="14"/>
  <c r="EM20" i="14" s="1"/>
  <c r="EV19" i="14"/>
  <c r="EW19" i="14" s="1"/>
  <c r="EQ19" i="14"/>
  <c r="ER19" i="14" s="1"/>
  <c r="EL19" i="14"/>
  <c r="EX19" i="14" s="1"/>
  <c r="EY19" i="14" s="1"/>
  <c r="EV18" i="14"/>
  <c r="EW18" i="14" s="1"/>
  <c r="EQ18" i="14"/>
  <c r="ER18" i="14" s="1"/>
  <c r="EL18" i="14"/>
  <c r="EV17" i="14"/>
  <c r="EW17" i="14" s="1"/>
  <c r="EQ17" i="14"/>
  <c r="ER17" i="14" s="1"/>
  <c r="EL17" i="14"/>
  <c r="EX16" i="14"/>
  <c r="EY16" i="14" s="1"/>
  <c r="EV16" i="14"/>
  <c r="EW16" i="14" s="1"/>
  <c r="EQ16" i="14"/>
  <c r="ER16" i="14" s="1"/>
  <c r="EL16" i="14"/>
  <c r="EM16" i="14" s="1"/>
  <c r="EV15" i="14"/>
  <c r="EW15" i="14" s="1"/>
  <c r="EQ15" i="14"/>
  <c r="ER15" i="14" s="1"/>
  <c r="EL15" i="14"/>
  <c r="EV14" i="14"/>
  <c r="EW14" i="14" s="1"/>
  <c r="EQ14" i="14"/>
  <c r="ER14" i="14" s="1"/>
  <c r="EL14" i="14"/>
  <c r="EX14" i="14" s="1"/>
  <c r="EY14" i="14" s="1"/>
  <c r="EX13" i="14"/>
  <c r="EY13" i="14" s="1"/>
  <c r="EV13" i="14"/>
  <c r="EW13" i="14" s="1"/>
  <c r="EQ13" i="14"/>
  <c r="ER13" i="14" s="1"/>
  <c r="EL13" i="14"/>
  <c r="EM13" i="14" s="1"/>
  <c r="EV12" i="14"/>
  <c r="EW12" i="14" s="1"/>
  <c r="EQ12" i="14"/>
  <c r="ER12" i="14" s="1"/>
  <c r="EL12" i="14"/>
  <c r="EV11" i="14"/>
  <c r="EW11" i="14" s="1"/>
  <c r="EQ11" i="14"/>
  <c r="ER11" i="14" s="1"/>
  <c r="EL11" i="14"/>
  <c r="EX10" i="14"/>
  <c r="EY10" i="14" s="1"/>
  <c r="EV10" i="14"/>
  <c r="EW10" i="14" s="1"/>
  <c r="EQ10" i="14"/>
  <c r="ER10" i="14" s="1"/>
  <c r="EL10" i="14"/>
  <c r="EM10" i="14" s="1"/>
  <c r="EV9" i="14"/>
  <c r="EW9" i="14" s="1"/>
  <c r="EQ9" i="14"/>
  <c r="ER9" i="14" s="1"/>
  <c r="EL9" i="14"/>
  <c r="EV8" i="14"/>
  <c r="EW8" i="14" s="1"/>
  <c r="EQ8" i="14"/>
  <c r="ER8" i="14" s="1"/>
  <c r="EL8" i="14"/>
  <c r="EX8" i="14" s="1"/>
  <c r="EY8" i="14" s="1"/>
  <c r="EV7" i="14"/>
  <c r="EW7" i="14" s="1"/>
  <c r="EQ7" i="14"/>
  <c r="ER7" i="14" s="1"/>
  <c r="EL7" i="14"/>
  <c r="EV6" i="14"/>
  <c r="EW6" i="14" s="1"/>
  <c r="EQ6" i="14"/>
  <c r="ER6" i="14" s="1"/>
  <c r="EL6" i="14"/>
  <c r="EV5" i="14"/>
  <c r="EW5" i="14" s="1"/>
  <c r="EQ5" i="14"/>
  <c r="ER5" i="14" s="1"/>
  <c r="EL5" i="14"/>
  <c r="EX4" i="14"/>
  <c r="EY4" i="14" s="1"/>
  <c r="EV4" i="14"/>
  <c r="EW4" i="14" s="1"/>
  <c r="EQ4" i="14"/>
  <c r="ER4" i="14" s="1"/>
  <c r="EL4" i="14"/>
  <c r="EM4" i="14" s="1"/>
  <c r="ED22" i="14"/>
  <c r="EC22" i="14"/>
  <c r="EB22" i="14"/>
  <c r="DY22" i="14"/>
  <c r="DX22" i="14"/>
  <c r="DW22" i="14"/>
  <c r="DT22" i="14"/>
  <c r="DS22" i="14"/>
  <c r="DR22" i="14"/>
  <c r="EE21" i="14"/>
  <c r="EF21" i="14" s="1"/>
  <c r="DZ21" i="14"/>
  <c r="EA21" i="14" s="1"/>
  <c r="DU21" i="14"/>
  <c r="EG20" i="14"/>
  <c r="EH20" i="14" s="1"/>
  <c r="EE20" i="14"/>
  <c r="EF20" i="14" s="1"/>
  <c r="DZ20" i="14"/>
  <c r="EA20" i="14" s="1"/>
  <c r="DU20" i="14"/>
  <c r="DV20" i="14" s="1"/>
  <c r="EE19" i="14"/>
  <c r="EF19" i="14" s="1"/>
  <c r="DZ19" i="14"/>
  <c r="EA19" i="14" s="1"/>
  <c r="DU19" i="14"/>
  <c r="EE18" i="14"/>
  <c r="EF18" i="14" s="1"/>
  <c r="DZ18" i="14"/>
  <c r="EA18" i="14" s="1"/>
  <c r="DU18" i="14"/>
  <c r="EG18" i="14" s="1"/>
  <c r="EH18" i="14" s="1"/>
  <c r="EE17" i="14"/>
  <c r="EF17" i="14" s="1"/>
  <c r="DZ17" i="14"/>
  <c r="EA17" i="14" s="1"/>
  <c r="DU17" i="14"/>
  <c r="EG16" i="14"/>
  <c r="EH16" i="14" s="1"/>
  <c r="EE16" i="14"/>
  <c r="EF16" i="14" s="1"/>
  <c r="DZ16" i="14"/>
  <c r="EA16" i="14" s="1"/>
  <c r="DU16" i="14"/>
  <c r="DV16" i="14" s="1"/>
  <c r="EE15" i="14"/>
  <c r="EF15" i="14" s="1"/>
  <c r="DZ15" i="14"/>
  <c r="EA15" i="14" s="1"/>
  <c r="DU15" i="14"/>
  <c r="EE14" i="14"/>
  <c r="EF14" i="14" s="1"/>
  <c r="DZ14" i="14"/>
  <c r="EA14" i="14" s="1"/>
  <c r="DU14" i="14"/>
  <c r="EG13" i="14"/>
  <c r="EH13" i="14" s="1"/>
  <c r="EE13" i="14"/>
  <c r="EF13" i="14" s="1"/>
  <c r="DZ13" i="14"/>
  <c r="EA13" i="14" s="1"/>
  <c r="DU13" i="14"/>
  <c r="DV13" i="14" s="1"/>
  <c r="EE12" i="14"/>
  <c r="EF12" i="14" s="1"/>
  <c r="DZ12" i="14"/>
  <c r="EA12" i="14" s="1"/>
  <c r="DU12" i="14"/>
  <c r="EG12" i="14" s="1"/>
  <c r="EH12" i="14" s="1"/>
  <c r="EE11" i="14"/>
  <c r="EF11" i="14" s="1"/>
  <c r="DZ11" i="14"/>
  <c r="EA11" i="14" s="1"/>
  <c r="DU11" i="14"/>
  <c r="EG10" i="14"/>
  <c r="EH10" i="14" s="1"/>
  <c r="EE10" i="14"/>
  <c r="EF10" i="14" s="1"/>
  <c r="DZ10" i="14"/>
  <c r="EA10" i="14" s="1"/>
  <c r="DU10" i="14"/>
  <c r="DV10" i="14" s="1"/>
  <c r="EE9" i="14"/>
  <c r="EF9" i="14" s="1"/>
  <c r="DZ9" i="14"/>
  <c r="EA9" i="14" s="1"/>
  <c r="DU9" i="14"/>
  <c r="EE8" i="14"/>
  <c r="EF8" i="14" s="1"/>
  <c r="DZ8" i="14"/>
  <c r="EA8" i="14" s="1"/>
  <c r="DU8" i="14"/>
  <c r="EE7" i="14"/>
  <c r="EF7" i="14" s="1"/>
  <c r="DZ7" i="14"/>
  <c r="EA7" i="14" s="1"/>
  <c r="DU7" i="14"/>
  <c r="EG7" i="14" s="1"/>
  <c r="EH7" i="14" s="1"/>
  <c r="EE6" i="14"/>
  <c r="EF6" i="14" s="1"/>
  <c r="DZ6" i="14"/>
  <c r="EA6" i="14" s="1"/>
  <c r="DU6" i="14"/>
  <c r="EE5" i="14"/>
  <c r="EF5" i="14" s="1"/>
  <c r="DZ5" i="14"/>
  <c r="EA5" i="14" s="1"/>
  <c r="DU5" i="14"/>
  <c r="EG4" i="14"/>
  <c r="EH4" i="14" s="1"/>
  <c r="EE4" i="14"/>
  <c r="EF4" i="14" s="1"/>
  <c r="DZ4" i="14"/>
  <c r="EA4" i="14" s="1"/>
  <c r="DU4" i="14"/>
  <c r="DV4" i="14" s="1"/>
  <c r="DM22" i="14"/>
  <c r="DL22" i="14"/>
  <c r="DK22" i="14"/>
  <c r="DH22" i="14"/>
  <c r="DG22" i="14"/>
  <c r="DF22" i="14"/>
  <c r="DC22" i="14"/>
  <c r="DB22" i="14"/>
  <c r="DA22" i="14"/>
  <c r="DN21" i="14"/>
  <c r="DO21" i="14" s="1"/>
  <c r="DI21" i="14"/>
  <c r="DJ21" i="14" s="1"/>
  <c r="DD21" i="14"/>
  <c r="DP20" i="14"/>
  <c r="DQ20" i="14" s="1"/>
  <c r="DN20" i="14"/>
  <c r="DO20" i="14" s="1"/>
  <c r="DI20" i="14"/>
  <c r="DJ20" i="14" s="1"/>
  <c r="DD20" i="14"/>
  <c r="DE20" i="14" s="1"/>
  <c r="DN19" i="14"/>
  <c r="DO19" i="14" s="1"/>
  <c r="DI19" i="14"/>
  <c r="DJ19" i="14" s="1"/>
  <c r="DD19" i="14"/>
  <c r="DN18" i="14"/>
  <c r="DO18" i="14" s="1"/>
  <c r="DI18" i="14"/>
  <c r="DJ18" i="14" s="1"/>
  <c r="DD18" i="14"/>
  <c r="DN17" i="14"/>
  <c r="DO17" i="14" s="1"/>
  <c r="DI17" i="14"/>
  <c r="DJ17" i="14" s="1"/>
  <c r="DD17" i="14"/>
  <c r="DP17" i="14" s="1"/>
  <c r="DQ17" i="14" s="1"/>
  <c r="DP16" i="14"/>
  <c r="DQ16" i="14" s="1"/>
  <c r="DN16" i="14"/>
  <c r="DO16" i="14" s="1"/>
  <c r="DI16" i="14"/>
  <c r="DJ16" i="14" s="1"/>
  <c r="DD16" i="14"/>
  <c r="DE16" i="14" s="1"/>
  <c r="DN15" i="14"/>
  <c r="DO15" i="14" s="1"/>
  <c r="DI15" i="14"/>
  <c r="DJ15" i="14" s="1"/>
  <c r="DD15" i="14"/>
  <c r="DN14" i="14"/>
  <c r="DO14" i="14" s="1"/>
  <c r="DI14" i="14"/>
  <c r="DJ14" i="14" s="1"/>
  <c r="DD14" i="14"/>
  <c r="DP13" i="14"/>
  <c r="DQ13" i="14" s="1"/>
  <c r="DN13" i="14"/>
  <c r="DO13" i="14" s="1"/>
  <c r="DI13" i="14"/>
  <c r="DJ13" i="14" s="1"/>
  <c r="DD13" i="14"/>
  <c r="DE13" i="14" s="1"/>
  <c r="DN12" i="14"/>
  <c r="DO12" i="14" s="1"/>
  <c r="DI12" i="14"/>
  <c r="DJ12" i="14" s="1"/>
  <c r="DD12" i="14"/>
  <c r="DN11" i="14"/>
  <c r="DO11" i="14" s="1"/>
  <c r="DI11" i="14"/>
  <c r="DJ11" i="14" s="1"/>
  <c r="DD11" i="14"/>
  <c r="DP11" i="14" s="1"/>
  <c r="DQ11" i="14" s="1"/>
  <c r="DP10" i="14"/>
  <c r="DQ10" i="14" s="1"/>
  <c r="DN10" i="14"/>
  <c r="DO10" i="14" s="1"/>
  <c r="DI10" i="14"/>
  <c r="DJ10" i="14" s="1"/>
  <c r="DD10" i="14"/>
  <c r="DE10" i="14" s="1"/>
  <c r="DN9" i="14"/>
  <c r="DO9" i="14" s="1"/>
  <c r="DI9" i="14"/>
  <c r="DJ9" i="14" s="1"/>
  <c r="DD9" i="14"/>
  <c r="DN8" i="14"/>
  <c r="DO8" i="14" s="1"/>
  <c r="DI8" i="14"/>
  <c r="DJ8" i="14" s="1"/>
  <c r="DD8" i="14"/>
  <c r="DN7" i="14"/>
  <c r="DO7" i="14" s="1"/>
  <c r="DI7" i="14"/>
  <c r="DJ7" i="14" s="1"/>
  <c r="DD7" i="14"/>
  <c r="DN6" i="14"/>
  <c r="DO6" i="14" s="1"/>
  <c r="DI6" i="14"/>
  <c r="DJ6" i="14" s="1"/>
  <c r="DD6" i="14"/>
  <c r="DP6" i="14" s="1"/>
  <c r="DQ6" i="14" s="1"/>
  <c r="DN5" i="14"/>
  <c r="DO5" i="14" s="1"/>
  <c r="DI5" i="14"/>
  <c r="DJ5" i="14" s="1"/>
  <c r="DD5" i="14"/>
  <c r="DP4" i="14"/>
  <c r="DQ4" i="14" s="1"/>
  <c r="DN4" i="14"/>
  <c r="DO4" i="14" s="1"/>
  <c r="DI4" i="14"/>
  <c r="DJ4" i="14" s="1"/>
  <c r="DD4" i="14"/>
  <c r="DE4" i="14" s="1"/>
  <c r="CV22" i="14"/>
  <c r="CU22" i="14"/>
  <c r="CT22" i="14"/>
  <c r="CQ22" i="14"/>
  <c r="CP22" i="14"/>
  <c r="CO22" i="14"/>
  <c r="CL22" i="14"/>
  <c r="CK22" i="14"/>
  <c r="CJ22" i="14"/>
  <c r="CW21" i="14"/>
  <c r="CX21" i="14" s="1"/>
  <c r="CR21" i="14"/>
  <c r="CS21" i="14" s="1"/>
  <c r="CM21" i="14"/>
  <c r="CY21" i="14" s="1"/>
  <c r="CZ21" i="14" s="1"/>
  <c r="CY20" i="14"/>
  <c r="CZ20" i="14" s="1"/>
  <c r="CW20" i="14"/>
  <c r="CX20" i="14" s="1"/>
  <c r="CR20" i="14"/>
  <c r="CS20" i="14" s="1"/>
  <c r="CM20" i="14"/>
  <c r="CN20" i="14" s="1"/>
  <c r="CW19" i="14"/>
  <c r="CX19" i="14" s="1"/>
  <c r="CR19" i="14"/>
  <c r="CS19" i="14" s="1"/>
  <c r="CM19" i="14"/>
  <c r="CW18" i="14"/>
  <c r="CX18" i="14" s="1"/>
  <c r="CR18" i="14"/>
  <c r="CS18" i="14" s="1"/>
  <c r="CM18" i="14"/>
  <c r="CW17" i="14"/>
  <c r="CX17" i="14" s="1"/>
  <c r="CR17" i="14"/>
  <c r="CS17" i="14" s="1"/>
  <c r="CM17" i="14"/>
  <c r="CY16" i="14"/>
  <c r="CZ16" i="14" s="1"/>
  <c r="CW16" i="14"/>
  <c r="CX16" i="14" s="1"/>
  <c r="CR16" i="14"/>
  <c r="CS16" i="14" s="1"/>
  <c r="CM16" i="14"/>
  <c r="CN16" i="14" s="1"/>
  <c r="CW15" i="14"/>
  <c r="CX15" i="14" s="1"/>
  <c r="CR15" i="14"/>
  <c r="CS15" i="14" s="1"/>
  <c r="CM15" i="14"/>
  <c r="CY15" i="14" s="1"/>
  <c r="CZ15" i="14" s="1"/>
  <c r="CW14" i="14"/>
  <c r="CX14" i="14" s="1"/>
  <c r="CR14" i="14"/>
  <c r="CS14" i="14" s="1"/>
  <c r="CM14" i="14"/>
  <c r="CY13" i="14"/>
  <c r="CZ13" i="14" s="1"/>
  <c r="CW13" i="14"/>
  <c r="CX13" i="14" s="1"/>
  <c r="CR13" i="14"/>
  <c r="CS13" i="14" s="1"/>
  <c r="CM13" i="14"/>
  <c r="CN13" i="14" s="1"/>
  <c r="CW12" i="14"/>
  <c r="CX12" i="14" s="1"/>
  <c r="CR12" i="14"/>
  <c r="CS12" i="14" s="1"/>
  <c r="CM12" i="14"/>
  <c r="CW11" i="14"/>
  <c r="CX11" i="14" s="1"/>
  <c r="CR11" i="14"/>
  <c r="CS11" i="14" s="1"/>
  <c r="CM11" i="14"/>
  <c r="CY10" i="14"/>
  <c r="CZ10" i="14" s="1"/>
  <c r="CW10" i="14"/>
  <c r="CX10" i="14" s="1"/>
  <c r="CR10" i="14"/>
  <c r="CS10" i="14" s="1"/>
  <c r="CM10" i="14"/>
  <c r="CN10" i="14" s="1"/>
  <c r="CW9" i="14"/>
  <c r="CX9" i="14" s="1"/>
  <c r="CR9" i="14"/>
  <c r="CS9" i="14" s="1"/>
  <c r="CM9" i="14"/>
  <c r="CY9" i="14" s="1"/>
  <c r="CZ9" i="14" s="1"/>
  <c r="CW8" i="14"/>
  <c r="CX8" i="14" s="1"/>
  <c r="CR8" i="14"/>
  <c r="CS8" i="14" s="1"/>
  <c r="CM8" i="14"/>
  <c r="CW7" i="14"/>
  <c r="CX7" i="14" s="1"/>
  <c r="CR7" i="14"/>
  <c r="CS7" i="14" s="1"/>
  <c r="CM7" i="14"/>
  <c r="CW6" i="14"/>
  <c r="CX6" i="14" s="1"/>
  <c r="CR6" i="14"/>
  <c r="CS6" i="14" s="1"/>
  <c r="CM6" i="14"/>
  <c r="CW5" i="14"/>
  <c r="CX5" i="14" s="1"/>
  <c r="CR5" i="14"/>
  <c r="CS5" i="14" s="1"/>
  <c r="CM5" i="14"/>
  <c r="CY5" i="14" s="1"/>
  <c r="CZ5" i="14" s="1"/>
  <c r="CY4" i="14"/>
  <c r="CZ4" i="14" s="1"/>
  <c r="CW4" i="14"/>
  <c r="CX4" i="14" s="1"/>
  <c r="CR4" i="14"/>
  <c r="CS4" i="14" s="1"/>
  <c r="CM4" i="14"/>
  <c r="CN4" i="14" s="1"/>
  <c r="CE22" i="14"/>
  <c r="CD22" i="14"/>
  <c r="CC22" i="14"/>
  <c r="BZ22" i="14"/>
  <c r="BY22" i="14"/>
  <c r="BX22" i="14"/>
  <c r="BU22" i="14"/>
  <c r="BT22" i="14"/>
  <c r="BS22" i="14"/>
  <c r="CF21" i="14"/>
  <c r="CG21" i="14" s="1"/>
  <c r="CA21" i="14"/>
  <c r="CB21" i="14" s="1"/>
  <c r="BV21" i="14"/>
  <c r="CH20" i="14"/>
  <c r="CI20" i="14" s="1"/>
  <c r="CF20" i="14"/>
  <c r="CG20" i="14" s="1"/>
  <c r="CA20" i="14"/>
  <c r="CB20" i="14" s="1"/>
  <c r="BV20" i="14"/>
  <c r="BW20" i="14" s="1"/>
  <c r="CF19" i="14"/>
  <c r="CG19" i="14" s="1"/>
  <c r="CA19" i="14"/>
  <c r="CB19" i="14" s="1"/>
  <c r="BV19" i="14"/>
  <c r="CH19" i="14" s="1"/>
  <c r="CI19" i="14" s="1"/>
  <c r="CF18" i="14"/>
  <c r="CG18" i="14" s="1"/>
  <c r="CA18" i="14"/>
  <c r="CB18" i="14" s="1"/>
  <c r="BV18" i="14"/>
  <c r="CF17" i="14"/>
  <c r="CG17" i="14" s="1"/>
  <c r="CA17" i="14"/>
  <c r="CB17" i="14" s="1"/>
  <c r="BV17" i="14"/>
  <c r="CH16" i="14"/>
  <c r="CI16" i="14" s="1"/>
  <c r="CF16" i="14"/>
  <c r="CG16" i="14" s="1"/>
  <c r="CA16" i="14"/>
  <c r="CB16" i="14" s="1"/>
  <c r="BV16" i="14"/>
  <c r="BW16" i="14" s="1"/>
  <c r="CF15" i="14"/>
  <c r="CG15" i="14" s="1"/>
  <c r="CA15" i="14"/>
  <c r="CB15" i="14" s="1"/>
  <c r="BV15" i="14"/>
  <c r="CF14" i="14"/>
  <c r="CG14" i="14" s="1"/>
  <c r="CA14" i="14"/>
  <c r="CB14" i="14" s="1"/>
  <c r="BV14" i="14"/>
  <c r="CH14" i="14" s="1"/>
  <c r="CI14" i="14" s="1"/>
  <c r="CH13" i="14"/>
  <c r="CI13" i="14" s="1"/>
  <c r="CF13" i="14"/>
  <c r="CG13" i="14" s="1"/>
  <c r="CA13" i="14"/>
  <c r="CB13" i="14" s="1"/>
  <c r="BV13" i="14"/>
  <c r="BW13" i="14" s="1"/>
  <c r="CF12" i="14"/>
  <c r="CG12" i="14" s="1"/>
  <c r="CA12" i="14"/>
  <c r="CB12" i="14" s="1"/>
  <c r="BV12" i="14"/>
  <c r="CF11" i="14"/>
  <c r="CG11" i="14" s="1"/>
  <c r="CA11" i="14"/>
  <c r="CB11" i="14" s="1"/>
  <c r="BV11" i="14"/>
  <c r="CH10" i="14"/>
  <c r="CI10" i="14" s="1"/>
  <c r="CF10" i="14"/>
  <c r="CG10" i="14" s="1"/>
  <c r="CA10" i="14"/>
  <c r="CB10" i="14" s="1"/>
  <c r="BV10" i="14"/>
  <c r="BW10" i="14" s="1"/>
  <c r="CF9" i="14"/>
  <c r="CG9" i="14" s="1"/>
  <c r="CA9" i="14"/>
  <c r="CB9" i="14" s="1"/>
  <c r="BV9" i="14"/>
  <c r="CF8" i="14"/>
  <c r="CG8" i="14" s="1"/>
  <c r="CA8" i="14"/>
  <c r="CB8" i="14" s="1"/>
  <c r="BV8" i="14"/>
  <c r="CH8" i="14" s="1"/>
  <c r="CI8" i="14" s="1"/>
  <c r="CF7" i="14"/>
  <c r="CG7" i="14" s="1"/>
  <c r="CA7" i="14"/>
  <c r="CB7" i="14" s="1"/>
  <c r="BV7" i="14"/>
  <c r="CF6" i="14"/>
  <c r="CG6" i="14" s="1"/>
  <c r="CA6" i="14"/>
  <c r="CB6" i="14" s="1"/>
  <c r="BV6" i="14"/>
  <c r="CF5" i="14"/>
  <c r="CG5" i="14" s="1"/>
  <c r="CA5" i="14"/>
  <c r="CB5" i="14" s="1"/>
  <c r="BV5" i="14"/>
  <c r="CH4" i="14"/>
  <c r="CI4" i="14" s="1"/>
  <c r="CF4" i="14"/>
  <c r="CG4" i="14" s="1"/>
  <c r="CA4" i="14"/>
  <c r="CB4" i="14" s="1"/>
  <c r="BV4" i="14"/>
  <c r="BW4" i="14" s="1"/>
  <c r="BN22" i="14"/>
  <c r="BM22" i="14"/>
  <c r="BL22" i="14"/>
  <c r="BI22" i="14"/>
  <c r="BH22" i="14"/>
  <c r="BG22" i="14"/>
  <c r="BD22" i="14"/>
  <c r="BC22" i="14"/>
  <c r="BB22" i="14"/>
  <c r="BO21" i="14"/>
  <c r="BP21" i="14" s="1"/>
  <c r="BJ21" i="14"/>
  <c r="BK21" i="14" s="1"/>
  <c r="BE21" i="14"/>
  <c r="BQ20" i="14"/>
  <c r="BR20" i="14" s="1"/>
  <c r="BO20" i="14"/>
  <c r="BP20" i="14" s="1"/>
  <c r="BJ20" i="14"/>
  <c r="BK20" i="14" s="1"/>
  <c r="BE20" i="14"/>
  <c r="BF20" i="14" s="1"/>
  <c r="BO19" i="14"/>
  <c r="BP19" i="14" s="1"/>
  <c r="BJ19" i="14"/>
  <c r="BK19" i="14" s="1"/>
  <c r="BE19" i="14"/>
  <c r="BO18" i="14"/>
  <c r="BP18" i="14" s="1"/>
  <c r="BJ18" i="14"/>
  <c r="BK18" i="14" s="1"/>
  <c r="BE18" i="14"/>
  <c r="BQ18" i="14" s="1"/>
  <c r="BR18" i="14" s="1"/>
  <c r="BO17" i="14"/>
  <c r="BP17" i="14" s="1"/>
  <c r="BJ17" i="14"/>
  <c r="BK17" i="14" s="1"/>
  <c r="BE17" i="14"/>
  <c r="BQ16" i="14"/>
  <c r="BR16" i="14" s="1"/>
  <c r="BO16" i="14"/>
  <c r="BP16" i="14" s="1"/>
  <c r="BJ16" i="14"/>
  <c r="BK16" i="14" s="1"/>
  <c r="BE16" i="14"/>
  <c r="BF16" i="14" s="1"/>
  <c r="BO15" i="14"/>
  <c r="BP15" i="14" s="1"/>
  <c r="BJ15" i="14"/>
  <c r="BK15" i="14" s="1"/>
  <c r="BE15" i="14"/>
  <c r="BO14" i="14"/>
  <c r="BP14" i="14" s="1"/>
  <c r="BJ14" i="14"/>
  <c r="BK14" i="14" s="1"/>
  <c r="BE14" i="14"/>
  <c r="BQ13" i="14"/>
  <c r="BR13" i="14" s="1"/>
  <c r="BO13" i="14"/>
  <c r="BP13" i="14" s="1"/>
  <c r="BJ13" i="14"/>
  <c r="BK13" i="14" s="1"/>
  <c r="BE13" i="14"/>
  <c r="BF13" i="14" s="1"/>
  <c r="BO12" i="14"/>
  <c r="BP12" i="14" s="1"/>
  <c r="BJ12" i="14"/>
  <c r="BK12" i="14" s="1"/>
  <c r="BE12" i="14"/>
  <c r="BQ12" i="14" s="1"/>
  <c r="BR12" i="14" s="1"/>
  <c r="BO11" i="14"/>
  <c r="BP11" i="14" s="1"/>
  <c r="BJ11" i="14"/>
  <c r="BK11" i="14" s="1"/>
  <c r="BE11" i="14"/>
  <c r="BQ10" i="14"/>
  <c r="BR10" i="14" s="1"/>
  <c r="BO10" i="14"/>
  <c r="BP10" i="14" s="1"/>
  <c r="BJ10" i="14"/>
  <c r="BK10" i="14" s="1"/>
  <c r="BE10" i="14"/>
  <c r="BF10" i="14" s="1"/>
  <c r="BO9" i="14"/>
  <c r="BP9" i="14" s="1"/>
  <c r="BJ9" i="14"/>
  <c r="BK9" i="14" s="1"/>
  <c r="BE9" i="14"/>
  <c r="BO8" i="14"/>
  <c r="BP8" i="14" s="1"/>
  <c r="BJ8" i="14"/>
  <c r="BK8" i="14" s="1"/>
  <c r="BE8" i="14"/>
  <c r="BO7" i="14"/>
  <c r="BP7" i="14" s="1"/>
  <c r="BJ7" i="14"/>
  <c r="BK7" i="14" s="1"/>
  <c r="BE7" i="14"/>
  <c r="BQ7" i="14" s="1"/>
  <c r="BR7" i="14" s="1"/>
  <c r="BO6" i="14"/>
  <c r="BP6" i="14" s="1"/>
  <c r="BJ6" i="14"/>
  <c r="BK6" i="14" s="1"/>
  <c r="BE6" i="14"/>
  <c r="BO5" i="14"/>
  <c r="BP5" i="14" s="1"/>
  <c r="BJ5" i="14"/>
  <c r="BK5" i="14" s="1"/>
  <c r="BE5" i="14"/>
  <c r="BQ4" i="14"/>
  <c r="BR4" i="14" s="1"/>
  <c r="BO4" i="14"/>
  <c r="BP4" i="14" s="1"/>
  <c r="BJ4" i="14"/>
  <c r="BK4" i="14" s="1"/>
  <c r="BE4" i="14"/>
  <c r="BF4" i="14" s="1"/>
  <c r="AW22" i="14"/>
  <c r="AV22" i="14"/>
  <c r="AU22" i="14"/>
  <c r="AR22" i="14"/>
  <c r="AQ22" i="14"/>
  <c r="AP22" i="14"/>
  <c r="AM22" i="14"/>
  <c r="AL22" i="14"/>
  <c r="AK22" i="14"/>
  <c r="AX21" i="14"/>
  <c r="AY21" i="14" s="1"/>
  <c r="AS21" i="14"/>
  <c r="AT21" i="14" s="1"/>
  <c r="AN21" i="14"/>
  <c r="AZ20" i="14"/>
  <c r="BA20" i="14" s="1"/>
  <c r="AX20" i="14"/>
  <c r="AY20" i="14" s="1"/>
  <c r="AS20" i="14"/>
  <c r="AT20" i="14" s="1"/>
  <c r="AN20" i="14"/>
  <c r="AO20" i="14" s="1"/>
  <c r="AX19" i="14"/>
  <c r="AY19" i="14" s="1"/>
  <c r="AS19" i="14"/>
  <c r="AT19" i="14" s="1"/>
  <c r="AN19" i="14"/>
  <c r="AX18" i="14"/>
  <c r="AY18" i="14" s="1"/>
  <c r="AS18" i="14"/>
  <c r="AT18" i="14" s="1"/>
  <c r="AN18" i="14"/>
  <c r="AX17" i="14"/>
  <c r="AY17" i="14" s="1"/>
  <c r="AS17" i="14"/>
  <c r="AT17" i="14" s="1"/>
  <c r="AN17" i="14"/>
  <c r="AZ17" i="14" s="1"/>
  <c r="BA17" i="14" s="1"/>
  <c r="AZ16" i="14"/>
  <c r="BA16" i="14" s="1"/>
  <c r="AX16" i="14"/>
  <c r="AY16" i="14" s="1"/>
  <c r="AS16" i="14"/>
  <c r="AT16" i="14" s="1"/>
  <c r="AN16" i="14"/>
  <c r="AO16" i="14" s="1"/>
  <c r="AX15" i="14"/>
  <c r="AY15" i="14" s="1"/>
  <c r="AS15" i="14"/>
  <c r="AT15" i="14" s="1"/>
  <c r="AN15" i="14"/>
  <c r="AX14" i="14"/>
  <c r="AY14" i="14" s="1"/>
  <c r="AS14" i="14"/>
  <c r="AT14" i="14" s="1"/>
  <c r="AN14" i="14"/>
  <c r="AZ13" i="14"/>
  <c r="BA13" i="14" s="1"/>
  <c r="AX13" i="14"/>
  <c r="AY13" i="14" s="1"/>
  <c r="AS13" i="14"/>
  <c r="AT13" i="14" s="1"/>
  <c r="AN13" i="14"/>
  <c r="AO13" i="14" s="1"/>
  <c r="AX12" i="14"/>
  <c r="AY12" i="14" s="1"/>
  <c r="AS12" i="14"/>
  <c r="AT12" i="14" s="1"/>
  <c r="AN12" i="14"/>
  <c r="AX11" i="14"/>
  <c r="AY11" i="14" s="1"/>
  <c r="AS11" i="14"/>
  <c r="AT11" i="14" s="1"/>
  <c r="AN11" i="14"/>
  <c r="AZ11" i="14" s="1"/>
  <c r="BA11" i="14" s="1"/>
  <c r="AZ10" i="14"/>
  <c r="BA10" i="14" s="1"/>
  <c r="AX10" i="14"/>
  <c r="AY10" i="14" s="1"/>
  <c r="AS10" i="14"/>
  <c r="AT10" i="14" s="1"/>
  <c r="AN10" i="14"/>
  <c r="AO10" i="14" s="1"/>
  <c r="AX9" i="14"/>
  <c r="AY9" i="14" s="1"/>
  <c r="AS9" i="14"/>
  <c r="AT9" i="14" s="1"/>
  <c r="AN9" i="14"/>
  <c r="AX8" i="14"/>
  <c r="AY8" i="14" s="1"/>
  <c r="AS8" i="14"/>
  <c r="AT8" i="14" s="1"/>
  <c r="AN8" i="14"/>
  <c r="AX7" i="14"/>
  <c r="AY7" i="14" s="1"/>
  <c r="AS7" i="14"/>
  <c r="AT7" i="14" s="1"/>
  <c r="AN7" i="14"/>
  <c r="AX6" i="14"/>
  <c r="AY6" i="14" s="1"/>
  <c r="AS6" i="14"/>
  <c r="AT6" i="14" s="1"/>
  <c r="AN6" i="14"/>
  <c r="AZ6" i="14" s="1"/>
  <c r="BA6" i="14" s="1"/>
  <c r="AX5" i="14"/>
  <c r="AY5" i="14" s="1"/>
  <c r="AS5" i="14"/>
  <c r="AT5" i="14" s="1"/>
  <c r="AN5" i="14"/>
  <c r="AZ4" i="14"/>
  <c r="BA4" i="14" s="1"/>
  <c r="AX4" i="14"/>
  <c r="AY4" i="14" s="1"/>
  <c r="AS4" i="14"/>
  <c r="AT4" i="14" s="1"/>
  <c r="AN4" i="14"/>
  <c r="AO4" i="14" s="1"/>
  <c r="AF22" i="14"/>
  <c r="AE22" i="14"/>
  <c r="AD22" i="14"/>
  <c r="AA22" i="14"/>
  <c r="Z22" i="14"/>
  <c r="Y22" i="14"/>
  <c r="V22" i="14"/>
  <c r="U22" i="14"/>
  <c r="T22" i="14"/>
  <c r="AG21" i="14"/>
  <c r="AH21" i="14" s="1"/>
  <c r="AB21" i="14"/>
  <c r="AC21" i="14" s="1"/>
  <c r="W21" i="14"/>
  <c r="AI21" i="14" s="1"/>
  <c r="AJ21" i="14" s="1"/>
  <c r="AI20" i="14"/>
  <c r="AJ20" i="14" s="1"/>
  <c r="AG20" i="14"/>
  <c r="AH20" i="14" s="1"/>
  <c r="AB20" i="14"/>
  <c r="AC20" i="14" s="1"/>
  <c r="W20" i="14"/>
  <c r="X20" i="14" s="1"/>
  <c r="AG19" i="14"/>
  <c r="AH19" i="14" s="1"/>
  <c r="AB19" i="14"/>
  <c r="AC19" i="14" s="1"/>
  <c r="W19" i="14"/>
  <c r="AG18" i="14"/>
  <c r="AH18" i="14" s="1"/>
  <c r="AB18" i="14"/>
  <c r="AC18" i="14" s="1"/>
  <c r="W18" i="14"/>
  <c r="AG17" i="14"/>
  <c r="AH17" i="14" s="1"/>
  <c r="AB17" i="14"/>
  <c r="AC17" i="14" s="1"/>
  <c r="W17" i="14"/>
  <c r="AI16" i="14"/>
  <c r="AJ16" i="14" s="1"/>
  <c r="AG16" i="14"/>
  <c r="AH16" i="14" s="1"/>
  <c r="AB16" i="14"/>
  <c r="AC16" i="14" s="1"/>
  <c r="W16" i="14"/>
  <c r="X16" i="14" s="1"/>
  <c r="AG15" i="14"/>
  <c r="AH15" i="14" s="1"/>
  <c r="AB15" i="14"/>
  <c r="AC15" i="14" s="1"/>
  <c r="W15" i="14"/>
  <c r="AI15" i="14" s="1"/>
  <c r="AJ15" i="14" s="1"/>
  <c r="AG14" i="14"/>
  <c r="AH14" i="14" s="1"/>
  <c r="AB14" i="14"/>
  <c r="AC14" i="14" s="1"/>
  <c r="W14" i="14"/>
  <c r="AI13" i="14"/>
  <c r="AJ13" i="14" s="1"/>
  <c r="AG13" i="14"/>
  <c r="AH13" i="14" s="1"/>
  <c r="AB13" i="14"/>
  <c r="AC13" i="14" s="1"/>
  <c r="W13" i="14"/>
  <c r="X13" i="14" s="1"/>
  <c r="AG12" i="14"/>
  <c r="AH12" i="14" s="1"/>
  <c r="AB12" i="14"/>
  <c r="AC12" i="14" s="1"/>
  <c r="W12" i="14"/>
  <c r="AG11" i="14"/>
  <c r="AH11" i="14" s="1"/>
  <c r="AB11" i="14"/>
  <c r="AC11" i="14" s="1"/>
  <c r="W11" i="14"/>
  <c r="AI10" i="14"/>
  <c r="AJ10" i="14" s="1"/>
  <c r="AG10" i="14"/>
  <c r="AH10" i="14" s="1"/>
  <c r="AB10" i="14"/>
  <c r="AC10" i="14" s="1"/>
  <c r="W10" i="14"/>
  <c r="X10" i="14" s="1"/>
  <c r="AG9" i="14"/>
  <c r="AH9" i="14" s="1"/>
  <c r="AB9" i="14"/>
  <c r="AC9" i="14" s="1"/>
  <c r="W9" i="14"/>
  <c r="AI9" i="14" s="1"/>
  <c r="AJ9" i="14" s="1"/>
  <c r="AG8" i="14"/>
  <c r="AH8" i="14" s="1"/>
  <c r="AB8" i="14"/>
  <c r="AC8" i="14" s="1"/>
  <c r="W8" i="14"/>
  <c r="AG7" i="14"/>
  <c r="AH7" i="14" s="1"/>
  <c r="AB7" i="14"/>
  <c r="AC7" i="14" s="1"/>
  <c r="W7" i="14"/>
  <c r="AG6" i="14"/>
  <c r="AH6" i="14" s="1"/>
  <c r="AB6" i="14"/>
  <c r="AC6" i="14" s="1"/>
  <c r="W6" i="14"/>
  <c r="AG5" i="14"/>
  <c r="AH5" i="14" s="1"/>
  <c r="AB5" i="14"/>
  <c r="AC5" i="14" s="1"/>
  <c r="W5" i="14"/>
  <c r="AI5" i="14" s="1"/>
  <c r="AJ5" i="14" s="1"/>
  <c r="AI4" i="14"/>
  <c r="AJ4" i="14" s="1"/>
  <c r="AG4" i="14"/>
  <c r="AH4" i="14" s="1"/>
  <c r="AB4" i="14"/>
  <c r="AC4" i="14" s="1"/>
  <c r="W4" i="14"/>
  <c r="X4" i="14" s="1"/>
  <c r="R20" i="14"/>
  <c r="R10" i="14"/>
  <c r="F11" i="14"/>
  <c r="G11" i="14" s="1"/>
  <c r="K11" i="14"/>
  <c r="L11" i="14" s="1"/>
  <c r="P11" i="14"/>
  <c r="Q11" i="14" s="1"/>
  <c r="R13" i="14"/>
  <c r="R16" i="14"/>
  <c r="P10" i="14"/>
  <c r="Q10" i="14" s="1"/>
  <c r="O22" i="14"/>
  <c r="N22" i="14"/>
  <c r="M22" i="14"/>
  <c r="P21" i="14"/>
  <c r="Q21" i="14" s="1"/>
  <c r="P20" i="14"/>
  <c r="Q20" i="14" s="1"/>
  <c r="P19" i="14"/>
  <c r="Q19" i="14" s="1"/>
  <c r="P18" i="14"/>
  <c r="Q18" i="14" s="1"/>
  <c r="P17" i="14"/>
  <c r="Q17" i="14" s="1"/>
  <c r="P16" i="14"/>
  <c r="Q16" i="14" s="1"/>
  <c r="P15" i="14"/>
  <c r="Q15" i="14" s="1"/>
  <c r="P14" i="14"/>
  <c r="Q14" i="14" s="1"/>
  <c r="P13" i="14"/>
  <c r="Q13" i="14" s="1"/>
  <c r="P12" i="14"/>
  <c r="Q12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J22" i="14"/>
  <c r="I22" i="14"/>
  <c r="H22" i="14"/>
  <c r="K21" i="14"/>
  <c r="L21" i="14" s="1"/>
  <c r="K20" i="14"/>
  <c r="L20" i="14" s="1"/>
  <c r="K19" i="14"/>
  <c r="L19" i="14" s="1"/>
  <c r="K18" i="14"/>
  <c r="L18" i="14" s="1"/>
  <c r="K17" i="14"/>
  <c r="L17" i="14" s="1"/>
  <c r="K16" i="14"/>
  <c r="L16" i="14" s="1"/>
  <c r="K15" i="14"/>
  <c r="L15" i="14" s="1"/>
  <c r="K14" i="14"/>
  <c r="L14" i="14" s="1"/>
  <c r="K13" i="14"/>
  <c r="L13" i="14" s="1"/>
  <c r="K12" i="14"/>
  <c r="L12" i="14" s="1"/>
  <c r="K10" i="14"/>
  <c r="L10" i="14" s="1"/>
  <c r="K9" i="14"/>
  <c r="L9" i="14" s="1"/>
  <c r="K8" i="14"/>
  <c r="L8" i="14" s="1"/>
  <c r="K7" i="14"/>
  <c r="L7" i="14" s="1"/>
  <c r="K6" i="14"/>
  <c r="L6" i="14" s="1"/>
  <c r="K5" i="14"/>
  <c r="L5" i="14" s="1"/>
  <c r="K4" i="14"/>
  <c r="L4" i="14" s="1"/>
  <c r="E22" i="14"/>
  <c r="D22" i="14"/>
  <c r="F10" i="14"/>
  <c r="T2" i="32"/>
  <c r="AK2" i="30"/>
  <c r="BB2" i="30"/>
  <c r="C2" i="32"/>
  <c r="BB2" i="28"/>
  <c r="AK2" i="28"/>
  <c r="T2" i="30"/>
  <c r="C2" i="30"/>
  <c r="BS2" i="30"/>
  <c r="T2" i="28"/>
  <c r="C2" i="28"/>
  <c r="BB2" i="32"/>
  <c r="AI8" i="14" l="1"/>
  <c r="AJ8" i="14" s="1"/>
  <c r="AI19" i="14"/>
  <c r="AJ19" i="14" s="1"/>
  <c r="AZ5" i="14"/>
  <c r="BA5" i="14" s="1"/>
  <c r="AZ9" i="14"/>
  <c r="BA9" i="14" s="1"/>
  <c r="AZ15" i="14"/>
  <c r="BA15" i="14" s="1"/>
  <c r="AZ21" i="14"/>
  <c r="BA21" i="14" s="1"/>
  <c r="BQ6" i="14"/>
  <c r="BR6" i="14" s="1"/>
  <c r="BQ11" i="14"/>
  <c r="BR11" i="14" s="1"/>
  <c r="BQ17" i="14"/>
  <c r="BR17" i="14" s="1"/>
  <c r="CH7" i="14"/>
  <c r="CI7" i="14" s="1"/>
  <c r="CH12" i="14"/>
  <c r="CI12" i="14" s="1"/>
  <c r="CH18" i="14"/>
  <c r="CI18" i="14" s="1"/>
  <c r="CY8" i="14"/>
  <c r="CZ8" i="14" s="1"/>
  <c r="CY14" i="14"/>
  <c r="CZ14" i="14" s="1"/>
  <c r="CY19" i="14"/>
  <c r="CZ19" i="14" s="1"/>
  <c r="DP5" i="14"/>
  <c r="DQ5" i="14" s="1"/>
  <c r="DP9" i="14"/>
  <c r="DQ9" i="14" s="1"/>
  <c r="DP15" i="14"/>
  <c r="DQ15" i="14" s="1"/>
  <c r="DP21" i="14"/>
  <c r="DQ21" i="14" s="1"/>
  <c r="EG6" i="14"/>
  <c r="EH6" i="14" s="1"/>
  <c r="EG11" i="14"/>
  <c r="EH11" i="14" s="1"/>
  <c r="EG17" i="14"/>
  <c r="EH17" i="14" s="1"/>
  <c r="EX7" i="14"/>
  <c r="EY7" i="14" s="1"/>
  <c r="EX12" i="14"/>
  <c r="EY12" i="14" s="1"/>
  <c r="EX18" i="14"/>
  <c r="EY18" i="14" s="1"/>
  <c r="FO8" i="14"/>
  <c r="FP8" i="14" s="1"/>
  <c r="FO14" i="14"/>
  <c r="FP14" i="14" s="1"/>
  <c r="FO19" i="14"/>
  <c r="FP19" i="14" s="1"/>
  <c r="GF5" i="14"/>
  <c r="GG5" i="14" s="1"/>
  <c r="GF9" i="14"/>
  <c r="GG9" i="14" s="1"/>
  <c r="GF15" i="14"/>
  <c r="GG15" i="14" s="1"/>
  <c r="GF21" i="14"/>
  <c r="GG21" i="14" s="1"/>
  <c r="GW6" i="14"/>
  <c r="GX6" i="14" s="1"/>
  <c r="GW11" i="14"/>
  <c r="GX11" i="14" s="1"/>
  <c r="GW17" i="14"/>
  <c r="GX17" i="14" s="1"/>
  <c r="HN7" i="14"/>
  <c r="HO7" i="14" s="1"/>
  <c r="HN12" i="14"/>
  <c r="HO12" i="14" s="1"/>
  <c r="HN18" i="14"/>
  <c r="HO18" i="14" s="1"/>
  <c r="IE8" i="14"/>
  <c r="IF8" i="14" s="1"/>
  <c r="IE14" i="14"/>
  <c r="IF14" i="14" s="1"/>
  <c r="IE19" i="14"/>
  <c r="IF19" i="14" s="1"/>
  <c r="IV5" i="14"/>
  <c r="IW5" i="14" s="1"/>
  <c r="IV9" i="14"/>
  <c r="IW9" i="14" s="1"/>
  <c r="IV15" i="14"/>
  <c r="IW15" i="14" s="1"/>
  <c r="IV21" i="14"/>
  <c r="IW21" i="14" s="1"/>
  <c r="JM6" i="14"/>
  <c r="JN6" i="14" s="1"/>
  <c r="JM11" i="14"/>
  <c r="JN11" i="14" s="1"/>
  <c r="JM17" i="14"/>
  <c r="JN17" i="14" s="1"/>
  <c r="KD7" i="14"/>
  <c r="KE7" i="14" s="1"/>
  <c r="KD12" i="14"/>
  <c r="KE12" i="14" s="1"/>
  <c r="KD18" i="14"/>
  <c r="KE18" i="14" s="1"/>
  <c r="KU8" i="14"/>
  <c r="KV8" i="14" s="1"/>
  <c r="KU14" i="14"/>
  <c r="KV14" i="14" s="1"/>
  <c r="KU19" i="14"/>
  <c r="KV19" i="14" s="1"/>
  <c r="LL5" i="14"/>
  <c r="LM5" i="14" s="1"/>
  <c r="LL9" i="14"/>
  <c r="LM9" i="14" s="1"/>
  <c r="LL15" i="14"/>
  <c r="LM15" i="14" s="1"/>
  <c r="LL21" i="14"/>
  <c r="LM21" i="14" s="1"/>
  <c r="MC6" i="14"/>
  <c r="MD6" i="14" s="1"/>
  <c r="MC11" i="14"/>
  <c r="MD11" i="14" s="1"/>
  <c r="MC17" i="14"/>
  <c r="MD17" i="14" s="1"/>
  <c r="MT7" i="14"/>
  <c r="MU7" i="14" s="1"/>
  <c r="MT12" i="14"/>
  <c r="MU12" i="14" s="1"/>
  <c r="MT18" i="14"/>
  <c r="MU18" i="14" s="1"/>
  <c r="NK8" i="14"/>
  <c r="NL8" i="14" s="1"/>
  <c r="NK14" i="14"/>
  <c r="NL14" i="14" s="1"/>
  <c r="NK19" i="14"/>
  <c r="NL19" i="14" s="1"/>
  <c r="OB5" i="14"/>
  <c r="OC5" i="14" s="1"/>
  <c r="OB9" i="14"/>
  <c r="OC9" i="14" s="1"/>
  <c r="OB15" i="14"/>
  <c r="OC15" i="14" s="1"/>
  <c r="OB21" i="14"/>
  <c r="OC21" i="14" s="1"/>
  <c r="OS6" i="14"/>
  <c r="OT6" i="14" s="1"/>
  <c r="OS11" i="14"/>
  <c r="OT11" i="14" s="1"/>
  <c r="OS17" i="14"/>
  <c r="OT17" i="14" s="1"/>
  <c r="PJ18" i="14"/>
  <c r="PK18" i="14" s="1"/>
  <c r="QA8" i="14"/>
  <c r="QB8" i="14" s="1"/>
  <c r="QA14" i="14"/>
  <c r="QB14" i="14" s="1"/>
  <c r="QA19" i="14"/>
  <c r="QB19" i="14" s="1"/>
  <c r="QR5" i="14"/>
  <c r="QS5" i="14" s="1"/>
  <c r="QR9" i="14"/>
  <c r="QS9" i="14" s="1"/>
  <c r="QR15" i="14"/>
  <c r="QS15" i="14" s="1"/>
  <c r="QR21" i="14"/>
  <c r="QS21" i="14" s="1"/>
  <c r="RI6" i="14"/>
  <c r="RJ6" i="14" s="1"/>
  <c r="RI11" i="14"/>
  <c r="RJ11" i="14" s="1"/>
  <c r="RI17" i="14"/>
  <c r="RJ17" i="14" s="1"/>
  <c r="RZ7" i="14"/>
  <c r="SA7" i="14" s="1"/>
  <c r="RZ12" i="14"/>
  <c r="SA12" i="14" s="1"/>
  <c r="RZ18" i="14"/>
  <c r="SA18" i="14" s="1"/>
  <c r="SQ8" i="14"/>
  <c r="SR8" i="14" s="1"/>
  <c r="SQ14" i="14"/>
  <c r="SR14" i="14" s="1"/>
  <c r="SQ19" i="14"/>
  <c r="SR19" i="14" s="1"/>
  <c r="AI7" i="14"/>
  <c r="AJ7" i="14" s="1"/>
  <c r="AI12" i="14"/>
  <c r="AJ12" i="14" s="1"/>
  <c r="AZ8" i="14"/>
  <c r="BA8" i="14" s="1"/>
  <c r="AZ14" i="14"/>
  <c r="BA14" i="14" s="1"/>
  <c r="AZ19" i="14"/>
  <c r="BA19" i="14" s="1"/>
  <c r="BQ5" i="14"/>
  <c r="BR5" i="14" s="1"/>
  <c r="BQ9" i="14"/>
  <c r="BR9" i="14" s="1"/>
  <c r="BQ15" i="14"/>
  <c r="BR15" i="14" s="1"/>
  <c r="BQ21" i="14"/>
  <c r="BR21" i="14" s="1"/>
  <c r="CH6" i="14"/>
  <c r="CI6" i="14" s="1"/>
  <c r="CH11" i="14"/>
  <c r="CI11" i="14" s="1"/>
  <c r="CH17" i="14"/>
  <c r="CI17" i="14" s="1"/>
  <c r="CY7" i="14"/>
  <c r="CZ7" i="14" s="1"/>
  <c r="CY12" i="14"/>
  <c r="CZ12" i="14" s="1"/>
  <c r="CY18" i="14"/>
  <c r="CZ18" i="14" s="1"/>
  <c r="DP8" i="14"/>
  <c r="DQ8" i="14" s="1"/>
  <c r="DP14" i="14"/>
  <c r="DQ14" i="14" s="1"/>
  <c r="DP19" i="14"/>
  <c r="DQ19" i="14" s="1"/>
  <c r="EG5" i="14"/>
  <c r="EH5" i="14" s="1"/>
  <c r="EG9" i="14"/>
  <c r="EH9" i="14" s="1"/>
  <c r="EG15" i="14"/>
  <c r="EH15" i="14" s="1"/>
  <c r="EG21" i="14"/>
  <c r="EH21" i="14" s="1"/>
  <c r="EX6" i="14"/>
  <c r="EY6" i="14" s="1"/>
  <c r="EX11" i="14"/>
  <c r="EY11" i="14" s="1"/>
  <c r="EX17" i="14"/>
  <c r="EY17" i="14" s="1"/>
  <c r="FO7" i="14"/>
  <c r="FP7" i="14" s="1"/>
  <c r="FO12" i="14"/>
  <c r="FP12" i="14" s="1"/>
  <c r="FO18" i="14"/>
  <c r="FP18" i="14" s="1"/>
  <c r="GF8" i="14"/>
  <c r="GG8" i="14" s="1"/>
  <c r="GF14" i="14"/>
  <c r="GG14" i="14" s="1"/>
  <c r="GF19" i="14"/>
  <c r="GG19" i="14" s="1"/>
  <c r="GW5" i="14"/>
  <c r="GX5" i="14" s="1"/>
  <c r="GW9" i="14"/>
  <c r="GX9" i="14" s="1"/>
  <c r="GW15" i="14"/>
  <c r="GX15" i="14" s="1"/>
  <c r="GW21" i="14"/>
  <c r="GX21" i="14" s="1"/>
  <c r="HN6" i="14"/>
  <c r="HO6" i="14" s="1"/>
  <c r="HN11" i="14"/>
  <c r="HO11" i="14" s="1"/>
  <c r="HN17" i="14"/>
  <c r="HO17" i="14" s="1"/>
  <c r="IE7" i="14"/>
  <c r="IF7" i="14" s="1"/>
  <c r="IE12" i="14"/>
  <c r="IF12" i="14" s="1"/>
  <c r="IE18" i="14"/>
  <c r="IF18" i="14" s="1"/>
  <c r="IV8" i="14"/>
  <c r="IW8" i="14" s="1"/>
  <c r="IV14" i="14"/>
  <c r="IW14" i="14" s="1"/>
  <c r="IV19" i="14"/>
  <c r="IW19" i="14" s="1"/>
  <c r="JM5" i="14"/>
  <c r="JN5" i="14" s="1"/>
  <c r="JM9" i="14"/>
  <c r="JN9" i="14" s="1"/>
  <c r="JM15" i="14"/>
  <c r="JN15" i="14" s="1"/>
  <c r="JM21" i="14"/>
  <c r="JN21" i="14" s="1"/>
  <c r="KD6" i="14"/>
  <c r="KE6" i="14" s="1"/>
  <c r="KD11" i="14"/>
  <c r="KE11" i="14" s="1"/>
  <c r="KD17" i="14"/>
  <c r="KE17" i="14" s="1"/>
  <c r="KU7" i="14"/>
  <c r="KV7" i="14" s="1"/>
  <c r="KU12" i="14"/>
  <c r="KV12" i="14" s="1"/>
  <c r="KU18" i="14"/>
  <c r="KV18" i="14" s="1"/>
  <c r="LL8" i="14"/>
  <c r="LM8" i="14" s="1"/>
  <c r="LL14" i="14"/>
  <c r="LM14" i="14" s="1"/>
  <c r="LL19" i="14"/>
  <c r="LM19" i="14" s="1"/>
  <c r="MC5" i="14"/>
  <c r="MD5" i="14" s="1"/>
  <c r="MC9" i="14"/>
  <c r="MD9" i="14" s="1"/>
  <c r="MC15" i="14"/>
  <c r="MD15" i="14" s="1"/>
  <c r="MC21" i="14"/>
  <c r="MD21" i="14" s="1"/>
  <c r="MT6" i="14"/>
  <c r="MU6" i="14" s="1"/>
  <c r="MT11" i="14"/>
  <c r="MU11" i="14" s="1"/>
  <c r="MT17" i="14"/>
  <c r="MU17" i="14" s="1"/>
  <c r="NK7" i="14"/>
  <c r="NL7" i="14" s="1"/>
  <c r="NK12" i="14"/>
  <c r="NL12" i="14" s="1"/>
  <c r="NK18" i="14"/>
  <c r="NL18" i="14" s="1"/>
  <c r="OB8" i="14"/>
  <c r="OC8" i="14" s="1"/>
  <c r="OB14" i="14"/>
  <c r="OC14" i="14" s="1"/>
  <c r="OB19" i="14"/>
  <c r="OC19" i="14" s="1"/>
  <c r="OS5" i="14"/>
  <c r="OT5" i="14" s="1"/>
  <c r="OS9" i="14"/>
  <c r="OT9" i="14" s="1"/>
  <c r="OS15" i="14"/>
  <c r="OT15" i="14" s="1"/>
  <c r="OS21" i="14"/>
  <c r="OT21" i="14" s="1"/>
  <c r="PJ17" i="14"/>
  <c r="PK17" i="14" s="1"/>
  <c r="QA7" i="14"/>
  <c r="QB7" i="14" s="1"/>
  <c r="QA12" i="14"/>
  <c r="QB12" i="14" s="1"/>
  <c r="QA18" i="14"/>
  <c r="QB18" i="14" s="1"/>
  <c r="QR8" i="14"/>
  <c r="QS8" i="14" s="1"/>
  <c r="QR14" i="14"/>
  <c r="QS14" i="14" s="1"/>
  <c r="QR19" i="14"/>
  <c r="QS19" i="14" s="1"/>
  <c r="RI5" i="14"/>
  <c r="RJ5" i="14" s="1"/>
  <c r="RI9" i="14"/>
  <c r="RJ9" i="14" s="1"/>
  <c r="RI15" i="14"/>
  <c r="RJ15" i="14" s="1"/>
  <c r="RI21" i="14"/>
  <c r="RJ21" i="14" s="1"/>
  <c r="RZ6" i="14"/>
  <c r="SA6" i="14" s="1"/>
  <c r="RZ11" i="14"/>
  <c r="SA11" i="14" s="1"/>
  <c r="RZ17" i="14"/>
  <c r="SA17" i="14" s="1"/>
  <c r="SQ7" i="14"/>
  <c r="SR7" i="14" s="1"/>
  <c r="SQ12" i="14"/>
  <c r="SR12" i="14" s="1"/>
  <c r="SQ18" i="14"/>
  <c r="SR18" i="14" s="1"/>
  <c r="AI17" i="14"/>
  <c r="AJ17" i="14" s="1"/>
  <c r="AZ7" i="14"/>
  <c r="BA7" i="14" s="1"/>
  <c r="AZ12" i="14"/>
  <c r="BA12" i="14" s="1"/>
  <c r="AZ18" i="14"/>
  <c r="BA18" i="14" s="1"/>
  <c r="BQ8" i="14"/>
  <c r="BR8" i="14" s="1"/>
  <c r="BQ14" i="14"/>
  <c r="BR14" i="14" s="1"/>
  <c r="BQ19" i="14"/>
  <c r="BR19" i="14" s="1"/>
  <c r="CH5" i="14"/>
  <c r="CI5" i="14" s="1"/>
  <c r="CH9" i="14"/>
  <c r="CI9" i="14" s="1"/>
  <c r="CH15" i="14"/>
  <c r="CI15" i="14" s="1"/>
  <c r="CH21" i="14"/>
  <c r="CI21" i="14" s="1"/>
  <c r="CY6" i="14"/>
  <c r="CZ6" i="14" s="1"/>
  <c r="CY11" i="14"/>
  <c r="CZ11" i="14" s="1"/>
  <c r="CY17" i="14"/>
  <c r="CZ17" i="14" s="1"/>
  <c r="DP7" i="14"/>
  <c r="DQ7" i="14" s="1"/>
  <c r="DP12" i="14"/>
  <c r="DQ12" i="14" s="1"/>
  <c r="DP18" i="14"/>
  <c r="DQ18" i="14" s="1"/>
  <c r="EG8" i="14"/>
  <c r="EH8" i="14" s="1"/>
  <c r="EG14" i="14"/>
  <c r="EH14" i="14" s="1"/>
  <c r="EG19" i="14"/>
  <c r="EH19" i="14" s="1"/>
  <c r="EX5" i="14"/>
  <c r="EY5" i="14" s="1"/>
  <c r="EX9" i="14"/>
  <c r="EY9" i="14" s="1"/>
  <c r="EX15" i="14"/>
  <c r="EY15" i="14" s="1"/>
  <c r="EX21" i="14"/>
  <c r="EY21" i="14" s="1"/>
  <c r="FO6" i="14"/>
  <c r="FP6" i="14" s="1"/>
  <c r="FO11" i="14"/>
  <c r="FP11" i="14" s="1"/>
  <c r="FO17" i="14"/>
  <c r="FP17" i="14" s="1"/>
  <c r="GF7" i="14"/>
  <c r="GG7" i="14" s="1"/>
  <c r="GF12" i="14"/>
  <c r="GG12" i="14" s="1"/>
  <c r="GF18" i="14"/>
  <c r="GG18" i="14" s="1"/>
  <c r="GW8" i="14"/>
  <c r="GX8" i="14" s="1"/>
  <c r="GW14" i="14"/>
  <c r="GX14" i="14" s="1"/>
  <c r="GW19" i="14"/>
  <c r="GX19" i="14" s="1"/>
  <c r="HN5" i="14"/>
  <c r="HO5" i="14" s="1"/>
  <c r="HN9" i="14"/>
  <c r="HO9" i="14" s="1"/>
  <c r="HN15" i="14"/>
  <c r="HO15" i="14" s="1"/>
  <c r="HN21" i="14"/>
  <c r="HO21" i="14" s="1"/>
  <c r="IE6" i="14"/>
  <c r="IF6" i="14" s="1"/>
  <c r="IE11" i="14"/>
  <c r="IF11" i="14" s="1"/>
  <c r="IE17" i="14"/>
  <c r="IF17" i="14" s="1"/>
  <c r="IV7" i="14"/>
  <c r="IW7" i="14" s="1"/>
  <c r="IV12" i="14"/>
  <c r="IW12" i="14" s="1"/>
  <c r="IV18" i="14"/>
  <c r="IW18" i="14" s="1"/>
  <c r="JM8" i="14"/>
  <c r="JN8" i="14" s="1"/>
  <c r="JM14" i="14"/>
  <c r="JN14" i="14" s="1"/>
  <c r="JM19" i="14"/>
  <c r="JN19" i="14" s="1"/>
  <c r="KD5" i="14"/>
  <c r="KE5" i="14" s="1"/>
  <c r="KD9" i="14"/>
  <c r="KE9" i="14" s="1"/>
  <c r="KD15" i="14"/>
  <c r="KE15" i="14" s="1"/>
  <c r="KD21" i="14"/>
  <c r="KE21" i="14" s="1"/>
  <c r="KU6" i="14"/>
  <c r="KV6" i="14" s="1"/>
  <c r="KU11" i="14"/>
  <c r="KV11" i="14" s="1"/>
  <c r="KU17" i="14"/>
  <c r="KV17" i="14" s="1"/>
  <c r="LL7" i="14"/>
  <c r="LM7" i="14" s="1"/>
  <c r="LL12" i="14"/>
  <c r="LM12" i="14" s="1"/>
  <c r="LL18" i="14"/>
  <c r="LM18" i="14" s="1"/>
  <c r="MC8" i="14"/>
  <c r="MD8" i="14" s="1"/>
  <c r="MC14" i="14"/>
  <c r="MD14" i="14" s="1"/>
  <c r="MC19" i="14"/>
  <c r="MD19" i="14" s="1"/>
  <c r="MT5" i="14"/>
  <c r="MU5" i="14" s="1"/>
  <c r="MT9" i="14"/>
  <c r="MU9" i="14" s="1"/>
  <c r="MT15" i="14"/>
  <c r="MU15" i="14" s="1"/>
  <c r="MT21" i="14"/>
  <c r="MU21" i="14" s="1"/>
  <c r="NK6" i="14"/>
  <c r="NL6" i="14" s="1"/>
  <c r="NK11" i="14"/>
  <c r="NL11" i="14" s="1"/>
  <c r="NK17" i="14"/>
  <c r="NL17" i="14" s="1"/>
  <c r="OB7" i="14"/>
  <c r="OC7" i="14" s="1"/>
  <c r="OB12" i="14"/>
  <c r="OC12" i="14" s="1"/>
  <c r="OB18" i="14"/>
  <c r="OC18" i="14" s="1"/>
  <c r="OS8" i="14"/>
  <c r="OT8" i="14" s="1"/>
  <c r="OS14" i="14"/>
  <c r="OT14" i="14" s="1"/>
  <c r="OS19" i="14"/>
  <c r="OT19" i="14" s="1"/>
  <c r="PJ15" i="14"/>
  <c r="PK15" i="14" s="1"/>
  <c r="PJ21" i="14"/>
  <c r="PK21" i="14" s="1"/>
  <c r="QA6" i="14"/>
  <c r="QB6" i="14" s="1"/>
  <c r="QA11" i="14"/>
  <c r="QB11" i="14" s="1"/>
  <c r="QA17" i="14"/>
  <c r="QB17" i="14" s="1"/>
  <c r="QR7" i="14"/>
  <c r="QS7" i="14" s="1"/>
  <c r="QR12" i="14"/>
  <c r="QS12" i="14" s="1"/>
  <c r="QR18" i="14"/>
  <c r="QS18" i="14" s="1"/>
  <c r="RI8" i="14"/>
  <c r="RJ8" i="14" s="1"/>
  <c r="RI14" i="14"/>
  <c r="RJ14" i="14" s="1"/>
  <c r="RI19" i="14"/>
  <c r="RJ19" i="14" s="1"/>
  <c r="RZ5" i="14"/>
  <c r="SA5" i="14" s="1"/>
  <c r="RZ9" i="14"/>
  <c r="SA9" i="14" s="1"/>
  <c r="RZ15" i="14"/>
  <c r="SA15" i="14" s="1"/>
  <c r="RZ21" i="14"/>
  <c r="SA21" i="14" s="1"/>
  <c r="SQ6" i="14"/>
  <c r="SR6" i="14" s="1"/>
  <c r="SQ11" i="14"/>
  <c r="SR11" i="14" s="1"/>
  <c r="SQ17" i="14"/>
  <c r="SR17" i="14" s="1"/>
  <c r="CJ1" i="32"/>
  <c r="DA1" i="30"/>
  <c r="CJ1" i="28"/>
  <c r="CJ1" i="26"/>
  <c r="SP22" i="14"/>
  <c r="SK22" i="14"/>
  <c r="SF22" i="14"/>
  <c r="SF5" i="14"/>
  <c r="SF6" i="14"/>
  <c r="SF7" i="14"/>
  <c r="SF8" i="14"/>
  <c r="SF9" i="14"/>
  <c r="SF11" i="14"/>
  <c r="SF12" i="14"/>
  <c r="SF14" i="14"/>
  <c r="SF15" i="14"/>
  <c r="SF17" i="14"/>
  <c r="SF18" i="14"/>
  <c r="SF19" i="14"/>
  <c r="SF21" i="14"/>
  <c r="RY22" i="14"/>
  <c r="RT22" i="14"/>
  <c r="RO22" i="14"/>
  <c r="RO5" i="14"/>
  <c r="RO6" i="14"/>
  <c r="RO7" i="14"/>
  <c r="RO8" i="14"/>
  <c r="RO9" i="14"/>
  <c r="RO11" i="14"/>
  <c r="RO12" i="14"/>
  <c r="RO14" i="14"/>
  <c r="RO15" i="14"/>
  <c r="RO17" i="14"/>
  <c r="RO18" i="14"/>
  <c r="RO19" i="14"/>
  <c r="RO21" i="14"/>
  <c r="RH22" i="14"/>
  <c r="RC22" i="14"/>
  <c r="QX22" i="14"/>
  <c r="QX5" i="14"/>
  <c r="QX6" i="14"/>
  <c r="QX7" i="14"/>
  <c r="QX8" i="14"/>
  <c r="QX9" i="14"/>
  <c r="QX11" i="14"/>
  <c r="QX12" i="14"/>
  <c r="QX14" i="14"/>
  <c r="QX15" i="14"/>
  <c r="QX17" i="14"/>
  <c r="QX18" i="14"/>
  <c r="QX19" i="14"/>
  <c r="QX21" i="14"/>
  <c r="QQ22" i="14"/>
  <c r="QL22" i="14"/>
  <c r="QG22" i="14"/>
  <c r="QG5" i="14"/>
  <c r="QG6" i="14"/>
  <c r="QG7" i="14"/>
  <c r="QG8" i="14"/>
  <c r="QG9" i="14"/>
  <c r="QG11" i="14"/>
  <c r="QG12" i="14"/>
  <c r="QG14" i="14"/>
  <c r="QG15" i="14"/>
  <c r="QG17" i="14"/>
  <c r="QG18" i="14"/>
  <c r="QG19" i="14"/>
  <c r="QG21" i="14"/>
  <c r="PZ22" i="14"/>
  <c r="PU22" i="14"/>
  <c r="PP22" i="14"/>
  <c r="PP5" i="14"/>
  <c r="PP6" i="14"/>
  <c r="PP7" i="14"/>
  <c r="PP8" i="14"/>
  <c r="PP9" i="14"/>
  <c r="PP11" i="14"/>
  <c r="PP12" i="14"/>
  <c r="PP14" i="14"/>
  <c r="PP15" i="14"/>
  <c r="PP17" i="14"/>
  <c r="PP18" i="14"/>
  <c r="PP19" i="14"/>
  <c r="PP21" i="14"/>
  <c r="PI22" i="14"/>
  <c r="PD22" i="14"/>
  <c r="OY22" i="14"/>
  <c r="OY14" i="14"/>
  <c r="OY15" i="14"/>
  <c r="OY17" i="14"/>
  <c r="OY18" i="14"/>
  <c r="OY19" i="14"/>
  <c r="OY21" i="14"/>
  <c r="PJ5" i="14"/>
  <c r="PK5" i="14" s="1"/>
  <c r="PJ6" i="14"/>
  <c r="PK6" i="14" s="1"/>
  <c r="PJ7" i="14"/>
  <c r="PK7" i="14" s="1"/>
  <c r="PJ8" i="14"/>
  <c r="PK8" i="14" s="1"/>
  <c r="PJ9" i="14"/>
  <c r="PK9" i="14" s="1"/>
  <c r="PJ11" i="14"/>
  <c r="PK11" i="14" s="1"/>
  <c r="PJ12" i="14"/>
  <c r="PK12" i="14" s="1"/>
  <c r="OR22" i="14"/>
  <c r="OM22" i="14"/>
  <c r="OH22" i="14"/>
  <c r="OH5" i="14"/>
  <c r="OH6" i="14"/>
  <c r="OH7" i="14"/>
  <c r="OH8" i="14"/>
  <c r="OH9" i="14"/>
  <c r="OH11" i="14"/>
  <c r="OH12" i="14"/>
  <c r="OH14" i="14"/>
  <c r="OH15" i="14"/>
  <c r="OH17" i="14"/>
  <c r="OH18" i="14"/>
  <c r="OH19" i="14"/>
  <c r="OH21" i="14"/>
  <c r="OA22" i="14"/>
  <c r="NV22" i="14"/>
  <c r="NQ22" i="14"/>
  <c r="NQ5" i="14"/>
  <c r="NQ6" i="14"/>
  <c r="NQ7" i="14"/>
  <c r="NQ8" i="14"/>
  <c r="NQ9" i="14"/>
  <c r="NQ11" i="14"/>
  <c r="NQ12" i="14"/>
  <c r="NQ14" i="14"/>
  <c r="NQ15" i="14"/>
  <c r="NQ17" i="14"/>
  <c r="NQ18" i="14"/>
  <c r="NQ19" i="14"/>
  <c r="NQ21" i="14"/>
  <c r="NJ22" i="14"/>
  <c r="NE22" i="14"/>
  <c r="MZ22" i="14"/>
  <c r="MZ5" i="14"/>
  <c r="MZ6" i="14"/>
  <c r="MZ7" i="14"/>
  <c r="MZ8" i="14"/>
  <c r="MZ9" i="14"/>
  <c r="MZ11" i="14"/>
  <c r="MZ12" i="14"/>
  <c r="MZ14" i="14"/>
  <c r="MZ15" i="14"/>
  <c r="MZ17" i="14"/>
  <c r="MZ18" i="14"/>
  <c r="MZ19" i="14"/>
  <c r="MZ21" i="14"/>
  <c r="MS22" i="14"/>
  <c r="MN22" i="14"/>
  <c r="MI22" i="14"/>
  <c r="MI5" i="14"/>
  <c r="MI6" i="14"/>
  <c r="MI7" i="14"/>
  <c r="MI8" i="14"/>
  <c r="MI9" i="14"/>
  <c r="MI11" i="14"/>
  <c r="MI12" i="14"/>
  <c r="MI14" i="14"/>
  <c r="MI15" i="14"/>
  <c r="MI17" i="14"/>
  <c r="MI18" i="14"/>
  <c r="MI19" i="14"/>
  <c r="MI21" i="14"/>
  <c r="MB22" i="14"/>
  <c r="LW22" i="14"/>
  <c r="LR22" i="14"/>
  <c r="LR5" i="14"/>
  <c r="LR6" i="14"/>
  <c r="LR7" i="14"/>
  <c r="LR8" i="14"/>
  <c r="LR9" i="14"/>
  <c r="LR11" i="14"/>
  <c r="LR12" i="14"/>
  <c r="LR14" i="14"/>
  <c r="LR15" i="14"/>
  <c r="LR17" i="14"/>
  <c r="LR18" i="14"/>
  <c r="LR19" i="14"/>
  <c r="LR21" i="14"/>
  <c r="LK22" i="14"/>
  <c r="LF22" i="14"/>
  <c r="LA22" i="14"/>
  <c r="LA5" i="14"/>
  <c r="LA6" i="14"/>
  <c r="LA7" i="14"/>
  <c r="LA8" i="14"/>
  <c r="LA9" i="14"/>
  <c r="LA11" i="14"/>
  <c r="LA12" i="14"/>
  <c r="LA14" i="14"/>
  <c r="LA15" i="14"/>
  <c r="LA17" i="14"/>
  <c r="LA18" i="14"/>
  <c r="LA19" i="14"/>
  <c r="LA21" i="14"/>
  <c r="KT22" i="14"/>
  <c r="KO22" i="14"/>
  <c r="KJ22" i="14"/>
  <c r="KJ5" i="14"/>
  <c r="KJ6" i="14"/>
  <c r="KJ7" i="14"/>
  <c r="KJ8" i="14"/>
  <c r="KJ9" i="14"/>
  <c r="KJ11" i="14"/>
  <c r="KJ12" i="14"/>
  <c r="KJ14" i="14"/>
  <c r="KJ15" i="14"/>
  <c r="KJ17" i="14"/>
  <c r="KJ18" i="14"/>
  <c r="KJ19" i="14"/>
  <c r="KJ21" i="14"/>
  <c r="KC22" i="14"/>
  <c r="JX22" i="14"/>
  <c r="JS22" i="14"/>
  <c r="JS5" i="14"/>
  <c r="JS6" i="14"/>
  <c r="JS7" i="14"/>
  <c r="JS8" i="14"/>
  <c r="JS9" i="14"/>
  <c r="JS11" i="14"/>
  <c r="JS12" i="14"/>
  <c r="JS14" i="14"/>
  <c r="JS15" i="14"/>
  <c r="JS17" i="14"/>
  <c r="JS18" i="14"/>
  <c r="JS19" i="14"/>
  <c r="JS21" i="14"/>
  <c r="JL22" i="14"/>
  <c r="JG22" i="14"/>
  <c r="JB22" i="14"/>
  <c r="JB5" i="14"/>
  <c r="JB6" i="14"/>
  <c r="JB7" i="14"/>
  <c r="JB8" i="14"/>
  <c r="JB9" i="14"/>
  <c r="JB11" i="14"/>
  <c r="JB12" i="14"/>
  <c r="JB14" i="14"/>
  <c r="JB15" i="14"/>
  <c r="JB17" i="14"/>
  <c r="JB18" i="14"/>
  <c r="JB19" i="14"/>
  <c r="JB21" i="14"/>
  <c r="IU22" i="14"/>
  <c r="IP22" i="14"/>
  <c r="IK22" i="14"/>
  <c r="IK5" i="14"/>
  <c r="IK6" i="14"/>
  <c r="IK7" i="14"/>
  <c r="IK8" i="14"/>
  <c r="IK9" i="14"/>
  <c r="IK11" i="14"/>
  <c r="IK12" i="14"/>
  <c r="IK14" i="14"/>
  <c r="IK15" i="14"/>
  <c r="IK17" i="14"/>
  <c r="IK18" i="14"/>
  <c r="IK19" i="14"/>
  <c r="IK21" i="14"/>
  <c r="ID22" i="14"/>
  <c r="HY22" i="14"/>
  <c r="HT22" i="14"/>
  <c r="HT5" i="14"/>
  <c r="HT6" i="14"/>
  <c r="HT7" i="14"/>
  <c r="HT8" i="14"/>
  <c r="HT9" i="14"/>
  <c r="HT11" i="14"/>
  <c r="HT12" i="14"/>
  <c r="HT14" i="14"/>
  <c r="HT15" i="14"/>
  <c r="HT17" i="14"/>
  <c r="HT18" i="14"/>
  <c r="HT19" i="14"/>
  <c r="HT21" i="14"/>
  <c r="HM22" i="14"/>
  <c r="HH22" i="14"/>
  <c r="HC22" i="14"/>
  <c r="HC5" i="14"/>
  <c r="HC6" i="14"/>
  <c r="HC7" i="14"/>
  <c r="HC8" i="14"/>
  <c r="HC9" i="14"/>
  <c r="HC11" i="14"/>
  <c r="HC12" i="14"/>
  <c r="HC14" i="14"/>
  <c r="HC15" i="14"/>
  <c r="HC17" i="14"/>
  <c r="HC18" i="14"/>
  <c r="HC19" i="14"/>
  <c r="HC21" i="14"/>
  <c r="GV22" i="14"/>
  <c r="GQ22" i="14"/>
  <c r="GL22" i="14"/>
  <c r="GL5" i="14"/>
  <c r="GL6" i="14"/>
  <c r="GL7" i="14"/>
  <c r="GL8" i="14"/>
  <c r="GL9" i="14"/>
  <c r="GL11" i="14"/>
  <c r="GL12" i="14"/>
  <c r="GL14" i="14"/>
  <c r="GL15" i="14"/>
  <c r="GL17" i="14"/>
  <c r="GL18" i="14"/>
  <c r="GL19" i="14"/>
  <c r="GL21" i="14"/>
  <c r="GE22" i="14"/>
  <c r="FZ22" i="14"/>
  <c r="FU22" i="14"/>
  <c r="FU5" i="14"/>
  <c r="FU6" i="14"/>
  <c r="FU7" i="14"/>
  <c r="FU8" i="14"/>
  <c r="FU9" i="14"/>
  <c r="FU11" i="14"/>
  <c r="FU12" i="14"/>
  <c r="FU14" i="14"/>
  <c r="FU15" i="14"/>
  <c r="FU17" i="14"/>
  <c r="FU18" i="14"/>
  <c r="FU19" i="14"/>
  <c r="FU21" i="14"/>
  <c r="FN22" i="14"/>
  <c r="FI22" i="14"/>
  <c r="FD22" i="14"/>
  <c r="FD5" i="14"/>
  <c r="FD6" i="14"/>
  <c r="FD7" i="14"/>
  <c r="FD8" i="14"/>
  <c r="FD9" i="14"/>
  <c r="FD11" i="14"/>
  <c r="FD12" i="14"/>
  <c r="FD14" i="14"/>
  <c r="FD15" i="14"/>
  <c r="FD17" i="14"/>
  <c r="FD18" i="14"/>
  <c r="FD19" i="14"/>
  <c r="FD21" i="14"/>
  <c r="EW22" i="14"/>
  <c r="ER22" i="14"/>
  <c r="EM22" i="14"/>
  <c r="EM5" i="14"/>
  <c r="EM6" i="14"/>
  <c r="EM7" i="14"/>
  <c r="EM8" i="14"/>
  <c r="EM9" i="14"/>
  <c r="EM11" i="14"/>
  <c r="EM12" i="14"/>
  <c r="EM14" i="14"/>
  <c r="EM15" i="14"/>
  <c r="EM17" i="14"/>
  <c r="EM18" i="14"/>
  <c r="EM19" i="14"/>
  <c r="EM21" i="14"/>
  <c r="EF22" i="14"/>
  <c r="EA22" i="14"/>
  <c r="DV22" i="14"/>
  <c r="DV5" i="14"/>
  <c r="DV6" i="14"/>
  <c r="DV7" i="14"/>
  <c r="DV8" i="14"/>
  <c r="DV9" i="14"/>
  <c r="DV11" i="14"/>
  <c r="DV12" i="14"/>
  <c r="DV14" i="14"/>
  <c r="DV15" i="14"/>
  <c r="DV17" i="14"/>
  <c r="DV18" i="14"/>
  <c r="DV19" i="14"/>
  <c r="DV21" i="14"/>
  <c r="DO22" i="14"/>
  <c r="DJ22" i="14"/>
  <c r="DE22" i="14"/>
  <c r="DE5" i="14"/>
  <c r="DE6" i="14"/>
  <c r="DE7" i="14"/>
  <c r="DE8" i="14"/>
  <c r="DE9" i="14"/>
  <c r="DE11" i="14"/>
  <c r="DE12" i="14"/>
  <c r="DE14" i="14"/>
  <c r="DE15" i="14"/>
  <c r="DE17" i="14"/>
  <c r="DE18" i="14"/>
  <c r="DE19" i="14"/>
  <c r="DE21" i="14"/>
  <c r="CX22" i="14"/>
  <c r="CS22" i="14"/>
  <c r="CN22" i="14"/>
  <c r="CN5" i="14"/>
  <c r="CN6" i="14"/>
  <c r="CN7" i="14"/>
  <c r="CN8" i="14"/>
  <c r="CN9" i="14"/>
  <c r="CN11" i="14"/>
  <c r="CN12" i="14"/>
  <c r="CN14" i="14"/>
  <c r="CN15" i="14"/>
  <c r="CN17" i="14"/>
  <c r="CN18" i="14"/>
  <c r="CN19" i="14"/>
  <c r="CN21" i="14"/>
  <c r="CG22" i="14"/>
  <c r="CB22" i="14"/>
  <c r="BW22" i="14"/>
  <c r="BW5" i="14"/>
  <c r="BW6" i="14"/>
  <c r="BW7" i="14"/>
  <c r="BW8" i="14"/>
  <c r="BW9" i="14"/>
  <c r="BW11" i="14"/>
  <c r="BW12" i="14"/>
  <c r="BW14" i="14"/>
  <c r="BW15" i="14"/>
  <c r="BW17" i="14"/>
  <c r="BW18" i="14"/>
  <c r="BW19" i="14"/>
  <c r="BW21" i="14"/>
  <c r="BP22" i="14"/>
  <c r="BK22" i="14"/>
  <c r="BF22" i="14"/>
  <c r="BF5" i="14"/>
  <c r="BF6" i="14"/>
  <c r="BF7" i="14"/>
  <c r="BF8" i="14"/>
  <c r="BF9" i="14"/>
  <c r="BF11" i="14"/>
  <c r="BF12" i="14"/>
  <c r="BF14" i="14"/>
  <c r="BF15" i="14"/>
  <c r="BF17" i="14"/>
  <c r="BF18" i="14"/>
  <c r="BF19" i="14"/>
  <c r="BF21" i="14"/>
  <c r="AY22" i="14"/>
  <c r="AT22" i="14"/>
  <c r="AO22" i="14"/>
  <c r="AO5" i="14"/>
  <c r="AO6" i="14"/>
  <c r="AO7" i="14"/>
  <c r="AO8" i="14"/>
  <c r="AO9" i="14"/>
  <c r="AO11" i="14"/>
  <c r="AO12" i="14"/>
  <c r="AO14" i="14"/>
  <c r="AO15" i="14"/>
  <c r="AO17" i="14"/>
  <c r="AO18" i="14"/>
  <c r="AO19" i="14"/>
  <c r="AO21" i="14"/>
  <c r="AI18" i="14"/>
  <c r="AJ18" i="14" s="1"/>
  <c r="AI14" i="14"/>
  <c r="AJ14" i="14" s="1"/>
  <c r="AI11" i="14"/>
  <c r="AJ11" i="14" s="1"/>
  <c r="AI6" i="14"/>
  <c r="AJ6" i="14" s="1"/>
  <c r="AH22" i="14"/>
  <c r="AC22" i="14"/>
  <c r="X22" i="14"/>
  <c r="X5" i="14"/>
  <c r="X6" i="14"/>
  <c r="X7" i="14"/>
  <c r="X8" i="14"/>
  <c r="X9" i="14"/>
  <c r="X11" i="14"/>
  <c r="X12" i="14"/>
  <c r="X14" i="14"/>
  <c r="X15" i="14"/>
  <c r="X17" i="14"/>
  <c r="X18" i="14"/>
  <c r="X19" i="14"/>
  <c r="X21" i="14"/>
  <c r="R11" i="14"/>
  <c r="S11" i="14" s="1"/>
  <c r="Q22" i="14"/>
  <c r="L22" i="14"/>
  <c r="R4" i="14"/>
  <c r="V3" i="14"/>
  <c r="AM3" i="14" s="1"/>
  <c r="BD3" i="14" s="1"/>
  <c r="BU3" i="14" s="1"/>
  <c r="CL3" i="14" s="1"/>
  <c r="DC3" i="14" s="1"/>
  <c r="DT3" i="14" s="1"/>
  <c r="EK3" i="14" s="1"/>
  <c r="FB3" i="14" s="1"/>
  <c r="FS3" i="14" s="1"/>
  <c r="GJ3" i="14" s="1"/>
  <c r="HA3" i="14" s="1"/>
  <c r="HR3" i="14" s="1"/>
  <c r="II3" i="14" s="1"/>
  <c r="IZ3" i="14" s="1"/>
  <c r="JQ3" i="14" s="1"/>
  <c r="KH3" i="14" s="1"/>
  <c r="KY3" i="14" s="1"/>
  <c r="LP3" i="14" s="1"/>
  <c r="MG3" i="14" s="1"/>
  <c r="MX3" i="14" s="1"/>
  <c r="NO3" i="14" s="1"/>
  <c r="OF3" i="14" s="1"/>
  <c r="OW3" i="14" s="1"/>
  <c r="PN3" i="14" s="1"/>
  <c r="QE3" i="14" s="1"/>
  <c r="QV3" i="14" s="1"/>
  <c r="RM3" i="14" s="1"/>
  <c r="SD3" i="14" s="1"/>
  <c r="CJ2" i="30"/>
  <c r="BS2" i="28"/>
  <c r="BS2" i="32"/>
  <c r="DA1" i="32" l="1"/>
  <c r="DR1" i="30"/>
  <c r="DA1" i="28"/>
  <c r="DA1" i="26"/>
  <c r="R24" i="14"/>
  <c r="CJ2" i="32"/>
  <c r="CJ2" i="28"/>
  <c r="DA2" i="30"/>
  <c r="DR1" i="32" l="1"/>
  <c r="EI1" i="30"/>
  <c r="DR1" i="28"/>
  <c r="DR1" i="26"/>
  <c r="F4" i="14"/>
  <c r="C22" i="14"/>
  <c r="G22" i="14" s="1"/>
  <c r="DR2" i="30"/>
  <c r="DA2" i="32"/>
  <c r="A4" i="13"/>
  <c r="DA2" i="28"/>
  <c r="EI1" i="32" l="1"/>
  <c r="EZ1" i="30"/>
  <c r="EI1" i="28"/>
  <c r="EI1" i="26"/>
  <c r="F20" i="14"/>
  <c r="F16" i="14"/>
  <c r="F13" i="14"/>
  <c r="DR2" i="32"/>
  <c r="EI2" i="30"/>
  <c r="DR2" i="28"/>
  <c r="C2" i="26"/>
  <c r="EZ1" i="32" l="1"/>
  <c r="FQ1" i="30"/>
  <c r="EZ1" i="28"/>
  <c r="EZ1" i="26"/>
  <c r="P3" i="3"/>
  <c r="E3" i="3"/>
  <c r="EZ2" i="30"/>
  <c r="EI2" i="32"/>
  <c r="EI2" i="28"/>
  <c r="F3" i="3" l="1"/>
  <c r="FQ1" i="32"/>
  <c r="GH1" i="30"/>
  <c r="FQ1" i="28"/>
  <c r="FQ1" i="26"/>
  <c r="F21" i="14"/>
  <c r="G21" i="14" s="1"/>
  <c r="F19" i="14"/>
  <c r="G19" i="14" s="1"/>
  <c r="F18" i="14"/>
  <c r="G18" i="14" s="1"/>
  <c r="F17" i="14"/>
  <c r="G17" i="14" s="1"/>
  <c r="F15" i="14"/>
  <c r="G15" i="14" s="1"/>
  <c r="F14" i="14"/>
  <c r="G14" i="14" s="1"/>
  <c r="F12" i="14"/>
  <c r="G12" i="14" s="1"/>
  <c r="F9" i="14"/>
  <c r="G9" i="14" s="1"/>
  <c r="F8" i="14"/>
  <c r="G8" i="14" s="1"/>
  <c r="F7" i="14"/>
  <c r="F6" i="14"/>
  <c r="G6" i="14" s="1"/>
  <c r="F5" i="14"/>
  <c r="G5" i="14" s="1"/>
  <c r="AF3" i="14"/>
  <c r="AW3" i="14" s="1"/>
  <c r="BN3" i="14" s="1"/>
  <c r="CE3" i="14" s="1"/>
  <c r="CV3" i="14" s="1"/>
  <c r="DM3" i="14" s="1"/>
  <c r="ED3" i="14" s="1"/>
  <c r="EU3" i="14" s="1"/>
  <c r="FL3" i="14" s="1"/>
  <c r="GC3" i="14" s="1"/>
  <c r="GT3" i="14" s="1"/>
  <c r="HK3" i="14" s="1"/>
  <c r="IB3" i="14" s="1"/>
  <c r="IS3" i="14" s="1"/>
  <c r="JJ3" i="14" s="1"/>
  <c r="KA3" i="14" s="1"/>
  <c r="KR3" i="14" s="1"/>
  <c r="LI3" i="14" s="1"/>
  <c r="LZ3" i="14" s="1"/>
  <c r="MQ3" i="14" s="1"/>
  <c r="NH3" i="14" s="1"/>
  <c r="NY3" i="14" s="1"/>
  <c r="OP3" i="14" s="1"/>
  <c r="PG3" i="14" s="1"/>
  <c r="PX3" i="14" s="1"/>
  <c r="QO3" i="14" s="1"/>
  <c r="RF3" i="14" s="1"/>
  <c r="RW3" i="14" s="1"/>
  <c r="SN3" i="14" s="1"/>
  <c r="AE3" i="14"/>
  <c r="AV3" i="14" s="1"/>
  <c r="BM3" i="14" s="1"/>
  <c r="CD3" i="14" s="1"/>
  <c r="CU3" i="14" s="1"/>
  <c r="DL3" i="14" s="1"/>
  <c r="EC3" i="14" s="1"/>
  <c r="ET3" i="14" s="1"/>
  <c r="FK3" i="14" s="1"/>
  <c r="GB3" i="14" s="1"/>
  <c r="GS3" i="14" s="1"/>
  <c r="HJ3" i="14" s="1"/>
  <c r="IA3" i="14" s="1"/>
  <c r="IR3" i="14" s="1"/>
  <c r="JI3" i="14" s="1"/>
  <c r="JZ3" i="14" s="1"/>
  <c r="KQ3" i="14" s="1"/>
  <c r="LH3" i="14" s="1"/>
  <c r="LY3" i="14" s="1"/>
  <c r="MP3" i="14" s="1"/>
  <c r="NG3" i="14" s="1"/>
  <c r="NX3" i="14" s="1"/>
  <c r="OO3" i="14" s="1"/>
  <c r="PF3" i="14" s="1"/>
  <c r="PW3" i="14" s="1"/>
  <c r="QN3" i="14" s="1"/>
  <c r="RE3" i="14" s="1"/>
  <c r="RV3" i="14" s="1"/>
  <c r="SM3" i="14" s="1"/>
  <c r="AD3" i="14"/>
  <c r="AU3" i="14" s="1"/>
  <c r="BL3" i="14" s="1"/>
  <c r="CC3" i="14" s="1"/>
  <c r="CT3" i="14" s="1"/>
  <c r="DK3" i="14" s="1"/>
  <c r="EB3" i="14" s="1"/>
  <c r="ES3" i="14" s="1"/>
  <c r="FJ3" i="14" s="1"/>
  <c r="GA3" i="14" s="1"/>
  <c r="GR3" i="14" s="1"/>
  <c r="HI3" i="14" s="1"/>
  <c r="HZ3" i="14" s="1"/>
  <c r="IQ3" i="14" s="1"/>
  <c r="JH3" i="14" s="1"/>
  <c r="JY3" i="14" s="1"/>
  <c r="KP3" i="14" s="1"/>
  <c r="LG3" i="14" s="1"/>
  <c r="LX3" i="14" s="1"/>
  <c r="MO3" i="14" s="1"/>
  <c r="NF3" i="14" s="1"/>
  <c r="NW3" i="14" s="1"/>
  <c r="ON3" i="14" s="1"/>
  <c r="PE3" i="14" s="1"/>
  <c r="PV3" i="14" s="1"/>
  <c r="QM3" i="14" s="1"/>
  <c r="RD3" i="14" s="1"/>
  <c r="RU3" i="14" s="1"/>
  <c r="SL3" i="14" s="1"/>
  <c r="AA3" i="14"/>
  <c r="AR3" i="14" s="1"/>
  <c r="BI3" i="14" s="1"/>
  <c r="BZ3" i="14" s="1"/>
  <c r="CQ3" i="14" s="1"/>
  <c r="DH3" i="14" s="1"/>
  <c r="DY3" i="14" s="1"/>
  <c r="EP3" i="14" s="1"/>
  <c r="FG3" i="14" s="1"/>
  <c r="FX3" i="14" s="1"/>
  <c r="GO3" i="14" s="1"/>
  <c r="HF3" i="14" s="1"/>
  <c r="HW3" i="14" s="1"/>
  <c r="IN3" i="14" s="1"/>
  <c r="JE3" i="14" s="1"/>
  <c r="JV3" i="14" s="1"/>
  <c r="KM3" i="14" s="1"/>
  <c r="LD3" i="14" s="1"/>
  <c r="LU3" i="14" s="1"/>
  <c r="ML3" i="14" s="1"/>
  <c r="NC3" i="14" s="1"/>
  <c r="NT3" i="14" s="1"/>
  <c r="OK3" i="14" s="1"/>
  <c r="PB3" i="14" s="1"/>
  <c r="PS3" i="14" s="1"/>
  <c r="QJ3" i="14" s="1"/>
  <c r="RA3" i="14" s="1"/>
  <c r="RR3" i="14" s="1"/>
  <c r="SI3" i="14" s="1"/>
  <c r="Z3" i="14"/>
  <c r="AQ3" i="14" s="1"/>
  <c r="BH3" i="14" s="1"/>
  <c r="BY3" i="14" s="1"/>
  <c r="CP3" i="14" s="1"/>
  <c r="DG3" i="14" s="1"/>
  <c r="DX3" i="14" s="1"/>
  <c r="EO3" i="14" s="1"/>
  <c r="FF3" i="14" s="1"/>
  <c r="FW3" i="14" s="1"/>
  <c r="GN3" i="14" s="1"/>
  <c r="HE3" i="14" s="1"/>
  <c r="HV3" i="14" s="1"/>
  <c r="IM3" i="14" s="1"/>
  <c r="JD3" i="14" s="1"/>
  <c r="JU3" i="14" s="1"/>
  <c r="KL3" i="14" s="1"/>
  <c r="LC3" i="14" s="1"/>
  <c r="LT3" i="14" s="1"/>
  <c r="MK3" i="14" s="1"/>
  <c r="NB3" i="14" s="1"/>
  <c r="NS3" i="14" s="1"/>
  <c r="OJ3" i="14" s="1"/>
  <c r="PA3" i="14" s="1"/>
  <c r="PR3" i="14" s="1"/>
  <c r="QI3" i="14" s="1"/>
  <c r="QZ3" i="14" s="1"/>
  <c r="RQ3" i="14" s="1"/>
  <c r="SH3" i="14" s="1"/>
  <c r="Y3" i="14"/>
  <c r="AP3" i="14" s="1"/>
  <c r="BG3" i="14" s="1"/>
  <c r="BX3" i="14" s="1"/>
  <c r="CO3" i="14" s="1"/>
  <c r="DF3" i="14" s="1"/>
  <c r="DW3" i="14" s="1"/>
  <c r="EN3" i="14" s="1"/>
  <c r="FE3" i="14" s="1"/>
  <c r="FV3" i="14" s="1"/>
  <c r="GM3" i="14" s="1"/>
  <c r="HD3" i="14" s="1"/>
  <c r="HU3" i="14" s="1"/>
  <c r="IL3" i="14" s="1"/>
  <c r="JC3" i="14" s="1"/>
  <c r="JT3" i="14" s="1"/>
  <c r="KK3" i="14" s="1"/>
  <c r="LB3" i="14" s="1"/>
  <c r="LS3" i="14" s="1"/>
  <c r="MJ3" i="14" s="1"/>
  <c r="NA3" i="14" s="1"/>
  <c r="NR3" i="14" s="1"/>
  <c r="OI3" i="14" s="1"/>
  <c r="OZ3" i="14" s="1"/>
  <c r="PQ3" i="14" s="1"/>
  <c r="QH3" i="14" s="1"/>
  <c r="QY3" i="14" s="1"/>
  <c r="RP3" i="14" s="1"/>
  <c r="SG3" i="14" s="1"/>
  <c r="U3" i="14"/>
  <c r="AL3" i="14" s="1"/>
  <c r="BC3" i="14" s="1"/>
  <c r="BT3" i="14" s="1"/>
  <c r="CK3" i="14" s="1"/>
  <c r="DB3" i="14" s="1"/>
  <c r="DS3" i="14" s="1"/>
  <c r="EJ3" i="14" s="1"/>
  <c r="FA3" i="14" s="1"/>
  <c r="FR3" i="14" s="1"/>
  <c r="GI3" i="14" s="1"/>
  <c r="GZ3" i="14" s="1"/>
  <c r="HQ3" i="14" s="1"/>
  <c r="IH3" i="14" s="1"/>
  <c r="IY3" i="14" s="1"/>
  <c r="JP3" i="14" s="1"/>
  <c r="KG3" i="14" s="1"/>
  <c r="KX3" i="14" s="1"/>
  <c r="LO3" i="14" s="1"/>
  <c r="MF3" i="14" s="1"/>
  <c r="MW3" i="14" s="1"/>
  <c r="NN3" i="14" s="1"/>
  <c r="OE3" i="14" s="1"/>
  <c r="OV3" i="14" s="1"/>
  <c r="PM3" i="14" s="1"/>
  <c r="QD3" i="14" s="1"/>
  <c r="QU3" i="14" s="1"/>
  <c r="RL3" i="14" s="1"/>
  <c r="SC3" i="14" s="1"/>
  <c r="T3" i="14"/>
  <c r="AK3" i="14" s="1"/>
  <c r="BB3" i="14" s="1"/>
  <c r="BS3" i="14" s="1"/>
  <c r="CJ3" i="14" s="1"/>
  <c r="DA3" i="14" s="1"/>
  <c r="DR3" i="14" s="1"/>
  <c r="EI3" i="14" s="1"/>
  <c r="EZ3" i="14" s="1"/>
  <c r="FQ3" i="14" s="1"/>
  <c r="GH3" i="14" s="1"/>
  <c r="GY3" i="14" s="1"/>
  <c r="HP3" i="14" s="1"/>
  <c r="IG3" i="14" s="1"/>
  <c r="IX3" i="14" s="1"/>
  <c r="JO3" i="14" s="1"/>
  <c r="KF3" i="14" s="1"/>
  <c r="KW3" i="14" s="1"/>
  <c r="LN3" i="14" s="1"/>
  <c r="ME3" i="14" s="1"/>
  <c r="MV3" i="14" s="1"/>
  <c r="NM3" i="14" s="1"/>
  <c r="OD3" i="14" s="1"/>
  <c r="OU3" i="14" s="1"/>
  <c r="PL3" i="14" s="1"/>
  <c r="QC3" i="14" s="1"/>
  <c r="QT3" i="14" s="1"/>
  <c r="RK3" i="14" s="1"/>
  <c r="SB3" i="14" s="1"/>
  <c r="T1" i="14"/>
  <c r="AK1" i="14" s="1"/>
  <c r="BB1" i="14" s="1"/>
  <c r="BS1" i="14" s="1"/>
  <c r="CJ1" i="14" s="1"/>
  <c r="DA1" i="14" s="1"/>
  <c r="DR1" i="14" s="1"/>
  <c r="EI1" i="14" s="1"/>
  <c r="EZ1" i="14" s="1"/>
  <c r="FQ1" i="14" s="1"/>
  <c r="GH1" i="14" s="1"/>
  <c r="GY1" i="14" s="1"/>
  <c r="HP1" i="14" s="1"/>
  <c r="IG1" i="14" s="1"/>
  <c r="IX1" i="14" s="1"/>
  <c r="JO1" i="14" s="1"/>
  <c r="KF1" i="14" s="1"/>
  <c r="KW1" i="14" s="1"/>
  <c r="LN1" i="14" s="1"/>
  <c r="ME1" i="14" s="1"/>
  <c r="MV1" i="14" s="1"/>
  <c r="NM1" i="14" s="1"/>
  <c r="OD1" i="14" s="1"/>
  <c r="OU1" i="14" s="1"/>
  <c r="PL1" i="14" s="1"/>
  <c r="QC1" i="14" s="1"/>
  <c r="QT1" i="14" s="1"/>
  <c r="RK1" i="14" s="1"/>
  <c r="SB1" i="14" s="1"/>
  <c r="J4" i="24"/>
  <c r="A30" i="13"/>
  <c r="EZ2" i="28"/>
  <c r="F4" i="29"/>
  <c r="V4" i="29"/>
  <c r="A7" i="13"/>
  <c r="B4" i="31"/>
  <c r="R4" i="24"/>
  <c r="EZ2" i="32"/>
  <c r="A25" i="13"/>
  <c r="R4" i="29"/>
  <c r="V4" i="27"/>
  <c r="A8" i="13"/>
  <c r="A10" i="13"/>
  <c r="B4" i="27"/>
  <c r="J4" i="29"/>
  <c r="A32" i="13"/>
  <c r="FQ2" i="30"/>
  <c r="N4" i="29"/>
  <c r="A19" i="13"/>
  <c r="A5" i="13"/>
  <c r="B4" i="29"/>
  <c r="N4" i="24"/>
  <c r="A31" i="13"/>
  <c r="A33" i="13"/>
  <c r="J4" i="27"/>
  <c r="A17" i="13"/>
  <c r="A16" i="13"/>
  <c r="A27" i="13"/>
  <c r="F4" i="31"/>
  <c r="A28" i="13"/>
  <c r="F4" i="27"/>
  <c r="V4" i="31"/>
  <c r="A29" i="13"/>
  <c r="A12" i="13"/>
  <c r="N4" i="27"/>
  <c r="A6" i="13"/>
  <c r="A20" i="13"/>
  <c r="A14" i="13"/>
  <c r="A9" i="13"/>
  <c r="N4" i="31"/>
  <c r="V4" i="24"/>
  <c r="A13" i="13"/>
  <c r="R4" i="31"/>
  <c r="F4" i="24"/>
  <c r="A23" i="13"/>
  <c r="A11" i="13"/>
  <c r="R4" i="27"/>
  <c r="A22" i="13"/>
  <c r="A15" i="13"/>
  <c r="J4" i="31"/>
  <c r="B4" i="24"/>
  <c r="A26" i="13"/>
  <c r="A21" i="13"/>
  <c r="A24" i="13"/>
  <c r="A18" i="13"/>
  <c r="G3" i="3" l="1"/>
  <c r="GH1" i="32"/>
  <c r="GY1" i="30"/>
  <c r="GH1" i="28"/>
  <c r="GH1" i="26"/>
  <c r="G20" i="14"/>
  <c r="R7" i="14"/>
  <c r="S7" i="14" s="1"/>
  <c r="G10" i="14"/>
  <c r="R6" i="14"/>
  <c r="S6" i="14" s="1"/>
  <c r="R8" i="14"/>
  <c r="S8" i="14" s="1"/>
  <c r="G7" i="14"/>
  <c r="G13" i="14"/>
  <c r="R5" i="14"/>
  <c r="S5" i="14" s="1"/>
  <c r="G4" i="14"/>
  <c r="R12" i="14"/>
  <c r="S12" i="14" s="1"/>
  <c r="R9" i="14"/>
  <c r="S9" i="14" s="1"/>
  <c r="R14" i="14"/>
  <c r="R15" i="14"/>
  <c r="S15" i="14" s="1"/>
  <c r="G16" i="14"/>
  <c r="R17" i="14"/>
  <c r="R18" i="14"/>
  <c r="S18" i="14" s="1"/>
  <c r="R19" i="14"/>
  <c r="S19" i="14" s="1"/>
  <c r="R21" i="14"/>
  <c r="S4" i="27"/>
  <c r="W4" i="24"/>
  <c r="FQ2" i="28"/>
  <c r="OU2" i="14"/>
  <c r="W4" i="27"/>
  <c r="CJ2" i="14"/>
  <c r="CJ2" i="26"/>
  <c r="AK2" i="14"/>
  <c r="O4" i="31"/>
  <c r="C4" i="29"/>
  <c r="EI2" i="26"/>
  <c r="G4" i="27"/>
  <c r="MV2" i="14"/>
  <c r="GH2" i="30"/>
  <c r="NM2" i="14"/>
  <c r="C4" i="27"/>
  <c r="EZ2" i="26"/>
  <c r="EZ2" i="14"/>
  <c r="G4" i="31"/>
  <c r="S4" i="29"/>
  <c r="IG2" i="14"/>
  <c r="BS2" i="14"/>
  <c r="T2" i="26"/>
  <c r="S4" i="31"/>
  <c r="O4" i="24"/>
  <c r="GY2" i="14"/>
  <c r="DR2" i="14"/>
  <c r="S4" i="24"/>
  <c r="KW2" i="14"/>
  <c r="EI2" i="14"/>
  <c r="BB2" i="26"/>
  <c r="G4" i="24"/>
  <c r="DA2" i="14"/>
  <c r="IX2" i="14"/>
  <c r="ME2" i="14"/>
  <c r="C4" i="31"/>
  <c r="RK2" i="14"/>
  <c r="QC2" i="14"/>
  <c r="K4" i="31"/>
  <c r="BB2" i="14"/>
  <c r="K4" i="27"/>
  <c r="K4" i="24"/>
  <c r="PL2" i="14"/>
  <c r="K4" i="29"/>
  <c r="W4" i="31"/>
  <c r="KF2" i="14"/>
  <c r="QT2" i="14"/>
  <c r="C4" i="24"/>
  <c r="DA2" i="26"/>
  <c r="HP2" i="14"/>
  <c r="OD2" i="14"/>
  <c r="FQ2" i="32"/>
  <c r="O4" i="27"/>
  <c r="LN2" i="14"/>
  <c r="GH2" i="14"/>
  <c r="G4" i="29"/>
  <c r="W4" i="29"/>
  <c r="BS2" i="26"/>
  <c r="AK2" i="26"/>
  <c r="FQ2" i="26"/>
  <c r="FQ2" i="14"/>
  <c r="DR2" i="26"/>
  <c r="JO2" i="14"/>
  <c r="O4" i="29"/>
  <c r="SB2" i="14"/>
  <c r="H3" i="3" l="1"/>
  <c r="GY1" i="32"/>
  <c r="HP1" i="30"/>
  <c r="GY1" i="28"/>
  <c r="GY1" i="26"/>
  <c r="S17" i="14"/>
  <c r="S16" i="14"/>
  <c r="S4" i="14"/>
  <c r="S21" i="14"/>
  <c r="S20" i="14"/>
  <c r="S14" i="14"/>
  <c r="S13" i="14"/>
  <c r="S10" i="14"/>
  <c r="T4" i="27"/>
  <c r="D4" i="29"/>
  <c r="H4" i="24"/>
  <c r="P4" i="29"/>
  <c r="T4" i="24"/>
  <c r="H4" i="27"/>
  <c r="GH2" i="32"/>
  <c r="D4" i="27"/>
  <c r="D4" i="31"/>
  <c r="X4" i="29"/>
  <c r="L4" i="27"/>
  <c r="X4" i="24"/>
  <c r="D4" i="24"/>
  <c r="GY2" i="30"/>
  <c r="H4" i="29"/>
  <c r="T4" i="29"/>
  <c r="P4" i="27"/>
  <c r="H4" i="31"/>
  <c r="L4" i="24"/>
  <c r="P4" i="31"/>
  <c r="X4" i="31"/>
  <c r="L4" i="31"/>
  <c r="GH2" i="26"/>
  <c r="T4" i="31"/>
  <c r="P4" i="24"/>
  <c r="L4" i="29"/>
  <c r="X4" i="27"/>
  <c r="GH2" i="28"/>
  <c r="HP1" i="32" l="1"/>
  <c r="IG1" i="30"/>
  <c r="HP1" i="28"/>
  <c r="HP1" i="26"/>
  <c r="H4" i="3"/>
  <c r="G4" i="3"/>
  <c r="F4" i="3"/>
  <c r="E4" i="3"/>
  <c r="U4" i="31"/>
  <c r="GY2" i="32"/>
  <c r="M4" i="27"/>
  <c r="Z4" i="27"/>
  <c r="Y4" i="27"/>
  <c r="I4" i="31"/>
  <c r="I4" i="24"/>
  <c r="E4" i="27"/>
  <c r="U4" i="29"/>
  <c r="E4" i="24"/>
  <c r="AA4" i="29"/>
  <c r="E4" i="31"/>
  <c r="Y4" i="31"/>
  <c r="GY2" i="26"/>
  <c r="Z4" i="29"/>
  <c r="U4" i="24"/>
  <c r="Q4" i="29"/>
  <c r="I4" i="29"/>
  <c r="Y4" i="24"/>
  <c r="Q4" i="27"/>
  <c r="Y4" i="29"/>
  <c r="U4" i="27"/>
  <c r="M4" i="24"/>
  <c r="AA4" i="31"/>
  <c r="AA4" i="27"/>
  <c r="Q4" i="31"/>
  <c r="M4" i="29"/>
  <c r="E4" i="29"/>
  <c r="Q4" i="24"/>
  <c r="GY2" i="28"/>
  <c r="Z4" i="31"/>
  <c r="M4" i="31"/>
  <c r="I4" i="27"/>
  <c r="Z4" i="24"/>
  <c r="AA4" i="24"/>
  <c r="HP2" i="30"/>
  <c r="G5" i="3" l="1"/>
  <c r="E5" i="3"/>
  <c r="F5" i="3"/>
  <c r="H5" i="3"/>
  <c r="IG1" i="32"/>
  <c r="IX1" i="30"/>
  <c r="IG1" i="28"/>
  <c r="IG1" i="26"/>
  <c r="D5" i="29"/>
  <c r="H5" i="24"/>
  <c r="J5" i="29"/>
  <c r="S5" i="31"/>
  <c r="W5" i="31"/>
  <c r="Z5" i="31"/>
  <c r="I5" i="27"/>
  <c r="Z5" i="24"/>
  <c r="H5" i="27"/>
  <c r="F5" i="29"/>
  <c r="V5" i="24"/>
  <c r="C5" i="27"/>
  <c r="I5" i="29"/>
  <c r="U5" i="27"/>
  <c r="AA5" i="29"/>
  <c r="L5" i="31"/>
  <c r="B5" i="31"/>
  <c r="R5" i="29"/>
  <c r="O5" i="31"/>
  <c r="Q5" i="31"/>
  <c r="I5" i="24"/>
  <c r="HP2" i="28"/>
  <c r="I5" i="31"/>
  <c r="N5" i="31"/>
  <c r="C5" i="29"/>
  <c r="V5" i="29"/>
  <c r="T5" i="29"/>
  <c r="X5" i="24"/>
  <c r="V5" i="27"/>
  <c r="G5" i="29"/>
  <c r="O5" i="24"/>
  <c r="M5" i="29"/>
  <c r="U5" i="24"/>
  <c r="H5" i="31"/>
  <c r="P5" i="27"/>
  <c r="B5" i="29"/>
  <c r="C5" i="31"/>
  <c r="S5" i="24"/>
  <c r="AA5" i="31"/>
  <c r="E5" i="27"/>
  <c r="Q5" i="24"/>
  <c r="L5" i="29"/>
  <c r="N5" i="29"/>
  <c r="J5" i="24"/>
  <c r="W5" i="27"/>
  <c r="U5" i="29"/>
  <c r="Q5" i="27"/>
  <c r="K5" i="29"/>
  <c r="Y5" i="24"/>
  <c r="X5" i="27"/>
  <c r="F5" i="31"/>
  <c r="R5" i="24"/>
  <c r="U5" i="31"/>
  <c r="K5" i="31"/>
  <c r="E5" i="29"/>
  <c r="D5" i="31"/>
  <c r="Y5" i="27"/>
  <c r="T5" i="24"/>
  <c r="J5" i="31"/>
  <c r="N5" i="24"/>
  <c r="C5" i="24"/>
  <c r="E5" i="31"/>
  <c r="Q5" i="29"/>
  <c r="HP2" i="32"/>
  <c r="T5" i="31"/>
  <c r="X5" i="29"/>
  <c r="J5" i="27"/>
  <c r="O5" i="27"/>
  <c r="K5" i="24"/>
  <c r="Y5" i="29"/>
  <c r="M5" i="24"/>
  <c r="P5" i="31"/>
  <c r="L5" i="27"/>
  <c r="R5" i="27"/>
  <c r="W5" i="29"/>
  <c r="Y5" i="31"/>
  <c r="X5" i="31"/>
  <c r="T5" i="27"/>
  <c r="B5" i="27"/>
  <c r="F5" i="24"/>
  <c r="K5" i="27"/>
  <c r="Z5" i="29"/>
  <c r="Z5" i="27"/>
  <c r="E5" i="24"/>
  <c r="D5" i="27"/>
  <c r="R5" i="31"/>
  <c r="B5" i="24"/>
  <c r="G5" i="27"/>
  <c r="M5" i="31"/>
  <c r="M5" i="27"/>
  <c r="IG2" i="30"/>
  <c r="P5" i="29"/>
  <c r="D5" i="24"/>
  <c r="F5" i="27"/>
  <c r="O5" i="29"/>
  <c r="W5" i="24"/>
  <c r="AA5" i="27"/>
  <c r="AA5" i="24"/>
  <c r="G5" i="24"/>
  <c r="H5" i="29"/>
  <c r="P5" i="24"/>
  <c r="V5" i="31"/>
  <c r="S5" i="27"/>
  <c r="HP2" i="26"/>
  <c r="L5" i="24"/>
  <c r="N5" i="27"/>
  <c r="S5" i="29"/>
  <c r="G5" i="31"/>
  <c r="H6" i="3" l="1"/>
  <c r="F6" i="3"/>
  <c r="E6" i="3"/>
  <c r="G6" i="3"/>
  <c r="IX1" i="32"/>
  <c r="JO1" i="30"/>
  <c r="IX1" i="28"/>
  <c r="IX1" i="26"/>
  <c r="U6" i="29"/>
  <c r="Y6" i="31"/>
  <c r="O6" i="31"/>
  <c r="W6" i="31"/>
  <c r="B6" i="27"/>
  <c r="L6" i="31"/>
  <c r="L6" i="24"/>
  <c r="M6" i="31"/>
  <c r="AA6" i="27"/>
  <c r="C6" i="29"/>
  <c r="W6" i="24"/>
  <c r="F6" i="27"/>
  <c r="P6" i="29"/>
  <c r="X6" i="29"/>
  <c r="I6" i="31"/>
  <c r="M6" i="27"/>
  <c r="S6" i="27"/>
  <c r="F6" i="31"/>
  <c r="F6" i="24"/>
  <c r="H6" i="29"/>
  <c r="IG2" i="28"/>
  <c r="I6" i="29"/>
  <c r="Q6" i="24"/>
  <c r="N6" i="31"/>
  <c r="N6" i="24"/>
  <c r="E6" i="27"/>
  <c r="H6" i="27"/>
  <c r="U6" i="31"/>
  <c r="AA6" i="24"/>
  <c r="S6" i="29"/>
  <c r="K6" i="24"/>
  <c r="J6" i="27"/>
  <c r="L6" i="29"/>
  <c r="D6" i="24"/>
  <c r="M6" i="29"/>
  <c r="Q6" i="27"/>
  <c r="C6" i="24"/>
  <c r="J6" i="31"/>
  <c r="R6" i="24"/>
  <c r="H6" i="31"/>
  <c r="IX2" i="30"/>
  <c r="Y6" i="29"/>
  <c r="M6" i="24"/>
  <c r="C6" i="27"/>
  <c r="J6" i="29"/>
  <c r="V6" i="24"/>
  <c r="L6" i="27"/>
  <c r="Z6" i="31"/>
  <c r="I6" i="24"/>
  <c r="S6" i="31"/>
  <c r="G6" i="24"/>
  <c r="R6" i="29"/>
  <c r="P6" i="31"/>
  <c r="X6" i="31"/>
  <c r="W6" i="27"/>
  <c r="AA6" i="29"/>
  <c r="U6" i="24"/>
  <c r="W6" i="29"/>
  <c r="B6" i="31"/>
  <c r="R6" i="27"/>
  <c r="P6" i="27"/>
  <c r="IG2" i="32"/>
  <c r="Z6" i="29"/>
  <c r="Z6" i="24"/>
  <c r="K6" i="29"/>
  <c r="F6" i="29"/>
  <c r="B6" i="24"/>
  <c r="T6" i="27"/>
  <c r="AA6" i="31"/>
  <c r="E6" i="24"/>
  <c r="G6" i="31"/>
  <c r="O6" i="29"/>
  <c r="V6" i="29"/>
  <c r="D6" i="31"/>
  <c r="X6" i="27"/>
  <c r="E6" i="29"/>
  <c r="K6" i="27"/>
  <c r="X6" i="24"/>
  <c r="Z6" i="27"/>
  <c r="Y6" i="24"/>
  <c r="G6" i="29"/>
  <c r="B6" i="29"/>
  <c r="V6" i="27"/>
  <c r="H6" i="24"/>
  <c r="E6" i="31"/>
  <c r="U6" i="27"/>
  <c r="C6" i="31"/>
  <c r="S6" i="24"/>
  <c r="V6" i="31"/>
  <c r="T6" i="31"/>
  <c r="T6" i="24"/>
  <c r="Q6" i="31"/>
  <c r="Y6" i="27"/>
  <c r="K6" i="31"/>
  <c r="O6" i="24"/>
  <c r="J6" i="24"/>
  <c r="T6" i="29"/>
  <c r="P6" i="24"/>
  <c r="Q6" i="29"/>
  <c r="I6" i="27"/>
  <c r="O6" i="27"/>
  <c r="R6" i="31"/>
  <c r="N6" i="29"/>
  <c r="D6" i="29"/>
  <c r="IG2" i="26"/>
  <c r="G6" i="27"/>
  <c r="D6" i="27"/>
  <c r="N6" i="27"/>
  <c r="G7" i="3" l="1"/>
  <c r="E7" i="3"/>
  <c r="F7" i="3"/>
  <c r="H7" i="3"/>
  <c r="JO1" i="32"/>
  <c r="KF1" i="30"/>
  <c r="JO1" i="28"/>
  <c r="JO1" i="26"/>
  <c r="P7" i="31"/>
  <c r="T7" i="24"/>
  <c r="R7" i="27"/>
  <c r="K7" i="29"/>
  <c r="G7" i="31"/>
  <c r="Y7" i="29"/>
  <c r="E7" i="29"/>
  <c r="T7" i="27"/>
  <c r="D7" i="24"/>
  <c r="R7" i="24"/>
  <c r="O7" i="31"/>
  <c r="W7" i="27"/>
  <c r="Z7" i="29"/>
  <c r="M7" i="24"/>
  <c r="T7" i="29"/>
  <c r="R7" i="31"/>
  <c r="J7" i="27"/>
  <c r="G7" i="24"/>
  <c r="Y7" i="31"/>
  <c r="Q7" i="27"/>
  <c r="IX2" i="28"/>
  <c r="N7" i="31"/>
  <c r="K7" i="24"/>
  <c r="M7" i="27"/>
  <c r="AA7" i="24"/>
  <c r="D7" i="27"/>
  <c r="X7" i="24"/>
  <c r="B7" i="27"/>
  <c r="G7" i="27"/>
  <c r="S7" i="24"/>
  <c r="AA7" i="29"/>
  <c r="Z7" i="24"/>
  <c r="L7" i="27"/>
  <c r="J7" i="31"/>
  <c r="V7" i="29"/>
  <c r="C7" i="24"/>
  <c r="Z7" i="31"/>
  <c r="Y7" i="27"/>
  <c r="JO2" i="30"/>
  <c r="H7" i="27"/>
  <c r="F7" i="31"/>
  <c r="N7" i="24"/>
  <c r="O7" i="29"/>
  <c r="E7" i="27"/>
  <c r="E7" i="31"/>
  <c r="D7" i="31"/>
  <c r="H7" i="24"/>
  <c r="N7" i="29"/>
  <c r="S7" i="31"/>
  <c r="O7" i="27"/>
  <c r="I7" i="29"/>
  <c r="Q7" i="24"/>
  <c r="E7" i="24"/>
  <c r="X7" i="29"/>
  <c r="O7" i="24"/>
  <c r="P7" i="27"/>
  <c r="B7" i="31"/>
  <c r="V7" i="27"/>
  <c r="C7" i="27"/>
  <c r="Q7" i="31"/>
  <c r="Z7" i="27"/>
  <c r="IX2" i="32"/>
  <c r="H7" i="31"/>
  <c r="B7" i="29"/>
  <c r="V7" i="24"/>
  <c r="S7" i="29"/>
  <c r="M7" i="29"/>
  <c r="I7" i="24"/>
  <c r="T7" i="31"/>
  <c r="L7" i="24"/>
  <c r="F7" i="29"/>
  <c r="K7" i="31"/>
  <c r="W7" i="29"/>
  <c r="AA7" i="31"/>
  <c r="D7" i="29"/>
  <c r="F7" i="27"/>
  <c r="U7" i="27"/>
  <c r="L7" i="29"/>
  <c r="R7" i="29"/>
  <c r="F7" i="24"/>
  <c r="W7" i="31"/>
  <c r="Q7" i="29"/>
  <c r="U7" i="29"/>
  <c r="L7" i="31"/>
  <c r="X7" i="27"/>
  <c r="N7" i="27"/>
  <c r="C7" i="31"/>
  <c r="S7" i="27"/>
  <c r="AA7" i="27"/>
  <c r="I7" i="27"/>
  <c r="H7" i="29"/>
  <c r="X7" i="31"/>
  <c r="V7" i="31"/>
  <c r="C7" i="29"/>
  <c r="W7" i="24"/>
  <c r="U7" i="31"/>
  <c r="U7" i="24"/>
  <c r="P7" i="24"/>
  <c r="J7" i="29"/>
  <c r="B7" i="24"/>
  <c r="K7" i="27"/>
  <c r="I7" i="31"/>
  <c r="Y7" i="24"/>
  <c r="IX2" i="26"/>
  <c r="P7" i="29"/>
  <c r="J7" i="24"/>
  <c r="M7" i="31"/>
  <c r="G7" i="29"/>
  <c r="H8" i="3" l="1"/>
  <c r="F8" i="3"/>
  <c r="E8" i="3"/>
  <c r="G8" i="3"/>
  <c r="KF1" i="32"/>
  <c r="KW1" i="30"/>
  <c r="KF1" i="28"/>
  <c r="KF1" i="26"/>
  <c r="I8" i="31"/>
  <c r="Y8" i="29"/>
  <c r="S8" i="29"/>
  <c r="O8" i="24"/>
  <c r="F8" i="27"/>
  <c r="H8" i="31"/>
  <c r="H8" i="27"/>
  <c r="M5" i="13"/>
  <c r="W4" i="13"/>
  <c r="Z4" i="13"/>
  <c r="JO2" i="28"/>
  <c r="W8" i="13"/>
  <c r="JO2" i="26"/>
  <c r="V7" i="13"/>
  <c r="P8" i="13"/>
  <c r="AA8" i="31"/>
  <c r="E8" i="27"/>
  <c r="C8" i="27"/>
  <c r="F8" i="31"/>
  <c r="B8" i="24"/>
  <c r="L8" i="29"/>
  <c r="Z9" i="13"/>
  <c r="W6" i="13"/>
  <c r="R5" i="13"/>
  <c r="Y7" i="13"/>
  <c r="V4" i="13"/>
  <c r="Q7" i="13"/>
  <c r="AA8" i="13"/>
  <c r="Y8" i="24"/>
  <c r="G8" i="27"/>
  <c r="P8" i="27"/>
  <c r="H7" i="13"/>
  <c r="J7" i="13"/>
  <c r="W9" i="13"/>
  <c r="Q9" i="13"/>
  <c r="T4" i="13"/>
  <c r="I8" i="24"/>
  <c r="R8" i="31"/>
  <c r="X8" i="29"/>
  <c r="F7" i="13"/>
  <c r="N5" i="13"/>
  <c r="Y8" i="13"/>
  <c r="S6" i="13"/>
  <c r="F6" i="13"/>
  <c r="Y6" i="13"/>
  <c r="Q8" i="13"/>
  <c r="Q5" i="13"/>
  <c r="O8" i="13"/>
  <c r="M8" i="29"/>
  <c r="W8" i="31"/>
  <c r="V8" i="31"/>
  <c r="C8" i="13"/>
  <c r="B6" i="13"/>
  <c r="E7" i="13"/>
  <c r="O9" i="13"/>
  <c r="K8" i="13"/>
  <c r="S5" i="13"/>
  <c r="U8" i="31"/>
  <c r="Z8" i="27"/>
  <c r="O8" i="29"/>
  <c r="K8" i="24"/>
  <c r="J8" i="29"/>
  <c r="P8" i="29"/>
  <c r="H8" i="24"/>
  <c r="Y9" i="13"/>
  <c r="S7" i="13"/>
  <c r="X7" i="13"/>
  <c r="U8" i="13"/>
  <c r="AA9" i="13"/>
  <c r="R8" i="13"/>
  <c r="J8" i="13"/>
  <c r="AA4" i="13"/>
  <c r="Q8" i="27"/>
  <c r="U8" i="24"/>
  <c r="K8" i="27"/>
  <c r="B8" i="29"/>
  <c r="F8" i="24"/>
  <c r="L8" i="27"/>
  <c r="S8" i="13"/>
  <c r="P5" i="13"/>
  <c r="U4" i="13"/>
  <c r="J4" i="13"/>
  <c r="I6" i="13"/>
  <c r="H4" i="13"/>
  <c r="K4" i="13"/>
  <c r="M8" i="24"/>
  <c r="J8" i="27"/>
  <c r="X8" i="31"/>
  <c r="D4" i="13"/>
  <c r="P7" i="13"/>
  <c r="B8" i="13"/>
  <c r="L8" i="13"/>
  <c r="Q8" i="29"/>
  <c r="K8" i="29"/>
  <c r="B8" i="27"/>
  <c r="T8" i="24"/>
  <c r="I5" i="13"/>
  <c r="L4" i="13"/>
  <c r="V6" i="13"/>
  <c r="F8" i="13"/>
  <c r="K7" i="13"/>
  <c r="L6" i="13"/>
  <c r="V5" i="13"/>
  <c r="X4" i="13"/>
  <c r="U9" i="13"/>
  <c r="I8" i="27"/>
  <c r="W8" i="27"/>
  <c r="D8" i="31"/>
  <c r="O7" i="13"/>
  <c r="I7" i="13"/>
  <c r="C6" i="13"/>
  <c r="C9" i="13"/>
  <c r="U7" i="13"/>
  <c r="AA8" i="24"/>
  <c r="N8" i="31"/>
  <c r="T8" i="27"/>
  <c r="J9" i="13"/>
  <c r="F4" i="13"/>
  <c r="D6" i="13"/>
  <c r="M7" i="13"/>
  <c r="L9" i="13"/>
  <c r="C8" i="31"/>
  <c r="X8" i="24"/>
  <c r="T2" i="14"/>
  <c r="K6" i="13"/>
  <c r="Y8" i="27"/>
  <c r="M4" i="13"/>
  <c r="N9" i="13"/>
  <c r="E8" i="29"/>
  <c r="Z8" i="24"/>
  <c r="G8" i="29"/>
  <c r="B8" i="31"/>
  <c r="V8" i="27"/>
  <c r="D8" i="29"/>
  <c r="JO2" i="32"/>
  <c r="T5" i="13"/>
  <c r="S4" i="13"/>
  <c r="Q4" i="13"/>
  <c r="P6" i="13"/>
  <c r="L7" i="13"/>
  <c r="R7" i="13"/>
  <c r="G5" i="13"/>
  <c r="M8" i="31"/>
  <c r="M8" i="27"/>
  <c r="K8" i="31"/>
  <c r="S8" i="24"/>
  <c r="R8" i="27"/>
  <c r="T8" i="31"/>
  <c r="D8" i="27"/>
  <c r="H6" i="13"/>
  <c r="G7" i="13"/>
  <c r="I8" i="13"/>
  <c r="L5" i="13"/>
  <c r="R4" i="13"/>
  <c r="N4" i="13"/>
  <c r="Y8" i="31"/>
  <c r="S8" i="31"/>
  <c r="J8" i="31"/>
  <c r="D8" i="24"/>
  <c r="B5" i="13"/>
  <c r="T7" i="13"/>
  <c r="E8" i="13"/>
  <c r="M9" i="13"/>
  <c r="I8" i="29"/>
  <c r="W8" i="29"/>
  <c r="J8" i="24"/>
  <c r="Z5" i="13"/>
  <c r="Z8" i="13"/>
  <c r="X6" i="13"/>
  <c r="Z6" i="13"/>
  <c r="R6" i="13"/>
  <c r="Y4" i="13"/>
  <c r="KF2" i="30"/>
  <c r="O6" i="13"/>
  <c r="K5" i="13"/>
  <c r="K9" i="13"/>
  <c r="Q8" i="24"/>
  <c r="F8" i="29"/>
  <c r="L8" i="24"/>
  <c r="AA5" i="13"/>
  <c r="X8" i="13"/>
  <c r="Y5" i="13"/>
  <c r="O5" i="13"/>
  <c r="Z8" i="31"/>
  <c r="R8" i="29"/>
  <c r="I9" i="13"/>
  <c r="C4" i="13"/>
  <c r="J6" i="13"/>
  <c r="H8" i="29"/>
  <c r="Z7" i="13"/>
  <c r="U8" i="27"/>
  <c r="E8" i="24"/>
  <c r="O8" i="27"/>
  <c r="N8" i="29"/>
  <c r="R8" i="24"/>
  <c r="P8" i="31"/>
  <c r="D7" i="13"/>
  <c r="B7" i="13"/>
  <c r="N8" i="13"/>
  <c r="F5" i="13"/>
  <c r="J5" i="13"/>
  <c r="E5" i="13"/>
  <c r="N7" i="13"/>
  <c r="P4" i="13"/>
  <c r="Q8" i="31"/>
  <c r="AA8" i="27"/>
  <c r="O8" i="31"/>
  <c r="W8" i="24"/>
  <c r="N8" i="27"/>
  <c r="T8" i="29"/>
  <c r="P8" i="24"/>
  <c r="D8" i="13"/>
  <c r="C5" i="13"/>
  <c r="S9" i="13"/>
  <c r="E6" i="13"/>
  <c r="G6" i="13"/>
  <c r="N6" i="13"/>
  <c r="Z8" i="29"/>
  <c r="G8" i="31"/>
  <c r="V8" i="24"/>
  <c r="V9" i="13"/>
  <c r="M8" i="13"/>
  <c r="I4" i="13"/>
  <c r="X5" i="13"/>
  <c r="M6" i="13"/>
  <c r="AA8" i="29"/>
  <c r="G8" i="24"/>
  <c r="L8" i="31"/>
  <c r="U5" i="13"/>
  <c r="AA6" i="13"/>
  <c r="W7" i="13"/>
  <c r="AA7" i="13"/>
  <c r="H5" i="13"/>
  <c r="V8" i="13"/>
  <c r="U6" i="13"/>
  <c r="H8" i="13"/>
  <c r="Q6" i="13"/>
  <c r="U8" i="29"/>
  <c r="C8" i="29"/>
  <c r="V8" i="29"/>
  <c r="X8" i="27"/>
  <c r="G8" i="13"/>
  <c r="T8" i="13"/>
  <c r="C2" i="14"/>
  <c r="T6" i="13"/>
  <c r="E8" i="31"/>
  <c r="S8" i="27"/>
  <c r="N8" i="24"/>
  <c r="E9" i="13"/>
  <c r="C7" i="13"/>
  <c r="O4" i="13"/>
  <c r="E4" i="13"/>
  <c r="G4" i="13"/>
  <c r="D5" i="13"/>
  <c r="B4" i="13"/>
  <c r="C8" i="24"/>
  <c r="W5" i="13"/>
  <c r="G9" i="3" l="1"/>
  <c r="E9" i="3"/>
  <c r="F9" i="3"/>
  <c r="H9" i="3"/>
  <c r="KW1" i="32"/>
  <c r="LN1" i="30"/>
  <c r="KW1" i="28"/>
  <c r="KW1" i="26"/>
  <c r="D9" i="31"/>
  <c r="X9" i="29"/>
  <c r="F9" i="27"/>
  <c r="K9" i="31"/>
  <c r="S9" i="24"/>
  <c r="M9" i="29"/>
  <c r="I9" i="29"/>
  <c r="N9" i="29"/>
  <c r="H9" i="13"/>
  <c r="H9" i="31"/>
  <c r="L9" i="24"/>
  <c r="F9" i="29"/>
  <c r="F9" i="24"/>
  <c r="W9" i="29"/>
  <c r="B9" i="13"/>
  <c r="Y9" i="29"/>
  <c r="I9" i="24"/>
  <c r="O9" i="31"/>
  <c r="Q9" i="24"/>
  <c r="L9" i="27"/>
  <c r="B9" i="31"/>
  <c r="N9" i="24"/>
  <c r="K9" i="29"/>
  <c r="D9" i="13"/>
  <c r="E9" i="31"/>
  <c r="E9" i="27"/>
  <c r="H9" i="24"/>
  <c r="AA9" i="24"/>
  <c r="D9" i="27"/>
  <c r="P9" i="31"/>
  <c r="X9" i="24"/>
  <c r="B9" i="29"/>
  <c r="K9" i="27"/>
  <c r="W9" i="24"/>
  <c r="Q9" i="29"/>
  <c r="Z9" i="24"/>
  <c r="J9" i="24"/>
  <c r="Z9" i="29"/>
  <c r="L9" i="31"/>
  <c r="P9" i="24"/>
  <c r="B9" i="27"/>
  <c r="G9" i="31"/>
  <c r="O9" i="27"/>
  <c r="Q9" i="31"/>
  <c r="E9" i="29"/>
  <c r="KF2" i="32"/>
  <c r="C9" i="29"/>
  <c r="Y9" i="24"/>
  <c r="H9" i="27"/>
  <c r="R9" i="29"/>
  <c r="V9" i="24"/>
  <c r="S9" i="29"/>
  <c r="R9" i="13"/>
  <c r="U9" i="29"/>
  <c r="E9" i="24"/>
  <c r="T9" i="27"/>
  <c r="R9" i="31"/>
  <c r="W9" i="27"/>
  <c r="KW2" i="30"/>
  <c r="P9" i="27"/>
  <c r="N9" i="31"/>
  <c r="R9" i="27"/>
  <c r="C9" i="24"/>
  <c r="F9" i="13"/>
  <c r="M9" i="27"/>
  <c r="U9" i="24"/>
  <c r="C9" i="27"/>
  <c r="M9" i="24"/>
  <c r="T9" i="29"/>
  <c r="P9" i="13"/>
  <c r="J9" i="27"/>
  <c r="S9" i="27"/>
  <c r="O9" i="24"/>
  <c r="AA9" i="31"/>
  <c r="U9" i="27"/>
  <c r="J9" i="31"/>
  <c r="G9" i="13"/>
  <c r="T9" i="31"/>
  <c r="X9" i="31"/>
  <c r="N9" i="27"/>
  <c r="O9" i="29"/>
  <c r="S9" i="31"/>
  <c r="Q9" i="27"/>
  <c r="Y9" i="31"/>
  <c r="P9" i="29"/>
  <c r="J9" i="29"/>
  <c r="V9" i="29"/>
  <c r="G9" i="24"/>
  <c r="I9" i="31"/>
  <c r="Y9" i="27"/>
  <c r="KF2" i="26"/>
  <c r="G9" i="27"/>
  <c r="KF2" i="28"/>
  <c r="D9" i="24"/>
  <c r="F9" i="31"/>
  <c r="V9" i="27"/>
  <c r="G9" i="29"/>
  <c r="X9" i="13"/>
  <c r="Z9" i="27"/>
  <c r="I9" i="27"/>
  <c r="B9" i="24"/>
  <c r="M9" i="31"/>
  <c r="D9" i="29"/>
  <c r="T9" i="24"/>
  <c r="V9" i="31"/>
  <c r="C9" i="31"/>
  <c r="K9" i="24"/>
  <c r="U9" i="31"/>
  <c r="AA9" i="27"/>
  <c r="L9" i="29"/>
  <c r="X9" i="27"/>
  <c r="T9" i="13"/>
  <c r="AA9" i="29"/>
  <c r="H9" i="29"/>
  <c r="W9" i="31"/>
  <c r="Z9" i="31"/>
  <c r="R9" i="24"/>
  <c r="E10" i="3" l="1"/>
  <c r="H10" i="3"/>
  <c r="F10" i="3"/>
  <c r="G10" i="3"/>
  <c r="LN1" i="32"/>
  <c r="ME1" i="30"/>
  <c r="LN1" i="28"/>
  <c r="LN1" i="26"/>
  <c r="R10" i="31"/>
  <c r="F10" i="24"/>
  <c r="Z10" i="31"/>
  <c r="E10" i="27"/>
  <c r="U10" i="13"/>
  <c r="K10" i="27"/>
  <c r="H10" i="31"/>
  <c r="H10" i="27"/>
  <c r="KW2" i="28"/>
  <c r="V10" i="31"/>
  <c r="Q10" i="24"/>
  <c r="X10" i="29"/>
  <c r="G10" i="29"/>
  <c r="N10" i="31"/>
  <c r="R10" i="24"/>
  <c r="I10" i="29"/>
  <c r="Q10" i="27"/>
  <c r="I10" i="13"/>
  <c r="S10" i="31"/>
  <c r="S10" i="13"/>
  <c r="L10" i="27"/>
  <c r="X10" i="13"/>
  <c r="V10" i="29"/>
  <c r="Y10" i="24"/>
  <c r="P10" i="31"/>
  <c r="I10" i="24"/>
  <c r="G10" i="24"/>
  <c r="X10" i="24"/>
  <c r="Y10" i="29"/>
  <c r="W10" i="29"/>
  <c r="B10" i="27"/>
  <c r="V10" i="24"/>
  <c r="M10" i="31"/>
  <c r="M10" i="29"/>
  <c r="O10" i="27"/>
  <c r="W10" i="31"/>
  <c r="P10" i="29"/>
  <c r="T10" i="24"/>
  <c r="KW2" i="26"/>
  <c r="Y10" i="31"/>
  <c r="W10" i="27"/>
  <c r="E10" i="29"/>
  <c r="K10" i="13"/>
  <c r="J10" i="31"/>
  <c r="J10" i="24"/>
  <c r="AA10" i="31"/>
  <c r="Y10" i="27"/>
  <c r="Z10" i="13"/>
  <c r="K10" i="24"/>
  <c r="G10" i="13"/>
  <c r="P10" i="24"/>
  <c r="D10" i="13"/>
  <c r="F10" i="13"/>
  <c r="E10" i="24"/>
  <c r="S10" i="29"/>
  <c r="X10" i="27"/>
  <c r="M10" i="24"/>
  <c r="L10" i="13"/>
  <c r="D10" i="29"/>
  <c r="M10" i="13"/>
  <c r="R10" i="29"/>
  <c r="B10" i="24"/>
  <c r="U10" i="24"/>
  <c r="H10" i="24"/>
  <c r="E10" i="13"/>
  <c r="T10" i="13"/>
  <c r="V10" i="13"/>
  <c r="B10" i="29"/>
  <c r="F10" i="27"/>
  <c r="R10" i="13"/>
  <c r="E10" i="31"/>
  <c r="Z10" i="24"/>
  <c r="C10" i="31"/>
  <c r="W10" i="24"/>
  <c r="D10" i="31"/>
  <c r="P10" i="13"/>
  <c r="R10" i="27"/>
  <c r="Z10" i="29"/>
  <c r="C10" i="13"/>
  <c r="AA10" i="29"/>
  <c r="P10" i="27"/>
  <c r="F10" i="29"/>
  <c r="B10" i="13"/>
  <c r="U10" i="29"/>
  <c r="I10" i="27"/>
  <c r="G10" i="31"/>
  <c r="C10" i="27"/>
  <c r="T10" i="31"/>
  <c r="X10" i="31"/>
  <c r="F10" i="31"/>
  <c r="U10" i="31"/>
  <c r="S10" i="27"/>
  <c r="G10" i="27"/>
  <c r="L10" i="24"/>
  <c r="K10" i="31"/>
  <c r="J10" i="27"/>
  <c r="Q10" i="31"/>
  <c r="Z10" i="27"/>
  <c r="Y10" i="13"/>
  <c r="K10" i="29"/>
  <c r="W10" i="13"/>
  <c r="L10" i="29"/>
  <c r="H10" i="13"/>
  <c r="B10" i="31"/>
  <c r="M10" i="27"/>
  <c r="T10" i="27"/>
  <c r="AA10" i="13"/>
  <c r="LN2" i="30"/>
  <c r="J10" i="29"/>
  <c r="N10" i="13"/>
  <c r="Q10" i="29"/>
  <c r="AA10" i="24"/>
  <c r="O10" i="29"/>
  <c r="O10" i="24"/>
  <c r="L10" i="31"/>
  <c r="D10" i="24"/>
  <c r="N10" i="27"/>
  <c r="AA10" i="27"/>
  <c r="Q10" i="13"/>
  <c r="O10" i="13"/>
  <c r="I10" i="31"/>
  <c r="S10" i="24"/>
  <c r="C10" i="29"/>
  <c r="KW2" i="32"/>
  <c r="T10" i="29"/>
  <c r="N10" i="29"/>
  <c r="J10" i="13"/>
  <c r="C10" i="24"/>
  <c r="O10" i="31"/>
  <c r="D10" i="27"/>
  <c r="U10" i="27"/>
  <c r="V10" i="27"/>
  <c r="H10" i="29"/>
  <c r="N10" i="24"/>
  <c r="G11" i="3" l="1"/>
  <c r="H11" i="3"/>
  <c r="F11" i="3"/>
  <c r="E11" i="3"/>
  <c r="ME1" i="32"/>
  <c r="MV1" i="30"/>
  <c r="ME1" i="28"/>
  <c r="ME1" i="26"/>
  <c r="H11" i="31"/>
  <c r="X11" i="29"/>
  <c r="E11" i="31"/>
  <c r="I11" i="29"/>
  <c r="Z11" i="13"/>
  <c r="W11" i="31"/>
  <c r="N11" i="31"/>
  <c r="B11" i="24"/>
  <c r="LN2" i="28"/>
  <c r="V11" i="13"/>
  <c r="E11" i="24"/>
  <c r="R11" i="27"/>
  <c r="L11" i="31"/>
  <c r="L11" i="24"/>
  <c r="Z11" i="29"/>
  <c r="AA11" i="29"/>
  <c r="U11" i="13"/>
  <c r="K11" i="31"/>
  <c r="G11" i="13"/>
  <c r="N11" i="13"/>
  <c r="M11" i="24"/>
  <c r="F11" i="24"/>
  <c r="T11" i="29"/>
  <c r="P11" i="13"/>
  <c r="Y11" i="27"/>
  <c r="AA11" i="27"/>
  <c r="C11" i="31"/>
  <c r="K11" i="29"/>
  <c r="F11" i="31"/>
  <c r="V11" i="29"/>
  <c r="D11" i="31"/>
  <c r="X11" i="31"/>
  <c r="E11" i="13"/>
  <c r="B11" i="31"/>
  <c r="C11" i="29"/>
  <c r="Q11" i="13"/>
  <c r="R11" i="29"/>
  <c r="E11" i="29"/>
  <c r="M11" i="29"/>
  <c r="AA11" i="13"/>
  <c r="S11" i="13"/>
  <c r="LN2" i="32"/>
  <c r="E11" i="27"/>
  <c r="H11" i="27"/>
  <c r="X11" i="24"/>
  <c r="U11" i="29"/>
  <c r="Z11" i="27"/>
  <c r="S11" i="31"/>
  <c r="O11" i="27"/>
  <c r="J11" i="29"/>
  <c r="N11" i="24"/>
  <c r="J11" i="31"/>
  <c r="LN2" i="26"/>
  <c r="G11" i="31"/>
  <c r="V11" i="24"/>
  <c r="P11" i="24"/>
  <c r="X11" i="13"/>
  <c r="Q11" i="29"/>
  <c r="Q11" i="27"/>
  <c r="O11" i="31"/>
  <c r="W11" i="29"/>
  <c r="N11" i="29"/>
  <c r="D11" i="24"/>
  <c r="Y11" i="13"/>
  <c r="J11" i="24"/>
  <c r="D11" i="27"/>
  <c r="H11" i="13"/>
  <c r="I11" i="31"/>
  <c r="I11" i="24"/>
  <c r="G11" i="29"/>
  <c r="C11" i="24"/>
  <c r="F11" i="29"/>
  <c r="V11" i="27"/>
  <c r="H11" i="29"/>
  <c r="D11" i="13"/>
  <c r="J11" i="13"/>
  <c r="G11" i="24"/>
  <c r="F11" i="13"/>
  <c r="S11" i="27"/>
  <c r="T11" i="27"/>
  <c r="L11" i="13"/>
  <c r="Q11" i="31"/>
  <c r="Q11" i="24"/>
  <c r="S11" i="29"/>
  <c r="W11" i="24"/>
  <c r="B11" i="29"/>
  <c r="B11" i="13"/>
  <c r="F11" i="27"/>
  <c r="Y11" i="31"/>
  <c r="S11" i="24"/>
  <c r="ME2" i="30"/>
  <c r="L11" i="27"/>
  <c r="T11" i="13"/>
  <c r="I11" i="27"/>
  <c r="U11" i="24"/>
  <c r="K11" i="27"/>
  <c r="K11" i="24"/>
  <c r="N11" i="27"/>
  <c r="Z11" i="31"/>
  <c r="O11" i="29"/>
  <c r="P11" i="31"/>
  <c r="P11" i="27"/>
  <c r="U11" i="31"/>
  <c r="AA11" i="24"/>
  <c r="C11" i="13"/>
  <c r="P11" i="29"/>
  <c r="H11" i="24"/>
  <c r="U11" i="27"/>
  <c r="G11" i="27"/>
  <c r="B11" i="27"/>
  <c r="X11" i="27"/>
  <c r="R11" i="31"/>
  <c r="T11" i="24"/>
  <c r="M11" i="31"/>
  <c r="Y11" i="24"/>
  <c r="I11" i="13"/>
  <c r="W11" i="27"/>
  <c r="W11" i="13"/>
  <c r="J11" i="27"/>
  <c r="R11" i="13"/>
  <c r="R11" i="24"/>
  <c r="Y11" i="29"/>
  <c r="O11" i="13"/>
  <c r="T11" i="31"/>
  <c r="D11" i="29"/>
  <c r="AA11" i="31"/>
  <c r="Z11" i="24"/>
  <c r="M11" i="13"/>
  <c r="C11" i="27"/>
  <c r="K11" i="13"/>
  <c r="V11" i="31"/>
  <c r="M11" i="27"/>
  <c r="O11" i="24"/>
  <c r="L11" i="29"/>
  <c r="E12" i="3" l="1"/>
  <c r="H12" i="3"/>
  <c r="F12" i="3"/>
  <c r="G12" i="3"/>
  <c r="MV1" i="32"/>
  <c r="NM1" i="30"/>
  <c r="MV1" i="28"/>
  <c r="MV1" i="26"/>
  <c r="R12" i="31"/>
  <c r="R12" i="27"/>
  <c r="E12" i="31"/>
  <c r="Q12" i="24"/>
  <c r="Y12" i="13"/>
  <c r="K12" i="29"/>
  <c r="H12" i="31"/>
  <c r="X12" i="31"/>
  <c r="ME2" i="28"/>
  <c r="G12" i="13"/>
  <c r="P12" i="27"/>
  <c r="D12" i="13"/>
  <c r="C12" i="31"/>
  <c r="L12" i="24"/>
  <c r="R12" i="29"/>
  <c r="B12" i="13"/>
  <c r="Z12" i="29"/>
  <c r="M12" i="24"/>
  <c r="O12" i="31"/>
  <c r="W12" i="27"/>
  <c r="J12" i="29"/>
  <c r="B12" i="24"/>
  <c r="U12" i="31"/>
  <c r="Y12" i="27"/>
  <c r="M12" i="13"/>
  <c r="G12" i="27"/>
  <c r="S12" i="13"/>
  <c r="D12" i="27"/>
  <c r="P12" i="13"/>
  <c r="V12" i="29"/>
  <c r="V12" i="13"/>
  <c r="U12" i="27"/>
  <c r="I12" i="13"/>
  <c r="H12" i="27"/>
  <c r="C12" i="29"/>
  <c r="Y12" i="31"/>
  <c r="F12" i="27"/>
  <c r="V12" i="24"/>
  <c r="E12" i="29"/>
  <c r="AA12" i="27"/>
  <c r="G12" i="31"/>
  <c r="C12" i="24"/>
  <c r="H12" i="29"/>
  <c r="T12" i="24"/>
  <c r="O12" i="24"/>
  <c r="T12" i="29"/>
  <c r="X12" i="29"/>
  <c r="ME2" i="26"/>
  <c r="C12" i="27"/>
  <c r="X12" i="13"/>
  <c r="J12" i="27"/>
  <c r="N12" i="13"/>
  <c r="Q12" i="29"/>
  <c r="U12" i="24"/>
  <c r="S12" i="31"/>
  <c r="L12" i="31"/>
  <c r="N12" i="27"/>
  <c r="J12" i="24"/>
  <c r="I12" i="31"/>
  <c r="M12" i="27"/>
  <c r="Q12" i="13"/>
  <c r="K12" i="27"/>
  <c r="K12" i="13"/>
  <c r="L12" i="27"/>
  <c r="ME2" i="32"/>
  <c r="N12" i="31"/>
  <c r="Q12" i="27"/>
  <c r="I12" i="29"/>
  <c r="N12" i="29"/>
  <c r="J12" i="13"/>
  <c r="Z12" i="31"/>
  <c r="Z12" i="24"/>
  <c r="S12" i="29"/>
  <c r="W12" i="24"/>
  <c r="D12" i="29"/>
  <c r="T12" i="13"/>
  <c r="W12" i="31"/>
  <c r="P12" i="29"/>
  <c r="D12" i="24"/>
  <c r="I12" i="24"/>
  <c r="W12" i="29"/>
  <c r="B12" i="31"/>
  <c r="R12" i="24"/>
  <c r="M12" i="31"/>
  <c r="I12" i="27"/>
  <c r="E12" i="13"/>
  <c r="K12" i="31"/>
  <c r="H12" i="24"/>
  <c r="B12" i="29"/>
  <c r="F12" i="13"/>
  <c r="Y12" i="29"/>
  <c r="Y12" i="24"/>
  <c r="G12" i="29"/>
  <c r="S12" i="24"/>
  <c r="P12" i="31"/>
  <c r="P12" i="24"/>
  <c r="J12" i="31"/>
  <c r="V12" i="31"/>
  <c r="K12" i="24"/>
  <c r="V12" i="27"/>
  <c r="AA12" i="29"/>
  <c r="E12" i="27"/>
  <c r="AA12" i="13"/>
  <c r="S12" i="27"/>
  <c r="O12" i="13"/>
  <c r="T12" i="31"/>
  <c r="H12" i="13"/>
  <c r="C12" i="13"/>
  <c r="D12" i="31"/>
  <c r="L12" i="13"/>
  <c r="U12" i="13"/>
  <c r="T12" i="27"/>
  <c r="F12" i="31"/>
  <c r="N12" i="24"/>
  <c r="AA12" i="31"/>
  <c r="Z12" i="27"/>
  <c r="Z12" i="13"/>
  <c r="O12" i="27"/>
  <c r="MV2" i="30"/>
  <c r="B12" i="27"/>
  <c r="R12" i="13"/>
  <c r="M12" i="29"/>
  <c r="E12" i="24"/>
  <c r="O12" i="29"/>
  <c r="G12" i="24"/>
  <c r="L12" i="29"/>
  <c r="X12" i="27"/>
  <c r="F12" i="29"/>
  <c r="F12" i="24"/>
  <c r="U12" i="29"/>
  <c r="AA12" i="24"/>
  <c r="W12" i="13"/>
  <c r="Q12" i="31"/>
  <c r="X12" i="24"/>
  <c r="H13" i="3" l="1"/>
  <c r="G13" i="3"/>
  <c r="F13" i="3"/>
  <c r="E13" i="3"/>
  <c r="NM1" i="32"/>
  <c r="OD1" i="30"/>
  <c r="NM1" i="28"/>
  <c r="NM1" i="26"/>
  <c r="U13" i="31"/>
  <c r="I13" i="29"/>
  <c r="AA13" i="13"/>
  <c r="D13" i="27"/>
  <c r="D13" i="13"/>
  <c r="K13" i="24"/>
  <c r="B13" i="31"/>
  <c r="V13" i="31"/>
  <c r="MV2" i="28"/>
  <c r="O13" i="13"/>
  <c r="E13" i="31"/>
  <c r="M13" i="29"/>
  <c r="Q13" i="13"/>
  <c r="X13" i="27"/>
  <c r="C13" i="31"/>
  <c r="G13" i="29"/>
  <c r="J13" i="31"/>
  <c r="V13" i="29"/>
  <c r="MV2" i="26"/>
  <c r="U13" i="24"/>
  <c r="O13" i="31"/>
  <c r="N13" i="27"/>
  <c r="Y13" i="27"/>
  <c r="M13" i="24"/>
  <c r="H13" i="31"/>
  <c r="H13" i="24"/>
  <c r="K13" i="31"/>
  <c r="W13" i="29"/>
  <c r="R13" i="31"/>
  <c r="Y13" i="31"/>
  <c r="P13" i="13"/>
  <c r="C13" i="24"/>
  <c r="E13" i="29"/>
  <c r="E13" i="27"/>
  <c r="Y13" i="13"/>
  <c r="T13" i="24"/>
  <c r="S13" i="31"/>
  <c r="O13" i="24"/>
  <c r="J13" i="27"/>
  <c r="J13" i="24"/>
  <c r="L13" i="24"/>
  <c r="B13" i="27"/>
  <c r="Q13" i="27"/>
  <c r="AA13" i="31"/>
  <c r="P13" i="29"/>
  <c r="T13" i="27"/>
  <c r="C13" i="29"/>
  <c r="G13" i="24"/>
  <c r="N13" i="31"/>
  <c r="R13" i="24"/>
  <c r="Y13" i="29"/>
  <c r="I13" i="13"/>
  <c r="W13" i="27"/>
  <c r="V13" i="13"/>
  <c r="U13" i="29"/>
  <c r="I13" i="24"/>
  <c r="H13" i="29"/>
  <c r="D13" i="24"/>
  <c r="S13" i="29"/>
  <c r="W13" i="31"/>
  <c r="R13" i="29"/>
  <c r="N13" i="24"/>
  <c r="Q13" i="29"/>
  <c r="P13" i="31"/>
  <c r="G13" i="31"/>
  <c r="NM2" i="30"/>
  <c r="AA13" i="27"/>
  <c r="Q13" i="24"/>
  <c r="L13" i="31"/>
  <c r="P13" i="27"/>
  <c r="O13" i="29"/>
  <c r="W13" i="24"/>
  <c r="N13" i="29"/>
  <c r="F13" i="13"/>
  <c r="L13" i="13"/>
  <c r="V13" i="27"/>
  <c r="I13" i="31"/>
  <c r="Y13" i="24"/>
  <c r="L13" i="27"/>
  <c r="X13" i="24"/>
  <c r="K13" i="29"/>
  <c r="S13" i="13"/>
  <c r="J13" i="29"/>
  <c r="R13" i="13"/>
  <c r="Q13" i="31"/>
  <c r="H13" i="27"/>
  <c r="S13" i="24"/>
  <c r="M13" i="31"/>
  <c r="I13" i="27"/>
  <c r="Z13" i="13"/>
  <c r="T13" i="31"/>
  <c r="T13" i="13"/>
  <c r="G13" i="27"/>
  <c r="W13" i="13"/>
  <c r="F13" i="24"/>
  <c r="N13" i="13"/>
  <c r="E13" i="24"/>
  <c r="AA13" i="29"/>
  <c r="AA13" i="24"/>
  <c r="D13" i="31"/>
  <c r="P13" i="24"/>
  <c r="S13" i="27"/>
  <c r="K13" i="13"/>
  <c r="F13" i="27"/>
  <c r="J13" i="13"/>
  <c r="O13" i="27"/>
  <c r="Z13" i="31"/>
  <c r="Z13" i="27"/>
  <c r="U13" i="13"/>
  <c r="T13" i="29"/>
  <c r="H13" i="13"/>
  <c r="K13" i="27"/>
  <c r="G13" i="13"/>
  <c r="F13" i="29"/>
  <c r="B13" i="13"/>
  <c r="M13" i="27"/>
  <c r="X13" i="29"/>
  <c r="F13" i="31"/>
  <c r="Z13" i="29"/>
  <c r="U13" i="27"/>
  <c r="M13" i="13"/>
  <c r="X13" i="31"/>
  <c r="X13" i="13"/>
  <c r="C13" i="27"/>
  <c r="C13" i="13"/>
  <c r="B13" i="29"/>
  <c r="MV2" i="32"/>
  <c r="Z13" i="24"/>
  <c r="D13" i="29"/>
  <c r="R13" i="27"/>
  <c r="B13" i="24"/>
  <c r="E13" i="13"/>
  <c r="V13" i="24"/>
  <c r="L13" i="29"/>
  <c r="E14" i="3" l="1"/>
  <c r="G14" i="3"/>
  <c r="F14" i="3"/>
  <c r="H14" i="3"/>
  <c r="OD1" i="32"/>
  <c r="OU1" i="30"/>
  <c r="OD1" i="28"/>
  <c r="OD1" i="26"/>
  <c r="F14" i="29"/>
  <c r="N14" i="24"/>
  <c r="D14" i="29"/>
  <c r="H14" i="24"/>
  <c r="G14" i="31"/>
  <c r="G14" i="24"/>
  <c r="U14" i="29"/>
  <c r="AA14" i="27"/>
  <c r="M14" i="13"/>
  <c r="Y14" i="13"/>
  <c r="X14" i="13"/>
  <c r="Q14" i="27"/>
  <c r="F14" i="31"/>
  <c r="N14" i="13"/>
  <c r="H14" i="29"/>
  <c r="T14" i="13"/>
  <c r="K14" i="27"/>
  <c r="K14" i="13"/>
  <c r="Q14" i="31"/>
  <c r="V14" i="29"/>
  <c r="G14" i="27"/>
  <c r="Z14" i="13"/>
  <c r="R14" i="27"/>
  <c r="J14" i="13"/>
  <c r="P14" i="29"/>
  <c r="H14" i="13"/>
  <c r="S14" i="29"/>
  <c r="M14" i="31"/>
  <c r="U14" i="24"/>
  <c r="Q14" i="13"/>
  <c r="B14" i="29"/>
  <c r="R14" i="13"/>
  <c r="G14" i="29"/>
  <c r="E14" i="24"/>
  <c r="P14" i="24"/>
  <c r="E14" i="13"/>
  <c r="X14" i="24"/>
  <c r="N14" i="31"/>
  <c r="V14" i="24"/>
  <c r="P14" i="31"/>
  <c r="D14" i="13"/>
  <c r="C14" i="27"/>
  <c r="S14" i="13"/>
  <c r="Z14" i="29"/>
  <c r="I14" i="24"/>
  <c r="NM2" i="28"/>
  <c r="NM2" i="26"/>
  <c r="S14" i="27"/>
  <c r="Y14" i="24"/>
  <c r="N14" i="27"/>
  <c r="F14" i="13"/>
  <c r="X14" i="31"/>
  <c r="P14" i="13"/>
  <c r="K14" i="24"/>
  <c r="AA14" i="31"/>
  <c r="I14" i="27"/>
  <c r="T14" i="29"/>
  <c r="G14" i="13"/>
  <c r="OD2" i="30"/>
  <c r="R14" i="29"/>
  <c r="V14" i="13"/>
  <c r="D14" i="27"/>
  <c r="C14" i="31"/>
  <c r="W14" i="27"/>
  <c r="M14" i="29"/>
  <c r="U14" i="27"/>
  <c r="AA14" i="13"/>
  <c r="R14" i="24"/>
  <c r="O14" i="13"/>
  <c r="B14" i="27"/>
  <c r="V14" i="27"/>
  <c r="B14" i="13"/>
  <c r="H14" i="27"/>
  <c r="L14" i="13"/>
  <c r="W14" i="31"/>
  <c r="W14" i="13"/>
  <c r="Z14" i="27"/>
  <c r="Q14" i="24"/>
  <c r="Y14" i="27"/>
  <c r="H14" i="31"/>
  <c r="C14" i="24"/>
  <c r="J14" i="31"/>
  <c r="N14" i="29"/>
  <c r="D14" i="31"/>
  <c r="L14" i="27"/>
  <c r="O14" i="31"/>
  <c r="W14" i="29"/>
  <c r="E14" i="29"/>
  <c r="Z14" i="24"/>
  <c r="X14" i="29"/>
  <c r="E14" i="31"/>
  <c r="R14" i="31"/>
  <c r="J14" i="27"/>
  <c r="L14" i="31"/>
  <c r="D14" i="24"/>
  <c r="O14" i="29"/>
  <c r="W14" i="24"/>
  <c r="Y14" i="29"/>
  <c r="E14" i="27"/>
  <c r="NM2" i="32"/>
  <c r="AA14" i="29"/>
  <c r="B14" i="24"/>
  <c r="T14" i="31"/>
  <c r="T14" i="27"/>
  <c r="S14" i="31"/>
  <c r="O14" i="24"/>
  <c r="U14" i="31"/>
  <c r="M14" i="27"/>
  <c r="U14" i="13"/>
  <c r="AA14" i="24"/>
  <c r="T14" i="24"/>
  <c r="Y14" i="31"/>
  <c r="J14" i="29"/>
  <c r="J14" i="24"/>
  <c r="P14" i="27"/>
  <c r="L14" i="24"/>
  <c r="C14" i="29"/>
  <c r="S14" i="24"/>
  <c r="Z14" i="31"/>
  <c r="I14" i="13"/>
  <c r="K14" i="31"/>
  <c r="Q14" i="29"/>
  <c r="F14" i="27"/>
  <c r="F14" i="24"/>
  <c r="L14" i="29"/>
  <c r="X14" i="27"/>
  <c r="O14" i="27"/>
  <c r="C14" i="13"/>
  <c r="I14" i="29"/>
  <c r="M14" i="24"/>
  <c r="B14" i="31"/>
  <c r="V14" i="31"/>
  <c r="K14" i="29"/>
  <c r="I14" i="31"/>
  <c r="F15" i="3" l="1"/>
  <c r="H15" i="3"/>
  <c r="G15" i="3"/>
  <c r="E15" i="3"/>
  <c r="OU1" i="32"/>
  <c r="PL1" i="30"/>
  <c r="OU1" i="28"/>
  <c r="OU1" i="26"/>
  <c r="K15" i="31"/>
  <c r="K15" i="24"/>
  <c r="I15" i="31"/>
  <c r="Z15" i="27"/>
  <c r="AA15" i="13"/>
  <c r="D15" i="27"/>
  <c r="N15" i="31"/>
  <c r="F15" i="27"/>
  <c r="OD2" i="28"/>
  <c r="P15" i="24"/>
  <c r="O15" i="27"/>
  <c r="S15" i="24"/>
  <c r="U15" i="31"/>
  <c r="AA15" i="27"/>
  <c r="E15" i="13"/>
  <c r="X15" i="31"/>
  <c r="P15" i="13"/>
  <c r="V15" i="27"/>
  <c r="N15" i="13"/>
  <c r="C15" i="24"/>
  <c r="M15" i="13"/>
  <c r="N15" i="24"/>
  <c r="C15" i="27"/>
  <c r="O15" i="13"/>
  <c r="Q15" i="31"/>
  <c r="AA15" i="24"/>
  <c r="L15" i="31"/>
  <c r="X15" i="29"/>
  <c r="B15" i="29"/>
  <c r="J15" i="24"/>
  <c r="O15" i="31"/>
  <c r="E15" i="31"/>
  <c r="H15" i="31"/>
  <c r="V15" i="24"/>
  <c r="O15" i="29"/>
  <c r="W15" i="24"/>
  <c r="Q15" i="29"/>
  <c r="Y15" i="29"/>
  <c r="H15" i="29"/>
  <c r="D15" i="24"/>
  <c r="R15" i="31"/>
  <c r="F15" i="24"/>
  <c r="I15" i="24"/>
  <c r="J15" i="31"/>
  <c r="G15" i="27"/>
  <c r="G15" i="13"/>
  <c r="E15" i="27"/>
  <c r="Y15" i="27"/>
  <c r="D15" i="31"/>
  <c r="L15" i="24"/>
  <c r="J15" i="29"/>
  <c r="J15" i="27"/>
  <c r="OD2" i="26"/>
  <c r="Z15" i="29"/>
  <c r="T15" i="31"/>
  <c r="R15" i="13"/>
  <c r="G15" i="24"/>
  <c r="C15" i="13"/>
  <c r="E15" i="29"/>
  <c r="Y15" i="24"/>
  <c r="T15" i="29"/>
  <c r="X15" i="27"/>
  <c r="F15" i="29"/>
  <c r="B15" i="24"/>
  <c r="S15" i="31"/>
  <c r="U15" i="29"/>
  <c r="P15" i="31"/>
  <c r="OU2" i="30"/>
  <c r="S15" i="27"/>
  <c r="K15" i="13"/>
  <c r="AA15" i="29"/>
  <c r="Q15" i="24"/>
  <c r="P15" i="27"/>
  <c r="X15" i="24"/>
  <c r="R15" i="27"/>
  <c r="J15" i="13"/>
  <c r="U15" i="13"/>
  <c r="N15" i="29"/>
  <c r="W15" i="29"/>
  <c r="W15" i="13"/>
  <c r="AA15" i="31"/>
  <c r="Z15" i="24"/>
  <c r="D15" i="29"/>
  <c r="T15" i="24"/>
  <c r="B15" i="31"/>
  <c r="R15" i="24"/>
  <c r="S15" i="29"/>
  <c r="M15" i="29"/>
  <c r="H15" i="24"/>
  <c r="K15" i="29"/>
  <c r="W15" i="31"/>
  <c r="Z15" i="31"/>
  <c r="U15" i="24"/>
  <c r="Z15" i="13"/>
  <c r="T15" i="27"/>
  <c r="D15" i="13"/>
  <c r="F15" i="31"/>
  <c r="F15" i="13"/>
  <c r="W15" i="27"/>
  <c r="I15" i="27"/>
  <c r="H15" i="13"/>
  <c r="K15" i="27"/>
  <c r="Y15" i="31"/>
  <c r="M15" i="27"/>
  <c r="I15" i="13"/>
  <c r="L15" i="27"/>
  <c r="X15" i="13"/>
  <c r="V15" i="31"/>
  <c r="B15" i="13"/>
  <c r="L15" i="29"/>
  <c r="C15" i="31"/>
  <c r="G15" i="31"/>
  <c r="M15" i="31"/>
  <c r="Q15" i="27"/>
  <c r="Q15" i="13"/>
  <c r="P15" i="29"/>
  <c r="T15" i="13"/>
  <c r="R15" i="29"/>
  <c r="V15" i="13"/>
  <c r="G15" i="29"/>
  <c r="M15" i="24"/>
  <c r="N15" i="27"/>
  <c r="C15" i="29"/>
  <c r="O15" i="24"/>
  <c r="I15" i="29"/>
  <c r="U15" i="27"/>
  <c r="Y15" i="13"/>
  <c r="H15" i="27"/>
  <c r="L15" i="13"/>
  <c r="V15" i="29"/>
  <c r="OD2" i="32"/>
  <c r="S15" i="13"/>
  <c r="E15" i="24"/>
  <c r="B15" i="27"/>
  <c r="E16" i="3" l="1"/>
  <c r="H16" i="3"/>
  <c r="G16" i="3"/>
  <c r="F16" i="3"/>
  <c r="PL1" i="32"/>
  <c r="QC1" i="30"/>
  <c r="PL1" i="28"/>
  <c r="PL1" i="26"/>
  <c r="B16" i="31"/>
  <c r="F16" i="24"/>
  <c r="Y16" i="31"/>
  <c r="AA16" i="27"/>
  <c r="U16" i="13"/>
  <c r="L16" i="27"/>
  <c r="S16" i="31"/>
  <c r="G16" i="24"/>
  <c r="OU2" i="28"/>
  <c r="D16" i="29"/>
  <c r="R16" i="31"/>
  <c r="V16" i="27"/>
  <c r="E16" i="31"/>
  <c r="Z16" i="27"/>
  <c r="Y16" i="13"/>
  <c r="P16" i="27"/>
  <c r="H16" i="13"/>
  <c r="K16" i="27"/>
  <c r="K16" i="13"/>
  <c r="B16" i="29"/>
  <c r="AA16" i="24"/>
  <c r="K16" i="31"/>
  <c r="R16" i="27"/>
  <c r="R16" i="24"/>
  <c r="AA16" i="31"/>
  <c r="M16" i="24"/>
  <c r="AA16" i="13"/>
  <c r="X16" i="29"/>
  <c r="L16" i="13"/>
  <c r="C16" i="24"/>
  <c r="OU2" i="32"/>
  <c r="V16" i="13"/>
  <c r="Z16" i="13"/>
  <c r="T16" i="27"/>
  <c r="J16" i="27"/>
  <c r="V16" i="24"/>
  <c r="Y16" i="29"/>
  <c r="Y16" i="27"/>
  <c r="T16" i="31"/>
  <c r="X16" i="27"/>
  <c r="G16" i="31"/>
  <c r="G16" i="27"/>
  <c r="U16" i="29"/>
  <c r="G16" i="29"/>
  <c r="N16" i="31"/>
  <c r="V16" i="29"/>
  <c r="Z16" i="31"/>
  <c r="Q16" i="27"/>
  <c r="E16" i="13"/>
  <c r="X16" i="31"/>
  <c r="D16" i="13"/>
  <c r="O16" i="24"/>
  <c r="S16" i="13"/>
  <c r="N16" i="24"/>
  <c r="I16" i="13"/>
  <c r="W16" i="27"/>
  <c r="J16" i="31"/>
  <c r="F16" i="13"/>
  <c r="M16" i="29"/>
  <c r="Z16" i="24"/>
  <c r="H16" i="31"/>
  <c r="P16" i="24"/>
  <c r="C16" i="31"/>
  <c r="W16" i="29"/>
  <c r="F16" i="31"/>
  <c r="U16" i="31"/>
  <c r="P16" i="31"/>
  <c r="W16" i="24"/>
  <c r="R16" i="29"/>
  <c r="F16" i="27"/>
  <c r="R16" i="13"/>
  <c r="Q16" i="29"/>
  <c r="E16" i="24"/>
  <c r="H16" i="27"/>
  <c r="X16" i="24"/>
  <c r="K16" i="29"/>
  <c r="O16" i="13"/>
  <c r="Y16" i="24"/>
  <c r="O16" i="27"/>
  <c r="B16" i="27"/>
  <c r="J16" i="13"/>
  <c r="M16" i="31"/>
  <c r="AA16" i="29"/>
  <c r="D16" i="31"/>
  <c r="D16" i="27"/>
  <c r="C16" i="29"/>
  <c r="K16" i="24"/>
  <c r="OU2" i="26"/>
  <c r="E16" i="29"/>
  <c r="L16" i="31"/>
  <c r="C16" i="13"/>
  <c r="N16" i="27"/>
  <c r="B16" i="13"/>
  <c r="E16" i="27"/>
  <c r="I16" i="24"/>
  <c r="T16" i="29"/>
  <c r="D16" i="24"/>
  <c r="O16" i="29"/>
  <c r="W16" i="31"/>
  <c r="I16" i="29"/>
  <c r="V16" i="31"/>
  <c r="I16" i="31"/>
  <c r="U16" i="27"/>
  <c r="Q16" i="13"/>
  <c r="L16" i="24"/>
  <c r="P16" i="13"/>
  <c r="O16" i="31"/>
  <c r="W16" i="13"/>
  <c r="P16" i="29"/>
  <c r="PL2" i="30"/>
  <c r="J16" i="29"/>
  <c r="N16" i="13"/>
  <c r="M16" i="27"/>
  <c r="U16" i="24"/>
  <c r="H16" i="29"/>
  <c r="H16" i="24"/>
  <c r="S16" i="29"/>
  <c r="S16" i="24"/>
  <c r="N16" i="29"/>
  <c r="I16" i="27"/>
  <c r="T16" i="24"/>
  <c r="F16" i="29"/>
  <c r="J16" i="24"/>
  <c r="Q16" i="31"/>
  <c r="Z16" i="29"/>
  <c r="M16" i="13"/>
  <c r="L16" i="29"/>
  <c r="X16" i="13"/>
  <c r="S16" i="27"/>
  <c r="G16" i="13"/>
  <c r="B16" i="24"/>
  <c r="Q16" i="24"/>
  <c r="T16" i="13"/>
  <c r="C16" i="27"/>
  <c r="H17" i="3" l="1"/>
  <c r="F17" i="3"/>
  <c r="G17" i="3"/>
  <c r="E17" i="3"/>
  <c r="QC1" i="32"/>
  <c r="QT1" i="30"/>
  <c r="QC1" i="28"/>
  <c r="QC1" i="26"/>
  <c r="AA17" i="31"/>
  <c r="Z17" i="27"/>
  <c r="U17" i="13"/>
  <c r="S17" i="27"/>
  <c r="C17" i="13"/>
  <c r="P17" i="27"/>
  <c r="J17" i="31"/>
  <c r="N17" i="29"/>
  <c r="PL2" i="28"/>
  <c r="PL2" i="26"/>
  <c r="S17" i="24"/>
  <c r="V17" i="27"/>
  <c r="Z17" i="31"/>
  <c r="M17" i="24"/>
  <c r="E17" i="13"/>
  <c r="S17" i="29"/>
  <c r="D17" i="31"/>
  <c r="X17" i="31"/>
  <c r="F17" i="31"/>
  <c r="F17" i="13"/>
  <c r="O17" i="27"/>
  <c r="F17" i="29"/>
  <c r="E17" i="29"/>
  <c r="AA17" i="24"/>
  <c r="AA17" i="13"/>
  <c r="W17" i="31"/>
  <c r="O17" i="13"/>
  <c r="L17" i="13"/>
  <c r="PL2" i="32"/>
  <c r="J17" i="27"/>
  <c r="H17" i="31"/>
  <c r="U17" i="31"/>
  <c r="AA17" i="27"/>
  <c r="Y17" i="13"/>
  <c r="G17" i="27"/>
  <c r="L17" i="31"/>
  <c r="T17" i="24"/>
  <c r="R17" i="27"/>
  <c r="V17" i="29"/>
  <c r="J17" i="29"/>
  <c r="M17" i="27"/>
  <c r="L17" i="29"/>
  <c r="V17" i="24"/>
  <c r="M17" i="29"/>
  <c r="Y17" i="29"/>
  <c r="G17" i="29"/>
  <c r="K17" i="24"/>
  <c r="T17" i="31"/>
  <c r="D17" i="24"/>
  <c r="B17" i="27"/>
  <c r="U17" i="27"/>
  <c r="W17" i="13"/>
  <c r="F17" i="27"/>
  <c r="AA17" i="29"/>
  <c r="I17" i="29"/>
  <c r="K17" i="31"/>
  <c r="W17" i="27"/>
  <c r="P17" i="31"/>
  <c r="L17" i="27"/>
  <c r="N17" i="31"/>
  <c r="F17" i="24"/>
  <c r="U17" i="29"/>
  <c r="I17" i="27"/>
  <c r="S17" i="13"/>
  <c r="V17" i="31"/>
  <c r="K17" i="29"/>
  <c r="T17" i="29"/>
  <c r="R17" i="31"/>
  <c r="M17" i="31"/>
  <c r="Y17" i="31"/>
  <c r="I17" i="24"/>
  <c r="G17" i="31"/>
  <c r="C17" i="24"/>
  <c r="D17" i="29"/>
  <c r="X17" i="24"/>
  <c r="R17" i="29"/>
  <c r="B17" i="13"/>
  <c r="R17" i="24"/>
  <c r="I17" i="13"/>
  <c r="H17" i="24"/>
  <c r="QC2" i="30"/>
  <c r="I17" i="31"/>
  <c r="Y17" i="24"/>
  <c r="C17" i="31"/>
  <c r="W17" i="24"/>
  <c r="T17" i="27"/>
  <c r="P17" i="13"/>
  <c r="B17" i="29"/>
  <c r="Q17" i="24"/>
  <c r="H17" i="29"/>
  <c r="J17" i="13"/>
  <c r="Q17" i="29"/>
  <c r="E17" i="24"/>
  <c r="G17" i="24"/>
  <c r="X17" i="29"/>
  <c r="B17" i="24"/>
  <c r="Y17" i="27"/>
  <c r="Z17" i="24"/>
  <c r="S17" i="31"/>
  <c r="O17" i="24"/>
  <c r="P17" i="29"/>
  <c r="T17" i="13"/>
  <c r="N17" i="24"/>
  <c r="N17" i="13"/>
  <c r="V17" i="13"/>
  <c r="O17" i="29"/>
  <c r="X17" i="13"/>
  <c r="E17" i="31"/>
  <c r="Z17" i="29"/>
  <c r="Z17" i="13"/>
  <c r="C17" i="27"/>
  <c r="G17" i="13"/>
  <c r="H17" i="27"/>
  <c r="H17" i="13"/>
  <c r="J17" i="24"/>
  <c r="O17" i="31"/>
  <c r="L17" i="24"/>
  <c r="Q17" i="31"/>
  <c r="Q17" i="27"/>
  <c r="M17" i="13"/>
  <c r="C17" i="29"/>
  <c r="K17" i="13"/>
  <c r="D17" i="27"/>
  <c r="D17" i="13"/>
  <c r="B17" i="31"/>
  <c r="R17" i="13"/>
  <c r="E17" i="27"/>
  <c r="K17" i="27"/>
  <c r="P17" i="24"/>
  <c r="X17" i="27"/>
  <c r="N17" i="27"/>
  <c r="U17" i="24"/>
  <c r="W17" i="29"/>
  <c r="Q17" i="13"/>
  <c r="E18" i="3" l="1"/>
  <c r="F18" i="3"/>
  <c r="G18" i="3"/>
  <c r="H18" i="3"/>
  <c r="QT1" i="32"/>
  <c r="RK1" i="30"/>
  <c r="QT1" i="28"/>
  <c r="QT1" i="26"/>
  <c r="J18" i="31"/>
  <c r="V18" i="31"/>
  <c r="S18" i="29"/>
  <c r="K18" i="24"/>
  <c r="T18" i="29"/>
  <c r="X18" i="29"/>
  <c r="Q18" i="31"/>
  <c r="Y18" i="27"/>
  <c r="M18" i="13"/>
  <c r="P18" i="24"/>
  <c r="QT2" i="30"/>
  <c r="B18" i="24"/>
  <c r="F18" i="13"/>
  <c r="W18" i="27"/>
  <c r="S18" i="13"/>
  <c r="X18" i="31"/>
  <c r="AA18" i="31"/>
  <c r="Q18" i="24"/>
  <c r="Z18" i="13"/>
  <c r="N18" i="29"/>
  <c r="G18" i="27"/>
  <c r="I18" i="31"/>
  <c r="R18" i="31"/>
  <c r="V18" i="27"/>
  <c r="G18" i="31"/>
  <c r="O18" i="27"/>
  <c r="H18" i="29"/>
  <c r="X18" i="24"/>
  <c r="U18" i="24"/>
  <c r="R18" i="13"/>
  <c r="E18" i="27"/>
  <c r="B18" i="27"/>
  <c r="J18" i="27"/>
  <c r="V18" i="24"/>
  <c r="C18" i="29"/>
  <c r="W18" i="13"/>
  <c r="D18" i="27"/>
  <c r="P18" i="13"/>
  <c r="I18" i="27"/>
  <c r="U18" i="27"/>
  <c r="QC2" i="28"/>
  <c r="Y18" i="29"/>
  <c r="J18" i="29"/>
  <c r="N18" i="27"/>
  <c r="O18" i="31"/>
  <c r="W18" i="29"/>
  <c r="D18" i="31"/>
  <c r="L18" i="27"/>
  <c r="M18" i="31"/>
  <c r="AA18" i="27"/>
  <c r="Q18" i="13"/>
  <c r="J18" i="24"/>
  <c r="P18" i="31"/>
  <c r="AA18" i="29"/>
  <c r="N18" i="31"/>
  <c r="N18" i="24"/>
  <c r="O18" i="29"/>
  <c r="G18" i="24"/>
  <c r="D18" i="29"/>
  <c r="H18" i="13"/>
  <c r="Q18" i="29"/>
  <c r="Z18" i="24"/>
  <c r="B18" i="31"/>
  <c r="K18" i="29"/>
  <c r="L18" i="24"/>
  <c r="E18" i="13"/>
  <c r="V18" i="13"/>
  <c r="G18" i="13"/>
  <c r="U18" i="31"/>
  <c r="C18" i="24"/>
  <c r="F18" i="27"/>
  <c r="B18" i="13"/>
  <c r="G18" i="29"/>
  <c r="O18" i="13"/>
  <c r="D18" i="24"/>
  <c r="L18" i="13"/>
  <c r="E18" i="31"/>
  <c r="Y18" i="24"/>
  <c r="W18" i="24"/>
  <c r="E18" i="29"/>
  <c r="F18" i="31"/>
  <c r="F18" i="24"/>
  <c r="S18" i="31"/>
  <c r="S18" i="24"/>
  <c r="P18" i="29"/>
  <c r="T18" i="24"/>
  <c r="Z18" i="29"/>
  <c r="E18" i="24"/>
  <c r="QC2" i="26"/>
  <c r="C18" i="31"/>
  <c r="H18" i="27"/>
  <c r="M18" i="24"/>
  <c r="F18" i="29"/>
  <c r="S18" i="27"/>
  <c r="P18" i="27"/>
  <c r="M18" i="29"/>
  <c r="T18" i="13"/>
  <c r="V18" i="29"/>
  <c r="K18" i="31"/>
  <c r="W18" i="31"/>
  <c r="H18" i="31"/>
  <c r="X18" i="27"/>
  <c r="Y18" i="31"/>
  <c r="AA18" i="24"/>
  <c r="Y18" i="13"/>
  <c r="T18" i="27"/>
  <c r="Z18" i="27"/>
  <c r="B18" i="29"/>
  <c r="J18" i="13"/>
  <c r="K18" i="27"/>
  <c r="C18" i="13"/>
  <c r="L18" i="29"/>
  <c r="D18" i="13"/>
  <c r="U18" i="29"/>
  <c r="I18" i="24"/>
  <c r="R18" i="29"/>
  <c r="C18" i="27"/>
  <c r="X18" i="13"/>
  <c r="AA18" i="13"/>
  <c r="R18" i="27"/>
  <c r="N18" i="13"/>
  <c r="O18" i="24"/>
  <c r="L18" i="31"/>
  <c r="H18" i="24"/>
  <c r="I18" i="29"/>
  <c r="M18" i="27"/>
  <c r="I18" i="13"/>
  <c r="R18" i="24"/>
  <c r="K18" i="13"/>
  <c r="Q18" i="27"/>
  <c r="Z18" i="31"/>
  <c r="QC2" i="32"/>
  <c r="T18" i="31"/>
  <c r="U18" i="13"/>
  <c r="G19" i="3" l="1"/>
  <c r="F19" i="3"/>
  <c r="H19" i="3"/>
  <c r="E19" i="3"/>
  <c r="RK1" i="32"/>
  <c r="SB1" i="30"/>
  <c r="RK1" i="28"/>
  <c r="RK1" i="26"/>
  <c r="H19" i="29"/>
  <c r="X19" i="27"/>
  <c r="S19" i="29"/>
  <c r="C19" i="24"/>
  <c r="Y19" i="31"/>
  <c r="Y19" i="27"/>
  <c r="Y19" i="13"/>
  <c r="J19" i="24"/>
  <c r="J19" i="13"/>
  <c r="H19" i="31"/>
  <c r="T19" i="24"/>
  <c r="S19" i="31"/>
  <c r="G19" i="27"/>
  <c r="Z19" i="31"/>
  <c r="E19" i="27"/>
  <c r="I19" i="13"/>
  <c r="R19" i="27"/>
  <c r="V19" i="13"/>
  <c r="QT2" i="28"/>
  <c r="W19" i="31"/>
  <c r="M19" i="24"/>
  <c r="J19" i="31"/>
  <c r="D19" i="27"/>
  <c r="H19" i="13"/>
  <c r="O19" i="29"/>
  <c r="G19" i="13"/>
  <c r="I19" i="29"/>
  <c r="U19" i="24"/>
  <c r="J19" i="29"/>
  <c r="V19" i="27"/>
  <c r="P19" i="29"/>
  <c r="K19" i="29"/>
  <c r="Z19" i="27"/>
  <c r="V19" i="24"/>
  <c r="D19" i="31"/>
  <c r="X19" i="24"/>
  <c r="C19" i="27"/>
  <c r="S19" i="13"/>
  <c r="Z19" i="29"/>
  <c r="Y19" i="24"/>
  <c r="N19" i="31"/>
  <c r="F19" i="24"/>
  <c r="Z19" i="13"/>
  <c r="L19" i="29"/>
  <c r="L19" i="24"/>
  <c r="C19" i="29"/>
  <c r="O19" i="24"/>
  <c r="AA19" i="31"/>
  <c r="E19" i="29"/>
  <c r="AA19" i="13"/>
  <c r="B19" i="29"/>
  <c r="N19" i="13"/>
  <c r="P19" i="24"/>
  <c r="W19" i="24"/>
  <c r="U19" i="27"/>
  <c r="R19" i="13"/>
  <c r="P19" i="27"/>
  <c r="L19" i="13"/>
  <c r="G19" i="31"/>
  <c r="E19" i="31"/>
  <c r="AA19" i="29"/>
  <c r="Q19" i="13"/>
  <c r="J19" i="27"/>
  <c r="F19" i="13"/>
  <c r="D19" i="24"/>
  <c r="K19" i="24"/>
  <c r="AA19" i="27"/>
  <c r="D19" i="29"/>
  <c r="X19" i="13"/>
  <c r="G19" i="24"/>
  <c r="K19" i="13"/>
  <c r="Q19" i="29"/>
  <c r="E19" i="24"/>
  <c r="N19" i="29"/>
  <c r="B19" i="24"/>
  <c r="B19" i="27"/>
  <c r="T19" i="31"/>
  <c r="P19" i="13"/>
  <c r="K19" i="27"/>
  <c r="W19" i="13"/>
  <c r="U19" i="29"/>
  <c r="AA19" i="24"/>
  <c r="F19" i="31"/>
  <c r="V19" i="29"/>
  <c r="RK2" i="30"/>
  <c r="O19" i="31"/>
  <c r="M19" i="31"/>
  <c r="U19" i="13"/>
  <c r="P19" i="31"/>
  <c r="H19" i="24"/>
  <c r="C19" i="31"/>
  <c r="S19" i="24"/>
  <c r="Q19" i="27"/>
  <c r="I19" i="31"/>
  <c r="E19" i="13"/>
  <c r="R19" i="29"/>
  <c r="L19" i="31"/>
  <c r="X19" i="31"/>
  <c r="O19" i="13"/>
  <c r="Z19" i="24"/>
  <c r="SB2" i="30"/>
  <c r="L19" i="27"/>
  <c r="K19" i="31"/>
  <c r="O19" i="27"/>
  <c r="U19" i="31"/>
  <c r="M19" i="27"/>
  <c r="M19" i="13"/>
  <c r="N19" i="27"/>
  <c r="B19" i="13"/>
  <c r="R19" i="24"/>
  <c r="H19" i="27"/>
  <c r="D19" i="13"/>
  <c r="W19" i="27"/>
  <c r="C19" i="13"/>
  <c r="M19" i="29"/>
  <c r="I19" i="24"/>
  <c r="F19" i="29"/>
  <c r="N19" i="24"/>
  <c r="QT2" i="32"/>
  <c r="G19" i="29"/>
  <c r="Y19" i="29"/>
  <c r="F19" i="27"/>
  <c r="T19" i="29"/>
  <c r="X19" i="29"/>
  <c r="S19" i="27"/>
  <c r="W19" i="29"/>
  <c r="I19" i="27"/>
  <c r="Q19" i="24"/>
  <c r="R19" i="31"/>
  <c r="V19" i="31"/>
  <c r="T19" i="27"/>
  <c r="T19" i="13"/>
  <c r="Q19" i="31"/>
  <c r="B19" i="31"/>
  <c r="QT2" i="26"/>
  <c r="E20" i="3" l="1"/>
  <c r="H20" i="3"/>
  <c r="F20" i="3"/>
  <c r="G20" i="3"/>
  <c r="SB1" i="32"/>
  <c r="SB1" i="28"/>
  <c r="SB1" i="26"/>
  <c r="F20" i="27"/>
  <c r="V20" i="24"/>
  <c r="M20" i="31"/>
  <c r="U20" i="27"/>
  <c r="O20" i="31"/>
  <c r="W20" i="27"/>
  <c r="L20" i="31"/>
  <c r="H20" i="24"/>
  <c r="N20" i="13"/>
  <c r="Y20" i="29"/>
  <c r="O20" i="24"/>
  <c r="P20" i="24"/>
  <c r="J20" i="29"/>
  <c r="Y20" i="27"/>
  <c r="W20" i="31"/>
  <c r="X20" i="29"/>
  <c r="N20" i="27"/>
  <c r="J20" i="13"/>
  <c r="Q20" i="31"/>
  <c r="I20" i="24"/>
  <c r="K20" i="31"/>
  <c r="K20" i="29"/>
  <c r="T20" i="31"/>
  <c r="P20" i="27"/>
  <c r="RK2" i="28"/>
  <c r="B20" i="27"/>
  <c r="AA20" i="29"/>
  <c r="U20" i="13"/>
  <c r="C20" i="13"/>
  <c r="X20" i="13"/>
  <c r="V20" i="29"/>
  <c r="AA20" i="24"/>
  <c r="S20" i="24"/>
  <c r="X20" i="24"/>
  <c r="SB2" i="28"/>
  <c r="G20" i="31"/>
  <c r="SB2" i="32"/>
  <c r="N20" i="29"/>
  <c r="F20" i="13"/>
  <c r="I20" i="27"/>
  <c r="Q20" i="24"/>
  <c r="C20" i="31"/>
  <c r="W20" i="24"/>
  <c r="P20" i="31"/>
  <c r="T20" i="13"/>
  <c r="I20" i="31"/>
  <c r="Y20" i="13"/>
  <c r="W20" i="13"/>
  <c r="SB2" i="26"/>
  <c r="R20" i="13"/>
  <c r="Z20" i="24"/>
  <c r="K20" i="24"/>
  <c r="D20" i="13"/>
  <c r="J20" i="27"/>
  <c r="V20" i="13"/>
  <c r="AA20" i="27"/>
  <c r="M20" i="24"/>
  <c r="O20" i="29"/>
  <c r="G20" i="24"/>
  <c r="D20" i="29"/>
  <c r="X20" i="27"/>
  <c r="R20" i="31"/>
  <c r="N20" i="24"/>
  <c r="Z20" i="29"/>
  <c r="G20" i="29"/>
  <c r="H20" i="31"/>
  <c r="RK2" i="32"/>
  <c r="E20" i="29"/>
  <c r="AA20" i="13"/>
  <c r="J20" i="24"/>
  <c r="Z20" i="31"/>
  <c r="Q20" i="29"/>
  <c r="Z20" i="13"/>
  <c r="C20" i="24"/>
  <c r="K20" i="13"/>
  <c r="T20" i="24"/>
  <c r="H20" i="13"/>
  <c r="Z20" i="27"/>
  <c r="S20" i="29"/>
  <c r="H20" i="29"/>
  <c r="F20" i="31"/>
  <c r="E20" i="31"/>
  <c r="I20" i="13"/>
  <c r="D20" i="31"/>
  <c r="B20" i="29"/>
  <c r="V20" i="27"/>
  <c r="Y20" i="31"/>
  <c r="M20" i="29"/>
  <c r="M20" i="13"/>
  <c r="S20" i="31"/>
  <c r="O20" i="13"/>
  <c r="L20" i="27"/>
  <c r="L20" i="13"/>
  <c r="N20" i="31"/>
  <c r="B20" i="24"/>
  <c r="I20" i="29"/>
  <c r="C20" i="29"/>
  <c r="T20" i="27"/>
  <c r="R20" i="29"/>
  <c r="Q20" i="27"/>
  <c r="T20" i="29"/>
  <c r="B20" i="31"/>
  <c r="F20" i="24"/>
  <c r="U20" i="31"/>
  <c r="E20" i="27"/>
  <c r="E20" i="13"/>
  <c r="S20" i="27"/>
  <c r="L20" i="29"/>
  <c r="X20" i="31"/>
  <c r="RK2" i="26"/>
  <c r="E20" i="24"/>
  <c r="C20" i="27"/>
  <c r="P20" i="29"/>
  <c r="F20" i="29"/>
  <c r="U20" i="29"/>
  <c r="O20" i="27"/>
  <c r="D20" i="27"/>
  <c r="J20" i="31"/>
  <c r="R20" i="24"/>
  <c r="AA20" i="31"/>
  <c r="Y20" i="24"/>
  <c r="Q20" i="13"/>
  <c r="G20" i="27"/>
  <c r="S20" i="13"/>
  <c r="L20" i="24"/>
  <c r="P20" i="13"/>
  <c r="R20" i="27"/>
  <c r="B20" i="13"/>
  <c r="U20" i="24"/>
  <c r="K20" i="27"/>
  <c r="H20" i="27"/>
  <c r="V20" i="31"/>
  <c r="M20" i="27"/>
  <c r="W20" i="29"/>
  <c r="D20" i="24"/>
  <c r="G20" i="13"/>
  <c r="H21" i="3" l="1"/>
  <c r="G21" i="3"/>
  <c r="F21" i="3"/>
  <c r="E21" i="3"/>
  <c r="Y21" i="31"/>
  <c r="AA21" i="24"/>
  <c r="AA21" i="13"/>
  <c r="H21" i="24"/>
  <c r="H21" i="13"/>
  <c r="C21" i="27"/>
  <c r="J21" i="29"/>
  <c r="V21" i="31"/>
  <c r="M21" i="31"/>
  <c r="Y21" i="13"/>
  <c r="L21" i="13"/>
  <c r="R21" i="31"/>
  <c r="I21" i="31"/>
  <c r="L21" i="31"/>
  <c r="S21" i="24"/>
  <c r="E21" i="31"/>
  <c r="I21" i="27"/>
  <c r="U21" i="13"/>
  <c r="T21" i="29"/>
  <c r="X21" i="13"/>
  <c r="O21" i="29"/>
  <c r="W21" i="13"/>
  <c r="B21" i="27"/>
  <c r="R21" i="13"/>
  <c r="Q21" i="24"/>
  <c r="L21" i="24"/>
  <c r="B21" i="24"/>
  <c r="O21" i="31"/>
  <c r="P21" i="27"/>
  <c r="D21" i="31"/>
  <c r="X21" i="29"/>
  <c r="Y21" i="29"/>
  <c r="AA21" i="31"/>
  <c r="Z21" i="13"/>
  <c r="T21" i="27"/>
  <c r="G21" i="31"/>
  <c r="C21" i="24"/>
  <c r="B21" i="31"/>
  <c r="N21" i="24"/>
  <c r="Q21" i="29"/>
  <c r="H21" i="31"/>
  <c r="G21" i="29"/>
  <c r="N21" i="27"/>
  <c r="Z21" i="29"/>
  <c r="D21" i="27"/>
  <c r="N21" i="31"/>
  <c r="U21" i="31"/>
  <c r="U21" i="27"/>
  <c r="E21" i="13"/>
  <c r="X21" i="31"/>
  <c r="K21" i="31"/>
  <c r="W21" i="29"/>
  <c r="J21" i="31"/>
  <c r="F21" i="24"/>
  <c r="I21" i="29"/>
  <c r="I21" i="13"/>
  <c r="P21" i="13"/>
  <c r="C21" i="13"/>
  <c r="Q21" i="31"/>
  <c r="P21" i="29"/>
  <c r="G21" i="24"/>
  <c r="S21" i="29"/>
  <c r="D21" i="24"/>
  <c r="J21" i="24"/>
  <c r="W21" i="27"/>
  <c r="Y21" i="27"/>
  <c r="E21" i="29"/>
  <c r="O21" i="27"/>
  <c r="AA21" i="27"/>
  <c r="E21" i="24"/>
  <c r="P21" i="31"/>
  <c r="D21" i="29"/>
  <c r="K21" i="29"/>
  <c r="W21" i="24"/>
  <c r="F21" i="27"/>
  <c r="N21" i="13"/>
  <c r="E21" i="27"/>
  <c r="L21" i="27"/>
  <c r="S21" i="27"/>
  <c r="V21" i="27"/>
  <c r="I21" i="24"/>
  <c r="T21" i="13"/>
  <c r="R21" i="24"/>
  <c r="U21" i="29"/>
  <c r="Z21" i="31"/>
  <c r="T21" i="31"/>
  <c r="T21" i="24"/>
  <c r="C21" i="31"/>
  <c r="F21" i="31"/>
  <c r="V21" i="29"/>
  <c r="F21" i="29"/>
  <c r="M21" i="27"/>
  <c r="Z21" i="27"/>
  <c r="Y21" i="24"/>
  <c r="H21" i="27"/>
  <c r="P21" i="24"/>
  <c r="G21" i="27"/>
  <c r="O21" i="13"/>
  <c r="J21" i="27"/>
  <c r="F21" i="13"/>
  <c r="M21" i="24"/>
  <c r="X21" i="27"/>
  <c r="G21" i="13"/>
  <c r="B21" i="13"/>
  <c r="Q21" i="13"/>
  <c r="O21" i="24"/>
  <c r="J21" i="13"/>
  <c r="M21" i="29"/>
  <c r="Z21" i="24"/>
  <c r="L21" i="29"/>
  <c r="X21" i="24"/>
  <c r="C21" i="29"/>
  <c r="S21" i="13"/>
  <c r="B21" i="29"/>
  <c r="V21" i="13"/>
  <c r="AA21" i="29"/>
  <c r="H21" i="29"/>
  <c r="W21" i="31"/>
  <c r="R21" i="29"/>
  <c r="Q21" i="27"/>
  <c r="D21" i="13"/>
  <c r="R21" i="27"/>
  <c r="M21" i="13"/>
  <c r="K21" i="27"/>
  <c r="K21" i="24"/>
  <c r="U21" i="24"/>
  <c r="V21" i="24"/>
  <c r="N21" i="29"/>
  <c r="S21" i="31"/>
  <c r="K21" i="13"/>
  <c r="E22" i="3" l="1"/>
  <c r="G22" i="3"/>
  <c r="F22" i="3"/>
  <c r="H22" i="3"/>
  <c r="J22" i="31"/>
  <c r="V22" i="31"/>
  <c r="H22" i="31"/>
  <c r="X22" i="27"/>
  <c r="S22" i="29"/>
  <c r="O22" i="24"/>
  <c r="M22" i="29"/>
  <c r="I22" i="24"/>
  <c r="N22" i="27"/>
  <c r="V22" i="29"/>
  <c r="T22" i="29"/>
  <c r="T22" i="24"/>
  <c r="O22" i="31"/>
  <c r="S22" i="24"/>
  <c r="U22" i="29"/>
  <c r="E22" i="24"/>
  <c r="R22" i="29"/>
  <c r="J22" i="13"/>
  <c r="D22" i="29"/>
  <c r="P22" i="13"/>
  <c r="W22" i="31"/>
  <c r="M22" i="31"/>
  <c r="E22" i="27"/>
  <c r="M22" i="13"/>
  <c r="N22" i="29"/>
  <c r="R22" i="24"/>
  <c r="H22" i="27"/>
  <c r="G22" i="29"/>
  <c r="Y22" i="29"/>
  <c r="U22" i="24"/>
  <c r="I22" i="13"/>
  <c r="F22" i="27"/>
  <c r="V22" i="24"/>
  <c r="L22" i="29"/>
  <c r="X22" i="13"/>
  <c r="C22" i="29"/>
  <c r="C22" i="13"/>
  <c r="Y22" i="31"/>
  <c r="U22" i="13"/>
  <c r="R22" i="31"/>
  <c r="V22" i="13"/>
  <c r="T22" i="27"/>
  <c r="D22" i="13"/>
  <c r="K22" i="29"/>
  <c r="K22" i="13"/>
  <c r="AA22" i="29"/>
  <c r="AA22" i="13"/>
  <c r="B22" i="27"/>
  <c r="R22" i="13"/>
  <c r="X22" i="29"/>
  <c r="G22" i="31"/>
  <c r="G22" i="24"/>
  <c r="Z22" i="31"/>
  <c r="Q22" i="29"/>
  <c r="E22" i="13"/>
  <c r="F22" i="29"/>
  <c r="J22" i="24"/>
  <c r="P22" i="31"/>
  <c r="T22" i="13"/>
  <c r="C22" i="24"/>
  <c r="S22" i="13"/>
  <c r="E22" i="29"/>
  <c r="M22" i="24"/>
  <c r="AA22" i="24"/>
  <c r="I22" i="31"/>
  <c r="F22" i="13"/>
  <c r="C22" i="31"/>
  <c r="M22" i="27"/>
  <c r="V22" i="27"/>
  <c r="B22" i="13"/>
  <c r="P22" i="27"/>
  <c r="H22" i="13"/>
  <c r="G22" i="27"/>
  <c r="G22" i="13"/>
  <c r="U22" i="27"/>
  <c r="Y22" i="13"/>
  <c r="J22" i="27"/>
  <c r="N22" i="13"/>
  <c r="L22" i="27"/>
  <c r="L22" i="13"/>
  <c r="C22" i="27"/>
  <c r="E22" i="31"/>
  <c r="Y22" i="24"/>
  <c r="N22" i="31"/>
  <c r="R22" i="27"/>
  <c r="P22" i="29"/>
  <c r="D22" i="24"/>
  <c r="O22" i="27"/>
  <c r="W22" i="24"/>
  <c r="I22" i="29"/>
  <c r="Q22" i="27"/>
  <c r="B22" i="24"/>
  <c r="X22" i="31"/>
  <c r="U22" i="31"/>
  <c r="F22" i="24"/>
  <c r="D22" i="31"/>
  <c r="D22" i="27"/>
  <c r="K22" i="31"/>
  <c r="K22" i="27"/>
  <c r="AA22" i="31"/>
  <c r="Y22" i="27"/>
  <c r="F22" i="31"/>
  <c r="B22" i="29"/>
  <c r="L22" i="31"/>
  <c r="P22" i="24"/>
  <c r="S22" i="31"/>
  <c r="W22" i="29"/>
  <c r="Z22" i="29"/>
  <c r="Z22" i="27"/>
  <c r="J22" i="29"/>
  <c r="N22" i="24"/>
  <c r="H22" i="29"/>
  <c r="H22" i="24"/>
  <c r="K22" i="24"/>
  <c r="W22" i="13"/>
  <c r="AA22" i="27"/>
  <c r="Q22" i="24"/>
  <c r="Q22" i="13"/>
  <c r="B22" i="31"/>
  <c r="T22" i="31"/>
  <c r="L22" i="24"/>
  <c r="O22" i="29"/>
  <c r="W22" i="27"/>
  <c r="Q22" i="31"/>
  <c r="Z22" i="24"/>
  <c r="Z22" i="13"/>
  <c r="X22" i="24"/>
  <c r="O22" i="13"/>
  <c r="I22" i="27"/>
  <c r="S22" i="27"/>
  <c r="G23" i="3" l="1"/>
  <c r="F23" i="3"/>
  <c r="H23" i="3"/>
  <c r="E23" i="3"/>
  <c r="D23" i="31"/>
  <c r="X23" i="29"/>
  <c r="G23" i="31"/>
  <c r="K23" i="24"/>
  <c r="U23" i="31"/>
  <c r="Z23" i="29"/>
  <c r="I23" i="13"/>
  <c r="F23" i="27"/>
  <c r="V23" i="27"/>
  <c r="L23" i="27"/>
  <c r="H23" i="13"/>
  <c r="K23" i="27"/>
  <c r="S23" i="13"/>
  <c r="I23" i="27"/>
  <c r="Z23" i="24"/>
  <c r="J23" i="31"/>
  <c r="T23" i="27"/>
  <c r="X23" i="13"/>
  <c r="C23" i="27"/>
  <c r="Y23" i="31"/>
  <c r="Z23" i="27"/>
  <c r="Q23" i="13"/>
  <c r="N23" i="29"/>
  <c r="V23" i="13"/>
  <c r="L23" i="29"/>
  <c r="H23" i="24"/>
  <c r="S23" i="27"/>
  <c r="AA23" i="27"/>
  <c r="J23" i="27"/>
  <c r="F23" i="29"/>
  <c r="Z23" i="13"/>
  <c r="T23" i="29"/>
  <c r="X23" i="24"/>
  <c r="K23" i="31"/>
  <c r="O23" i="13"/>
  <c r="Q23" i="29"/>
  <c r="M23" i="24"/>
  <c r="F23" i="31"/>
  <c r="N23" i="24"/>
  <c r="L23" i="31"/>
  <c r="D23" i="27"/>
  <c r="G23" i="29"/>
  <c r="O23" i="24"/>
  <c r="Q23" i="31"/>
  <c r="I23" i="24"/>
  <c r="Y23" i="13"/>
  <c r="T23" i="31"/>
  <c r="D23" i="24"/>
  <c r="O23" i="31"/>
  <c r="W23" i="27"/>
  <c r="I23" i="31"/>
  <c r="I23" i="29"/>
  <c r="AA23" i="13"/>
  <c r="V23" i="29"/>
  <c r="V23" i="31"/>
  <c r="H23" i="29"/>
  <c r="L23" i="13"/>
  <c r="W23" i="31"/>
  <c r="E23" i="31"/>
  <c r="E23" i="29"/>
  <c r="U23" i="13"/>
  <c r="N23" i="27"/>
  <c r="F23" i="13"/>
  <c r="J23" i="13"/>
  <c r="N23" i="13"/>
  <c r="S23" i="31"/>
  <c r="AA23" i="31"/>
  <c r="R23" i="24"/>
  <c r="P23" i="24"/>
  <c r="T23" i="13"/>
  <c r="K23" i="29"/>
  <c r="K23" i="13"/>
  <c r="Y23" i="29"/>
  <c r="E23" i="24"/>
  <c r="B23" i="31"/>
  <c r="B23" i="13"/>
  <c r="H23" i="27"/>
  <c r="X23" i="27"/>
  <c r="O23" i="29"/>
  <c r="S23" i="24"/>
  <c r="Z23" i="31"/>
  <c r="M23" i="27"/>
  <c r="E23" i="13"/>
  <c r="H23" i="31"/>
  <c r="L23" i="24"/>
  <c r="C23" i="29"/>
  <c r="C23" i="24"/>
  <c r="U23" i="29"/>
  <c r="U23" i="24"/>
  <c r="R23" i="31"/>
  <c r="B23" i="24"/>
  <c r="D23" i="29"/>
  <c r="G23" i="24"/>
  <c r="B23" i="27"/>
  <c r="T23" i="24"/>
  <c r="C23" i="31"/>
  <c r="W23" i="29"/>
  <c r="AA23" i="29"/>
  <c r="M23" i="29"/>
  <c r="M23" i="13"/>
  <c r="R23" i="27"/>
  <c r="N23" i="31"/>
  <c r="P23" i="29"/>
  <c r="D23" i="13"/>
  <c r="S23" i="29"/>
  <c r="W23" i="13"/>
  <c r="M23" i="31"/>
  <c r="Y23" i="24"/>
  <c r="R23" i="29"/>
  <c r="P23" i="27"/>
  <c r="P23" i="13"/>
  <c r="O23" i="27"/>
  <c r="G23" i="13"/>
  <c r="U23" i="27"/>
  <c r="Q23" i="24"/>
  <c r="J23" i="29"/>
  <c r="F23" i="24"/>
  <c r="P23" i="31"/>
  <c r="X23" i="31"/>
  <c r="G23" i="27"/>
  <c r="W23" i="24"/>
  <c r="Q23" i="27"/>
  <c r="E23" i="27"/>
  <c r="B23" i="29"/>
  <c r="J23" i="24"/>
  <c r="R23" i="13"/>
  <c r="C23" i="13"/>
  <c r="AA23" i="24"/>
  <c r="V23" i="24"/>
  <c r="Y23" i="27"/>
  <c r="E24" i="3" l="1"/>
  <c r="F24" i="3"/>
  <c r="H24" i="3"/>
  <c r="G24" i="3"/>
  <c r="F24" i="29"/>
  <c r="N24" i="27"/>
  <c r="G24" i="31"/>
  <c r="O24" i="24"/>
  <c r="I24" i="29"/>
  <c r="Q24" i="24"/>
  <c r="E24" i="13"/>
  <c r="T24" i="29"/>
  <c r="J24" i="31"/>
  <c r="R24" i="31"/>
  <c r="O24" i="31"/>
  <c r="K24" i="24"/>
  <c r="M24" i="31"/>
  <c r="AA24" i="24"/>
  <c r="Y24" i="13"/>
  <c r="D24" i="27"/>
  <c r="B24" i="29"/>
  <c r="N24" i="24"/>
  <c r="C24" i="27"/>
  <c r="W24" i="31"/>
  <c r="M24" i="29"/>
  <c r="M24" i="24"/>
  <c r="P24" i="31"/>
  <c r="X24" i="27"/>
  <c r="T24" i="13"/>
  <c r="J24" i="24"/>
  <c r="C24" i="31"/>
  <c r="E24" i="31"/>
  <c r="U24" i="13"/>
  <c r="R24" i="29"/>
  <c r="V24" i="24"/>
  <c r="C24" i="29"/>
  <c r="W24" i="13"/>
  <c r="Y24" i="29"/>
  <c r="AA24" i="31"/>
  <c r="D24" i="31"/>
  <c r="X24" i="29"/>
  <c r="B24" i="27"/>
  <c r="B24" i="13"/>
  <c r="S24" i="27"/>
  <c r="K24" i="13"/>
  <c r="Z24" i="27"/>
  <c r="Q24" i="29"/>
  <c r="H24" i="31"/>
  <c r="H24" i="24"/>
  <c r="F24" i="27"/>
  <c r="F24" i="13"/>
  <c r="G24" i="29"/>
  <c r="G24" i="13"/>
  <c r="M24" i="27"/>
  <c r="I24" i="24"/>
  <c r="H24" i="29"/>
  <c r="D24" i="24"/>
  <c r="N24" i="31"/>
  <c r="N24" i="29"/>
  <c r="S24" i="29"/>
  <c r="W24" i="24"/>
  <c r="E24" i="29"/>
  <c r="I24" i="27"/>
  <c r="L24" i="31"/>
  <c r="P24" i="24"/>
  <c r="X24" i="13"/>
  <c r="L24" i="27"/>
  <c r="V24" i="29"/>
  <c r="R24" i="13"/>
  <c r="O24" i="27"/>
  <c r="S24" i="13"/>
  <c r="U24" i="27"/>
  <c r="U24" i="24"/>
  <c r="P24" i="29"/>
  <c r="D24" i="13"/>
  <c r="R24" i="24"/>
  <c r="N24" i="13"/>
  <c r="C24" i="24"/>
  <c r="C24" i="13"/>
  <c r="E24" i="27"/>
  <c r="E24" i="24"/>
  <c r="P24" i="27"/>
  <c r="X24" i="31"/>
  <c r="V24" i="27"/>
  <c r="J24" i="13"/>
  <c r="K24" i="27"/>
  <c r="Q24" i="31"/>
  <c r="Y24" i="27"/>
  <c r="M24" i="13"/>
  <c r="H24" i="27"/>
  <c r="P24" i="13"/>
  <c r="J24" i="29"/>
  <c r="F24" i="24"/>
  <c r="O24" i="29"/>
  <c r="O24" i="13"/>
  <c r="AA24" i="29"/>
  <c r="Z24" i="24"/>
  <c r="L24" i="29"/>
  <c r="X24" i="24"/>
  <c r="L24" i="24"/>
  <c r="R24" i="27"/>
  <c r="K24" i="29"/>
  <c r="G24" i="24"/>
  <c r="Y24" i="31"/>
  <c r="AA24" i="27"/>
  <c r="I24" i="13"/>
  <c r="D24" i="29"/>
  <c r="B24" i="31"/>
  <c r="V24" i="31"/>
  <c r="K24" i="31"/>
  <c r="G24" i="27"/>
  <c r="I24" i="31"/>
  <c r="U24" i="31"/>
  <c r="Z24" i="13"/>
  <c r="T24" i="24"/>
  <c r="F24" i="31"/>
  <c r="B24" i="24"/>
  <c r="S24" i="31"/>
  <c r="W24" i="27"/>
  <c r="Z24" i="29"/>
  <c r="Q24" i="27"/>
  <c r="Q24" i="13"/>
  <c r="T24" i="27"/>
  <c r="L24" i="13"/>
  <c r="J24" i="27"/>
  <c r="V24" i="13"/>
  <c r="W24" i="29"/>
  <c r="Z24" i="31"/>
  <c r="U24" i="29"/>
  <c r="AA24" i="13"/>
  <c r="T24" i="31"/>
  <c r="H24" i="13"/>
  <c r="S24" i="24"/>
  <c r="Y24" i="24"/>
  <c r="G25" i="3" l="1"/>
  <c r="F25" i="3"/>
  <c r="H25" i="3"/>
  <c r="E25" i="3"/>
  <c r="T25" i="29"/>
  <c r="H25" i="24"/>
  <c r="O25" i="31"/>
  <c r="O25" i="24"/>
  <c r="U25" i="31"/>
  <c r="U25" i="24"/>
  <c r="Q25" i="13"/>
  <c r="F25" i="24"/>
  <c r="N25" i="13"/>
  <c r="D25" i="24"/>
  <c r="U25" i="29"/>
  <c r="R25" i="24"/>
  <c r="H25" i="29"/>
  <c r="T25" i="13"/>
  <c r="S25" i="27"/>
  <c r="S25" i="13"/>
  <c r="Q25" i="31"/>
  <c r="I25" i="24"/>
  <c r="J25" i="31"/>
  <c r="K25" i="29"/>
  <c r="Q25" i="24"/>
  <c r="L25" i="31"/>
  <c r="X25" i="27"/>
  <c r="C25" i="31"/>
  <c r="W25" i="29"/>
  <c r="Z25" i="31"/>
  <c r="Y25" i="27"/>
  <c r="U25" i="13"/>
  <c r="F25" i="27"/>
  <c r="H25" i="31"/>
  <c r="L25" i="24"/>
  <c r="E25" i="31"/>
  <c r="R25" i="29"/>
  <c r="L25" i="13"/>
  <c r="C25" i="13"/>
  <c r="N25" i="31"/>
  <c r="O25" i="29"/>
  <c r="X25" i="29"/>
  <c r="AA25" i="31"/>
  <c r="N25" i="24"/>
  <c r="P25" i="29"/>
  <c r="W25" i="13"/>
  <c r="F25" i="29"/>
  <c r="K25" i="27"/>
  <c r="L25" i="29"/>
  <c r="X25" i="24"/>
  <c r="K25" i="31"/>
  <c r="K25" i="13"/>
  <c r="AA25" i="27"/>
  <c r="I25" i="27"/>
  <c r="F25" i="31"/>
  <c r="V25" i="27"/>
  <c r="J25" i="29"/>
  <c r="S25" i="31"/>
  <c r="Q25" i="27"/>
  <c r="D25" i="31"/>
  <c r="P25" i="27"/>
  <c r="S25" i="29"/>
  <c r="S25" i="24"/>
  <c r="I25" i="31"/>
  <c r="AA25" i="24"/>
  <c r="AA25" i="13"/>
  <c r="N25" i="27"/>
  <c r="W25" i="24"/>
  <c r="R25" i="31"/>
  <c r="D25" i="29"/>
  <c r="T25" i="24"/>
  <c r="C25" i="27"/>
  <c r="C25" i="24"/>
  <c r="E25" i="29"/>
  <c r="Z25" i="24"/>
  <c r="N25" i="29"/>
  <c r="J25" i="24"/>
  <c r="P25" i="31"/>
  <c r="D25" i="13"/>
  <c r="Y25" i="29"/>
  <c r="V25" i="24"/>
  <c r="W25" i="27"/>
  <c r="Y25" i="24"/>
  <c r="B25" i="27"/>
  <c r="T25" i="31"/>
  <c r="G25" i="24"/>
  <c r="Z25" i="13"/>
  <c r="V25" i="29"/>
  <c r="C25" i="29"/>
  <c r="M25" i="24"/>
  <c r="D25" i="27"/>
  <c r="T25" i="27"/>
  <c r="G25" i="31"/>
  <c r="K25" i="24"/>
  <c r="M25" i="31"/>
  <c r="U25" i="27"/>
  <c r="E25" i="13"/>
  <c r="R25" i="27"/>
  <c r="B25" i="13"/>
  <c r="R25" i="13"/>
  <c r="G25" i="13"/>
  <c r="J25" i="27"/>
  <c r="L25" i="27"/>
  <c r="H25" i="13"/>
  <c r="G25" i="29"/>
  <c r="O25" i="13"/>
  <c r="M25" i="27"/>
  <c r="Q25" i="29"/>
  <c r="B25" i="31"/>
  <c r="J25" i="13"/>
  <c r="I25" i="29"/>
  <c r="V25" i="13"/>
  <c r="P25" i="24"/>
  <c r="P25" i="13"/>
  <c r="G25" i="27"/>
  <c r="Y25" i="31"/>
  <c r="Z25" i="27"/>
  <c r="I25" i="13"/>
  <c r="B25" i="29"/>
  <c r="F25" i="13"/>
  <c r="X25" i="31"/>
  <c r="W25" i="31"/>
  <c r="M25" i="13"/>
  <c r="H25" i="27"/>
  <c r="E25" i="27"/>
  <c r="B25" i="24"/>
  <c r="Y25" i="13"/>
  <c r="O25" i="27"/>
  <c r="AA25" i="29"/>
  <c r="M25" i="29"/>
  <c r="X25" i="13"/>
  <c r="Z25" i="29"/>
  <c r="V25" i="31"/>
  <c r="E25" i="24"/>
  <c r="H26" i="3" l="1"/>
  <c r="E26" i="3"/>
  <c r="F26" i="3"/>
  <c r="G26" i="3"/>
  <c r="Q26" i="29"/>
  <c r="E26" i="29"/>
  <c r="U26" i="13"/>
  <c r="B26" i="27"/>
  <c r="F26" i="13"/>
  <c r="O26" i="24"/>
  <c r="L26" i="31"/>
  <c r="L26" i="27"/>
  <c r="AA26" i="13"/>
  <c r="G26" i="29"/>
  <c r="Q26" i="31"/>
  <c r="Z26" i="29"/>
  <c r="M26" i="13"/>
  <c r="N26" i="27"/>
  <c r="K26" i="31"/>
  <c r="C26" i="29"/>
  <c r="H26" i="31"/>
  <c r="L26" i="29"/>
  <c r="I26" i="31"/>
  <c r="R26" i="29"/>
  <c r="W26" i="27"/>
  <c r="AA26" i="29"/>
  <c r="Y26" i="24"/>
  <c r="I26" i="13"/>
  <c r="R26" i="27"/>
  <c r="V26" i="13"/>
  <c r="S26" i="27"/>
  <c r="I26" i="29"/>
  <c r="E26" i="27"/>
  <c r="Z26" i="13"/>
  <c r="B26" i="24"/>
  <c r="O26" i="31"/>
  <c r="G26" i="24"/>
  <c r="H26" i="27"/>
  <c r="H26" i="29"/>
  <c r="Y26" i="27"/>
  <c r="V26" i="31"/>
  <c r="L26" i="24"/>
  <c r="S26" i="13"/>
  <c r="Y26" i="13"/>
  <c r="C26" i="13"/>
  <c r="Q26" i="13"/>
  <c r="I26" i="27"/>
  <c r="Z26" i="24"/>
  <c r="B26" i="29"/>
  <c r="V26" i="27"/>
  <c r="K26" i="29"/>
  <c r="W26" i="24"/>
  <c r="P26" i="29"/>
  <c r="T26" i="13"/>
  <c r="F26" i="24"/>
  <c r="D26" i="27"/>
  <c r="Q26" i="27"/>
  <c r="U26" i="24"/>
  <c r="F26" i="31"/>
  <c r="V26" i="24"/>
  <c r="C26" i="31"/>
  <c r="O26" i="13"/>
  <c r="T26" i="29"/>
  <c r="P26" i="13"/>
  <c r="M26" i="27"/>
  <c r="B26" i="13"/>
  <c r="P26" i="27"/>
  <c r="M26" i="31"/>
  <c r="Y26" i="31"/>
  <c r="N26" i="31"/>
  <c r="F26" i="27"/>
  <c r="S26" i="31"/>
  <c r="G26" i="27"/>
  <c r="P26" i="31"/>
  <c r="D26" i="24"/>
  <c r="M26" i="29"/>
  <c r="B26" i="31"/>
  <c r="S26" i="24"/>
  <c r="J26" i="13"/>
  <c r="P26" i="24"/>
  <c r="J26" i="31"/>
  <c r="C26" i="24"/>
  <c r="AA26" i="27"/>
  <c r="E26" i="31"/>
  <c r="J26" i="24"/>
  <c r="K26" i="27"/>
  <c r="AA26" i="31"/>
  <c r="L26" i="13"/>
  <c r="Z26" i="27"/>
  <c r="E26" i="24"/>
  <c r="N26" i="29"/>
  <c r="R26" i="24"/>
  <c r="K26" i="24"/>
  <c r="G26" i="13"/>
  <c r="X26" i="31"/>
  <c r="D26" i="13"/>
  <c r="G26" i="31"/>
  <c r="U26" i="31"/>
  <c r="Z26" i="31"/>
  <c r="E26" i="13"/>
  <c r="J26" i="27"/>
  <c r="N26" i="13"/>
  <c r="W26" i="31"/>
  <c r="W26" i="13"/>
  <c r="X26" i="27"/>
  <c r="X26" i="13"/>
  <c r="I26" i="24"/>
  <c r="O26" i="29"/>
  <c r="X26" i="24"/>
  <c r="Y26" i="29"/>
  <c r="Q26" i="24"/>
  <c r="R26" i="31"/>
  <c r="N26" i="24"/>
  <c r="S26" i="29"/>
  <c r="W26" i="29"/>
  <c r="D26" i="29"/>
  <c r="H26" i="24"/>
  <c r="U26" i="29"/>
  <c r="F26" i="29"/>
  <c r="T26" i="31"/>
  <c r="K26" i="13"/>
  <c r="T26" i="27"/>
  <c r="H26" i="13"/>
  <c r="AA26" i="24"/>
  <c r="T26" i="24"/>
  <c r="J26" i="29"/>
  <c r="M26" i="24"/>
  <c r="C26" i="27"/>
  <c r="D26" i="31"/>
  <c r="V26" i="29"/>
  <c r="U26" i="27"/>
  <c r="R26" i="13"/>
  <c r="X26" i="29"/>
  <c r="O26" i="27"/>
  <c r="E27" i="3" l="1"/>
  <c r="G27" i="3"/>
  <c r="F27" i="3"/>
  <c r="H27" i="3"/>
  <c r="N27" i="31"/>
  <c r="N27" i="24"/>
  <c r="T27" i="29"/>
  <c r="T27" i="24"/>
  <c r="C27" i="31"/>
  <c r="W27" i="27"/>
  <c r="Z27" i="29"/>
  <c r="Q27" i="31"/>
  <c r="E27" i="13"/>
  <c r="Q27" i="29"/>
  <c r="F27" i="31"/>
  <c r="J27" i="24"/>
  <c r="L27" i="29"/>
  <c r="L27" i="24"/>
  <c r="O27" i="29"/>
  <c r="G27" i="24"/>
  <c r="U27" i="27"/>
  <c r="U27" i="24"/>
  <c r="N27" i="27"/>
  <c r="H27" i="24"/>
  <c r="G27" i="13"/>
  <c r="I27" i="13"/>
  <c r="B27" i="27"/>
  <c r="J27" i="13"/>
  <c r="T27" i="27"/>
  <c r="S27" i="29"/>
  <c r="C27" i="24"/>
  <c r="I27" i="31"/>
  <c r="I27" i="24"/>
  <c r="F27" i="24"/>
  <c r="B27" i="29"/>
  <c r="V27" i="24"/>
  <c r="D27" i="27"/>
  <c r="L27" i="13"/>
  <c r="S27" i="27"/>
  <c r="O27" i="13"/>
  <c r="I27" i="29"/>
  <c r="Y27" i="24"/>
  <c r="D27" i="13"/>
  <c r="AA27" i="27"/>
  <c r="J27" i="29"/>
  <c r="R27" i="13"/>
  <c r="H27" i="29"/>
  <c r="P27" i="13"/>
  <c r="G27" i="29"/>
  <c r="C27" i="13"/>
  <c r="Z27" i="27"/>
  <c r="AA27" i="24"/>
  <c r="V27" i="29"/>
  <c r="X27" i="24"/>
  <c r="Y27" i="31"/>
  <c r="J27" i="31"/>
  <c r="B27" i="24"/>
  <c r="D27" i="31"/>
  <c r="P27" i="27"/>
  <c r="K27" i="29"/>
  <c r="W27" i="24"/>
  <c r="U27" i="29"/>
  <c r="Z27" i="31"/>
  <c r="R27" i="31"/>
  <c r="T27" i="31"/>
  <c r="K27" i="27"/>
  <c r="Y27" i="29"/>
  <c r="AA27" i="31"/>
  <c r="E27" i="27"/>
  <c r="F27" i="27"/>
  <c r="F27" i="13"/>
  <c r="X27" i="31"/>
  <c r="T27" i="13"/>
  <c r="O27" i="27"/>
  <c r="K27" i="13"/>
  <c r="M27" i="27"/>
  <c r="M27" i="24"/>
  <c r="W27" i="29"/>
  <c r="Z27" i="13"/>
  <c r="V27" i="31"/>
  <c r="B27" i="13"/>
  <c r="P27" i="24"/>
  <c r="X27" i="13"/>
  <c r="G27" i="27"/>
  <c r="M27" i="31"/>
  <c r="Q27" i="24"/>
  <c r="U27" i="13"/>
  <c r="N27" i="13"/>
  <c r="C27" i="29"/>
  <c r="I27" i="27"/>
  <c r="B27" i="31"/>
  <c r="V27" i="27"/>
  <c r="P27" i="29"/>
  <c r="X27" i="27"/>
  <c r="S27" i="31"/>
  <c r="W27" i="13"/>
  <c r="Y27" i="27"/>
  <c r="E27" i="24"/>
  <c r="R27" i="29"/>
  <c r="L27" i="31"/>
  <c r="K27" i="24"/>
  <c r="H27" i="13"/>
  <c r="U27" i="31"/>
  <c r="M27" i="13"/>
  <c r="D27" i="24"/>
  <c r="G27" i="31"/>
  <c r="R27" i="27"/>
  <c r="P27" i="31"/>
  <c r="X27" i="29"/>
  <c r="O27" i="31"/>
  <c r="S27" i="24"/>
  <c r="E27" i="31"/>
  <c r="M27" i="29"/>
  <c r="AA27" i="13"/>
  <c r="S27" i="13"/>
  <c r="F27" i="29"/>
  <c r="J27" i="27"/>
  <c r="H27" i="31"/>
  <c r="D27" i="29"/>
  <c r="K27" i="31"/>
  <c r="C27" i="27"/>
  <c r="E27" i="29"/>
  <c r="AA27" i="29"/>
  <c r="Q27" i="13"/>
  <c r="L27" i="27"/>
  <c r="O27" i="24"/>
  <c r="Z27" i="24"/>
  <c r="N27" i="29"/>
  <c r="V27" i="13"/>
  <c r="H27" i="27"/>
  <c r="W27" i="31"/>
  <c r="Q27" i="27"/>
  <c r="R27" i="24"/>
  <c r="Y27" i="13"/>
  <c r="G28" i="3" l="1"/>
  <c r="F28" i="3"/>
  <c r="H28" i="3"/>
  <c r="E28" i="3"/>
  <c r="P28" i="29"/>
  <c r="X28" i="29"/>
  <c r="G28" i="31"/>
  <c r="O28" i="24"/>
  <c r="M28" i="29"/>
  <c r="Z28" i="24"/>
  <c r="I28" i="13"/>
  <c r="F28" i="27"/>
  <c r="R28" i="13"/>
  <c r="H28" i="24"/>
  <c r="T28" i="24"/>
  <c r="H28" i="13"/>
  <c r="S28" i="27"/>
  <c r="S28" i="13"/>
  <c r="Y28" i="29"/>
  <c r="Q28" i="24"/>
  <c r="N28" i="29"/>
  <c r="P28" i="13"/>
  <c r="E28" i="31"/>
  <c r="Z28" i="13"/>
  <c r="T28" i="31"/>
  <c r="H28" i="27"/>
  <c r="O28" i="29"/>
  <c r="W28" i="27"/>
  <c r="Z28" i="29"/>
  <c r="Z28" i="27"/>
  <c r="AA28" i="13"/>
  <c r="V28" i="31"/>
  <c r="L28" i="29"/>
  <c r="X28" i="27"/>
  <c r="K28" i="13"/>
  <c r="AA28" i="24"/>
  <c r="J28" i="24"/>
  <c r="S28" i="31"/>
  <c r="U28" i="13"/>
  <c r="H28" i="29"/>
  <c r="X28" i="24"/>
  <c r="O28" i="31"/>
  <c r="W28" i="13"/>
  <c r="Y28" i="27"/>
  <c r="E28" i="27"/>
  <c r="B28" i="31"/>
  <c r="N28" i="27"/>
  <c r="B28" i="29"/>
  <c r="H28" i="31"/>
  <c r="X28" i="31"/>
  <c r="K28" i="31"/>
  <c r="W28" i="29"/>
  <c r="AA28" i="31"/>
  <c r="E28" i="24"/>
  <c r="M28" i="13"/>
  <c r="R28" i="29"/>
  <c r="G28" i="27"/>
  <c r="E28" i="29"/>
  <c r="F28" i="31"/>
  <c r="D28" i="31"/>
  <c r="P28" i="24"/>
  <c r="G28" i="29"/>
  <c r="G28" i="24"/>
  <c r="I28" i="27"/>
  <c r="I28" i="24"/>
  <c r="J28" i="29"/>
  <c r="B28" i="24"/>
  <c r="D28" i="27"/>
  <c r="U28" i="31"/>
  <c r="J28" i="13"/>
  <c r="P28" i="27"/>
  <c r="X28" i="13"/>
  <c r="C28" i="24"/>
  <c r="C28" i="13"/>
  <c r="Q28" i="27"/>
  <c r="Y28" i="24"/>
  <c r="R28" i="31"/>
  <c r="V28" i="27"/>
  <c r="F28" i="24"/>
  <c r="P28" i="31"/>
  <c r="D28" i="24"/>
  <c r="K28" i="29"/>
  <c r="W28" i="31"/>
  <c r="AA28" i="29"/>
  <c r="U28" i="27"/>
  <c r="Y28" i="13"/>
  <c r="V28" i="29"/>
  <c r="O28" i="27"/>
  <c r="I28" i="31"/>
  <c r="B28" i="27"/>
  <c r="D28" i="29"/>
  <c r="L28" i="13"/>
  <c r="K28" i="27"/>
  <c r="O28" i="13"/>
  <c r="I28" i="29"/>
  <c r="M28" i="24"/>
  <c r="J28" i="27"/>
  <c r="N28" i="24"/>
  <c r="T28" i="27"/>
  <c r="K28" i="24"/>
  <c r="AA28" i="27"/>
  <c r="J28" i="31"/>
  <c r="T28" i="29"/>
  <c r="C28" i="31"/>
  <c r="C28" i="29"/>
  <c r="Q28" i="31"/>
  <c r="Y28" i="31"/>
  <c r="Q28" i="13"/>
  <c r="R28" i="27"/>
  <c r="F28" i="13"/>
  <c r="B28" i="13"/>
  <c r="L28" i="31"/>
  <c r="T28" i="13"/>
  <c r="S28" i="29"/>
  <c r="G28" i="13"/>
  <c r="Z28" i="31"/>
  <c r="U28" i="24"/>
  <c r="N28" i="31"/>
  <c r="V28" i="13"/>
  <c r="W28" i="24"/>
  <c r="M28" i="27"/>
  <c r="V28" i="24"/>
  <c r="L28" i="24"/>
  <c r="D28" i="13"/>
  <c r="C28" i="27"/>
  <c r="M28" i="31"/>
  <c r="Q28" i="29"/>
  <c r="E28" i="13"/>
  <c r="R28" i="24"/>
  <c r="N28" i="13"/>
  <c r="L28" i="27"/>
  <c r="S28" i="24"/>
  <c r="U28" i="29"/>
  <c r="F28" i="29"/>
  <c r="F29" i="3" l="1"/>
  <c r="H29" i="3"/>
  <c r="E29" i="3"/>
  <c r="G29" i="3"/>
  <c r="K29" i="31"/>
  <c r="S29" i="24"/>
  <c r="Q29" i="31"/>
  <c r="Y29" i="27"/>
  <c r="E29" i="13"/>
  <c r="J29" i="27"/>
  <c r="H29" i="29"/>
  <c r="X29" i="27"/>
  <c r="C29" i="24"/>
  <c r="J29" i="29"/>
  <c r="H29" i="13"/>
  <c r="K29" i="29"/>
  <c r="C29" i="13"/>
  <c r="M29" i="29"/>
  <c r="M29" i="24"/>
  <c r="F29" i="31"/>
  <c r="R29" i="24"/>
  <c r="P29" i="27"/>
  <c r="H29" i="24"/>
  <c r="X29" i="31"/>
  <c r="S29" i="13"/>
  <c r="B29" i="31"/>
  <c r="X29" i="24"/>
  <c r="S29" i="27"/>
  <c r="K29" i="13"/>
  <c r="Z29" i="27"/>
  <c r="U29" i="24"/>
  <c r="R29" i="29"/>
  <c r="B29" i="24"/>
  <c r="H29" i="31"/>
  <c r="C29" i="29"/>
  <c r="H29" i="27"/>
  <c r="U29" i="29"/>
  <c r="L29" i="24"/>
  <c r="O29" i="27"/>
  <c r="W29" i="24"/>
  <c r="Z29" i="31"/>
  <c r="U29" i="27"/>
  <c r="J29" i="31"/>
  <c r="V29" i="29"/>
  <c r="D29" i="31"/>
  <c r="X29" i="29"/>
  <c r="Q29" i="27"/>
  <c r="V29" i="31"/>
  <c r="S29" i="31"/>
  <c r="K29" i="27"/>
  <c r="Q29" i="29"/>
  <c r="E29" i="27"/>
  <c r="Y29" i="13"/>
  <c r="F29" i="29"/>
  <c r="R29" i="13"/>
  <c r="D29" i="29"/>
  <c r="L29" i="13"/>
  <c r="T29" i="13"/>
  <c r="AA29" i="31"/>
  <c r="R29" i="27"/>
  <c r="O29" i="29"/>
  <c r="K29" i="24"/>
  <c r="M29" i="31"/>
  <c r="I29" i="24"/>
  <c r="AA29" i="13"/>
  <c r="N29" i="27"/>
  <c r="V29" i="13"/>
  <c r="D29" i="27"/>
  <c r="W29" i="27"/>
  <c r="Z29" i="13"/>
  <c r="D29" i="24"/>
  <c r="B29" i="13"/>
  <c r="E29" i="31"/>
  <c r="F29" i="13"/>
  <c r="G29" i="27"/>
  <c r="G29" i="13"/>
  <c r="I29" i="31"/>
  <c r="E29" i="24"/>
  <c r="B29" i="29"/>
  <c r="V29" i="24"/>
  <c r="P29" i="29"/>
  <c r="D29" i="13"/>
  <c r="Z29" i="29"/>
  <c r="P29" i="31"/>
  <c r="G29" i="31"/>
  <c r="G29" i="24"/>
  <c r="Y29" i="31"/>
  <c r="AA29" i="27"/>
  <c r="I29" i="13"/>
  <c r="V29" i="27"/>
  <c r="N29" i="13"/>
  <c r="L29" i="27"/>
  <c r="P29" i="13"/>
  <c r="C29" i="27"/>
  <c r="AA29" i="24"/>
  <c r="W29" i="31"/>
  <c r="B29" i="27"/>
  <c r="F29" i="27"/>
  <c r="W29" i="29"/>
  <c r="I29" i="29"/>
  <c r="M29" i="27"/>
  <c r="U29" i="13"/>
  <c r="F29" i="24"/>
  <c r="J29" i="13"/>
  <c r="P29" i="24"/>
  <c r="X29" i="13"/>
  <c r="Q29" i="13"/>
  <c r="T29" i="24"/>
  <c r="S29" i="29"/>
  <c r="O29" i="13"/>
  <c r="Y29" i="29"/>
  <c r="AA29" i="29"/>
  <c r="N29" i="31"/>
  <c r="J29" i="24"/>
  <c r="L29" i="31"/>
  <c r="T29" i="27"/>
  <c r="T29" i="29"/>
  <c r="O29" i="24"/>
  <c r="Q29" i="24"/>
  <c r="L29" i="29"/>
  <c r="G29" i="29"/>
  <c r="W29" i="13"/>
  <c r="E29" i="29"/>
  <c r="Y29" i="24"/>
  <c r="R29" i="31"/>
  <c r="N29" i="29"/>
  <c r="T29" i="31"/>
  <c r="C29" i="31"/>
  <c r="I29" i="27"/>
  <c r="N29" i="24"/>
  <c r="Z29" i="24"/>
  <c r="O29" i="31"/>
  <c r="M29" i="13"/>
  <c r="U29" i="31"/>
  <c r="H30" i="3" l="1"/>
  <c r="G30" i="3"/>
  <c r="E30" i="3"/>
  <c r="F30" i="3"/>
  <c r="I30" i="31"/>
  <c r="I30" i="27"/>
  <c r="Y30" i="13"/>
  <c r="H30" i="27"/>
  <c r="X30" i="13"/>
  <c r="N30" i="24"/>
  <c r="K30" i="31"/>
  <c r="C30" i="27"/>
  <c r="G30" i="31"/>
  <c r="M30" i="24"/>
  <c r="B30" i="31"/>
  <c r="W30" i="24"/>
  <c r="Z30" i="29"/>
  <c r="Z30" i="24"/>
  <c r="T30" i="29"/>
  <c r="X30" i="24"/>
  <c r="B30" i="29"/>
  <c r="F30" i="13"/>
  <c r="K30" i="24"/>
  <c r="M30" i="13"/>
  <c r="J30" i="24"/>
  <c r="E30" i="31"/>
  <c r="Y30" i="27"/>
  <c r="U30" i="13"/>
  <c r="L30" i="27"/>
  <c r="D30" i="13"/>
  <c r="F30" i="29"/>
  <c r="B30" i="13"/>
  <c r="K30" i="27"/>
  <c r="O30" i="13"/>
  <c r="E30" i="27"/>
  <c r="P30" i="13"/>
  <c r="C30" i="24"/>
  <c r="S30" i="27"/>
  <c r="E30" i="29"/>
  <c r="W30" i="13"/>
  <c r="U30" i="29"/>
  <c r="U30" i="31"/>
  <c r="E30" i="13"/>
  <c r="H30" i="31"/>
  <c r="J30" i="31"/>
  <c r="V30" i="27"/>
  <c r="G30" i="29"/>
  <c r="W30" i="29"/>
  <c r="O30" i="27"/>
  <c r="Z30" i="13"/>
  <c r="V30" i="31"/>
  <c r="Y30" i="31"/>
  <c r="U30" i="27"/>
  <c r="I30" i="13"/>
  <c r="H30" i="24"/>
  <c r="L30" i="13"/>
  <c r="V30" i="29"/>
  <c r="R30" i="13"/>
  <c r="G30" i="24"/>
  <c r="T30" i="27"/>
  <c r="R30" i="24"/>
  <c r="Z30" i="31"/>
  <c r="Q30" i="24"/>
  <c r="AA30" i="13"/>
  <c r="X30" i="31"/>
  <c r="T30" i="13"/>
  <c r="R30" i="29"/>
  <c r="N30" i="13"/>
  <c r="I30" i="24"/>
  <c r="AA30" i="31"/>
  <c r="AA30" i="24"/>
  <c r="D30" i="31"/>
  <c r="D30" i="24"/>
  <c r="N30" i="27"/>
  <c r="V30" i="24"/>
  <c r="O30" i="29"/>
  <c r="C30" i="13"/>
  <c r="G30" i="13"/>
  <c r="L30" i="29"/>
  <c r="V30" i="13"/>
  <c r="Q30" i="31"/>
  <c r="Y30" i="24"/>
  <c r="Q30" i="13"/>
  <c r="P30" i="27"/>
  <c r="R30" i="31"/>
  <c r="R30" i="27"/>
  <c r="S30" i="31"/>
  <c r="K30" i="13"/>
  <c r="H30" i="29"/>
  <c r="G30" i="27"/>
  <c r="Z30" i="27"/>
  <c r="I30" i="29"/>
  <c r="L30" i="31"/>
  <c r="X30" i="29"/>
  <c r="J30" i="29"/>
  <c r="J30" i="27"/>
  <c r="C30" i="31"/>
  <c r="K30" i="29"/>
  <c r="M30" i="31"/>
  <c r="T30" i="31"/>
  <c r="B30" i="27"/>
  <c r="M30" i="27"/>
  <c r="E30" i="24"/>
  <c r="D30" i="27"/>
  <c r="T30" i="24"/>
  <c r="N30" i="31"/>
  <c r="J30" i="13"/>
  <c r="W30" i="27"/>
  <c r="S30" i="13"/>
  <c r="Q30" i="29"/>
  <c r="P30" i="24"/>
  <c r="S30" i="24"/>
  <c r="AA30" i="29"/>
  <c r="Y30" i="29"/>
  <c r="P30" i="31"/>
  <c r="X30" i="27"/>
  <c r="N30" i="29"/>
  <c r="B30" i="24"/>
  <c r="C30" i="29"/>
  <c r="Q30" i="27"/>
  <c r="H30" i="13"/>
  <c r="W30" i="31"/>
  <c r="M30" i="29"/>
  <c r="U30" i="24"/>
  <c r="P30" i="29"/>
  <c r="L30" i="24"/>
  <c r="F30" i="31"/>
  <c r="F30" i="24"/>
  <c r="S30" i="29"/>
  <c r="O30" i="24"/>
  <c r="AA30" i="27"/>
  <c r="D30" i="29"/>
  <c r="O30" i="31"/>
  <c r="F30" i="27"/>
  <c r="F31" i="3" l="1"/>
  <c r="G31" i="3"/>
  <c r="E31" i="3"/>
  <c r="H31" i="3"/>
  <c r="K31" i="31"/>
  <c r="W31" i="31"/>
  <c r="L31" i="31"/>
  <c r="H31" i="24"/>
  <c r="R31" i="29"/>
  <c r="R31" i="24"/>
  <c r="Z31" i="31"/>
  <c r="Q31" i="24"/>
  <c r="Y31" i="13"/>
  <c r="I31" i="13"/>
  <c r="X31" i="27"/>
  <c r="J31" i="13"/>
  <c r="C31" i="31"/>
  <c r="S31" i="27"/>
  <c r="T31" i="31"/>
  <c r="L31" i="24"/>
  <c r="R31" i="31"/>
  <c r="J31" i="24"/>
  <c r="U31" i="29"/>
  <c r="E31" i="24"/>
  <c r="S31" i="24"/>
  <c r="N31" i="31"/>
  <c r="U31" i="24"/>
  <c r="C31" i="27"/>
  <c r="W31" i="13"/>
  <c r="L31" i="29"/>
  <c r="J31" i="29"/>
  <c r="I31" i="31"/>
  <c r="C31" i="24"/>
  <c r="M31" i="24"/>
  <c r="AA31" i="13"/>
  <c r="S31" i="29"/>
  <c r="W31" i="24"/>
  <c r="H31" i="27"/>
  <c r="D31" i="13"/>
  <c r="B31" i="27"/>
  <c r="V31" i="13"/>
  <c r="I31" i="27"/>
  <c r="Z31" i="27"/>
  <c r="Q31" i="29"/>
  <c r="O31" i="31"/>
  <c r="H31" i="13"/>
  <c r="E31" i="31"/>
  <c r="S31" i="31"/>
  <c r="W31" i="29"/>
  <c r="P31" i="27"/>
  <c r="P31" i="24"/>
  <c r="B31" i="29"/>
  <c r="V31" i="27"/>
  <c r="AA31" i="31"/>
  <c r="Z31" i="13"/>
  <c r="D31" i="31"/>
  <c r="N31" i="27"/>
  <c r="G31" i="29"/>
  <c r="K31" i="27"/>
  <c r="H31" i="31"/>
  <c r="D31" i="24"/>
  <c r="R31" i="27"/>
  <c r="V31" i="24"/>
  <c r="Y31" i="27"/>
  <c r="M31" i="27"/>
  <c r="P31" i="29"/>
  <c r="F31" i="13"/>
  <c r="E31" i="13"/>
  <c r="K31" i="24"/>
  <c r="T31" i="24"/>
  <c r="N31" i="13"/>
  <c r="O31" i="29"/>
  <c r="K31" i="13"/>
  <c r="L31" i="27"/>
  <c r="L31" i="13"/>
  <c r="J31" i="27"/>
  <c r="R31" i="13"/>
  <c r="Y31" i="29"/>
  <c r="Y31" i="24"/>
  <c r="I31" i="24"/>
  <c r="G31" i="24"/>
  <c r="J31" i="31"/>
  <c r="AA31" i="24"/>
  <c r="C31" i="29"/>
  <c r="S31" i="13"/>
  <c r="P31" i="31"/>
  <c r="P31" i="13"/>
  <c r="F31" i="29"/>
  <c r="B31" i="13"/>
  <c r="M31" i="29"/>
  <c r="Z31" i="24"/>
  <c r="X31" i="29"/>
  <c r="I31" i="29"/>
  <c r="K31" i="29"/>
  <c r="H31" i="29"/>
  <c r="F31" i="24"/>
  <c r="Z31" i="29"/>
  <c r="Q31" i="31"/>
  <c r="W31" i="27"/>
  <c r="D31" i="29"/>
  <c r="T31" i="27"/>
  <c r="B31" i="31"/>
  <c r="B31" i="24"/>
  <c r="Y31" i="31"/>
  <c r="E31" i="27"/>
  <c r="Q31" i="13"/>
  <c r="M31" i="13"/>
  <c r="C31" i="13"/>
  <c r="V31" i="31"/>
  <c r="U31" i="13"/>
  <c r="O31" i="24"/>
  <c r="O31" i="13"/>
  <c r="D31" i="27"/>
  <c r="X31" i="13"/>
  <c r="F31" i="27"/>
  <c r="M31" i="31"/>
  <c r="U31" i="27"/>
  <c r="G31" i="31"/>
  <c r="X31" i="24"/>
  <c r="E31" i="29"/>
  <c r="O31" i="27"/>
  <c r="G31" i="13"/>
  <c r="T31" i="29"/>
  <c r="T31" i="13"/>
  <c r="N31" i="29"/>
  <c r="AA31" i="29"/>
  <c r="Q31" i="27"/>
  <c r="G31" i="27"/>
  <c r="F31" i="31"/>
  <c r="U31" i="31"/>
  <c r="N31" i="24"/>
  <c r="AA31" i="27"/>
  <c r="V31" i="29"/>
  <c r="X31" i="31"/>
  <c r="G32" i="3" l="1"/>
  <c r="E32" i="3"/>
  <c r="H32" i="3"/>
  <c r="F32" i="3"/>
  <c r="D32" i="31"/>
  <c r="H32" i="24"/>
  <c r="F32" i="31"/>
  <c r="N32" i="24"/>
  <c r="Y32" i="31"/>
  <c r="E32" i="27"/>
  <c r="E32" i="13"/>
  <c r="W32" i="29"/>
  <c r="S32" i="13"/>
  <c r="K32" i="13"/>
  <c r="E32" i="31"/>
  <c r="S32" i="27"/>
  <c r="H32" i="27"/>
  <c r="T32" i="13"/>
  <c r="J32" i="27"/>
  <c r="V32" i="13"/>
  <c r="U32" i="29"/>
  <c r="E32" i="29"/>
  <c r="S32" i="29"/>
  <c r="X32" i="29"/>
  <c r="Z32" i="29"/>
  <c r="W32" i="24"/>
  <c r="X32" i="27"/>
  <c r="H32" i="13"/>
  <c r="R32" i="24"/>
  <c r="AA32" i="31"/>
  <c r="E32" i="24"/>
  <c r="Y32" i="13"/>
  <c r="W32" i="13"/>
  <c r="Z32" i="31"/>
  <c r="Z32" i="27"/>
  <c r="C32" i="29"/>
  <c r="Z32" i="24"/>
  <c r="P32" i="29"/>
  <c r="X32" i="24"/>
  <c r="F32" i="27"/>
  <c r="B32" i="13"/>
  <c r="M32" i="31"/>
  <c r="Y32" i="29"/>
  <c r="K32" i="31"/>
  <c r="O32" i="24"/>
  <c r="S32" i="31"/>
  <c r="X32" i="13"/>
  <c r="M32" i="29"/>
  <c r="G32" i="24"/>
  <c r="T32" i="27"/>
  <c r="D32" i="13"/>
  <c r="R32" i="27"/>
  <c r="J32" i="13"/>
  <c r="I32" i="29"/>
  <c r="M32" i="24"/>
  <c r="C32" i="27"/>
  <c r="J32" i="31"/>
  <c r="Y32" i="24"/>
  <c r="T32" i="31"/>
  <c r="X32" i="31"/>
  <c r="R32" i="31"/>
  <c r="V32" i="29"/>
  <c r="I32" i="31"/>
  <c r="AA32" i="27"/>
  <c r="Z32" i="13"/>
  <c r="O32" i="27"/>
  <c r="P32" i="31"/>
  <c r="L32" i="24"/>
  <c r="Y32" i="27"/>
  <c r="O32" i="13"/>
  <c r="T32" i="24"/>
  <c r="B32" i="24"/>
  <c r="U32" i="24"/>
  <c r="L32" i="29"/>
  <c r="T32" i="29"/>
  <c r="L32" i="13"/>
  <c r="B32" i="29"/>
  <c r="N32" i="13"/>
  <c r="M32" i="27"/>
  <c r="Q32" i="24"/>
  <c r="O32" i="31"/>
  <c r="W32" i="31"/>
  <c r="K32" i="24"/>
  <c r="N32" i="27"/>
  <c r="I32" i="24"/>
  <c r="H32" i="31"/>
  <c r="P32" i="24"/>
  <c r="N32" i="31"/>
  <c r="F32" i="24"/>
  <c r="Q32" i="31"/>
  <c r="I32" i="27"/>
  <c r="AA32" i="13"/>
  <c r="G32" i="27"/>
  <c r="J32" i="24"/>
  <c r="I32" i="13"/>
  <c r="H32" i="29"/>
  <c r="F32" i="29"/>
  <c r="J32" i="29"/>
  <c r="P32" i="27"/>
  <c r="B32" i="31"/>
  <c r="B32" i="27"/>
  <c r="Q32" i="29"/>
  <c r="Q32" i="27"/>
  <c r="U32" i="13"/>
  <c r="O32" i="29"/>
  <c r="C32" i="13"/>
  <c r="S32" i="24"/>
  <c r="V32" i="24"/>
  <c r="M32" i="13"/>
  <c r="L32" i="31"/>
  <c r="D32" i="24"/>
  <c r="N32" i="29"/>
  <c r="V32" i="27"/>
  <c r="U32" i="31"/>
  <c r="AA32" i="29"/>
  <c r="Q32" i="13"/>
  <c r="G32" i="13"/>
  <c r="R32" i="13"/>
  <c r="K32" i="27"/>
  <c r="D32" i="29"/>
  <c r="P32" i="13"/>
  <c r="R32" i="29"/>
  <c r="F32" i="13"/>
  <c r="U32" i="27"/>
  <c r="AA32" i="24"/>
  <c r="C32" i="31"/>
  <c r="C32" i="24"/>
  <c r="L32" i="27"/>
  <c r="V32" i="31"/>
  <c r="G32" i="31"/>
  <c r="K32" i="29"/>
  <c r="D32" i="27"/>
  <c r="W32" i="27"/>
  <c r="G32" i="29"/>
  <c r="F33" i="3" l="1"/>
  <c r="F34" i="3" s="1"/>
  <c r="H33" i="3"/>
  <c r="H34" i="3" s="1"/>
  <c r="E33" i="3"/>
  <c r="E34" i="3" s="1"/>
  <c r="G33" i="3"/>
  <c r="G34" i="3" s="1"/>
  <c r="O33" i="29"/>
  <c r="W33" i="31"/>
  <c r="E33" i="31"/>
  <c r="M33" i="31"/>
  <c r="I33" i="13"/>
  <c r="F33" i="27"/>
  <c r="P33" i="31"/>
  <c r="P33" i="27"/>
  <c r="X33" i="13"/>
  <c r="R33" i="29"/>
  <c r="X33" i="24"/>
  <c r="G33" i="29"/>
  <c r="G33" i="13"/>
  <c r="U33" i="27"/>
  <c r="Q33" i="24"/>
  <c r="B33" i="29"/>
  <c r="V33" i="31"/>
  <c r="H33" i="29"/>
  <c r="X33" i="31"/>
  <c r="M33" i="24"/>
  <c r="T33" i="31"/>
  <c r="S33" i="29"/>
  <c r="G33" i="24"/>
  <c r="E33" i="29"/>
  <c r="I33" i="27"/>
  <c r="Q33" i="13"/>
  <c r="J33" i="27"/>
  <c r="N33" i="13"/>
  <c r="P33" i="29"/>
  <c r="K33" i="31"/>
  <c r="Z33" i="24"/>
  <c r="T33" i="29"/>
  <c r="J33" i="29"/>
  <c r="S33" i="27"/>
  <c r="W33" i="24"/>
  <c r="M33" i="29"/>
  <c r="Z33" i="27"/>
  <c r="J33" i="31"/>
  <c r="J33" i="24"/>
  <c r="L33" i="29"/>
  <c r="T33" i="24"/>
  <c r="I33" i="31"/>
  <c r="B33" i="31"/>
  <c r="G33" i="31"/>
  <c r="C33" i="27"/>
  <c r="Y33" i="31"/>
  <c r="M33" i="27"/>
  <c r="AA33" i="13"/>
  <c r="N33" i="29"/>
  <c r="F33" i="13"/>
  <c r="D33" i="27"/>
  <c r="T33" i="13"/>
  <c r="Z33" i="13"/>
  <c r="H33" i="24"/>
  <c r="S33" i="31"/>
  <c r="K33" i="13"/>
  <c r="Z33" i="31"/>
  <c r="Y33" i="24"/>
  <c r="N33" i="31"/>
  <c r="V33" i="27"/>
  <c r="D33" i="31"/>
  <c r="D33" i="24"/>
  <c r="K33" i="29"/>
  <c r="O33" i="24"/>
  <c r="Y33" i="13"/>
  <c r="L33" i="24"/>
  <c r="AA33" i="24"/>
  <c r="R33" i="24"/>
  <c r="Y33" i="29"/>
  <c r="W33" i="29"/>
  <c r="W33" i="13"/>
  <c r="I33" i="29"/>
  <c r="U33" i="24"/>
  <c r="F33" i="29"/>
  <c r="V33" i="24"/>
  <c r="T33" i="27"/>
  <c r="P33" i="13"/>
  <c r="Q33" i="27"/>
  <c r="B33" i="13"/>
  <c r="O33" i="27"/>
  <c r="K33" i="24"/>
  <c r="Z33" i="29"/>
  <c r="AA33" i="29"/>
  <c r="M33" i="13"/>
  <c r="F33" i="24"/>
  <c r="J33" i="13"/>
  <c r="L33" i="31"/>
  <c r="C33" i="13"/>
  <c r="R33" i="27"/>
  <c r="D33" i="13"/>
  <c r="K33" i="27"/>
  <c r="O33" i="13"/>
  <c r="AA33" i="27"/>
  <c r="R33" i="31"/>
  <c r="X33" i="27"/>
  <c r="W33" i="27"/>
  <c r="Q33" i="31"/>
  <c r="E33" i="27"/>
  <c r="E33" i="13"/>
  <c r="N33" i="24"/>
  <c r="R33" i="13"/>
  <c r="P33" i="24"/>
  <c r="H33" i="13"/>
  <c r="E33" i="24"/>
  <c r="X33" i="29"/>
  <c r="G33" i="27"/>
  <c r="S33" i="13"/>
  <c r="AA33" i="31"/>
  <c r="Y33" i="27"/>
  <c r="F33" i="31"/>
  <c r="N33" i="27"/>
  <c r="H33" i="31"/>
  <c r="H33" i="27"/>
  <c r="U33" i="31"/>
  <c r="V33" i="29"/>
  <c r="O33" i="31"/>
  <c r="C33" i="29"/>
  <c r="U33" i="29"/>
  <c r="I33" i="24"/>
  <c r="U33" i="13"/>
  <c r="B33" i="27"/>
  <c r="V33" i="13"/>
  <c r="L33" i="27"/>
  <c r="L33" i="13"/>
  <c r="C33" i="31"/>
  <c r="Q33" i="29"/>
  <c r="B33" i="24"/>
  <c r="S33" i="24"/>
  <c r="D33" i="29"/>
  <c r="C33" i="24"/>
</calcChain>
</file>

<file path=xl/sharedStrings.xml><?xml version="1.0" encoding="utf-8"?>
<sst xmlns="http://schemas.openxmlformats.org/spreadsheetml/2006/main" count="1508" uniqueCount="219">
  <si>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</si>
  <si>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</si>
  <si>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</si>
  <si>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</si>
  <si>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</si>
  <si>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</si>
  <si>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</si>
  <si>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</si>
  <si>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</si>
  <si>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</si>
  <si>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</si>
  <si>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</si>
  <si>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</si>
  <si>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</si>
  <si>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</si>
  <si>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</si>
  <si>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</si>
  <si>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</si>
  <si>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</si>
  <si>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</si>
  <si>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</si>
  <si>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</si>
  <si>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</si>
  <si>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</si>
  <si>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</si>
  <si>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</si>
  <si>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</si>
  <si>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</si>
  <si>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</si>
  <si>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</si>
  <si>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</si>
  <si>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</si>
  <si>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</si>
  <si>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</si>
  <si>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</si>
  <si>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</si>
  <si>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</si>
  <si>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D3/2</t>
  </si>
  <si>
    <t>Note globale</t>
  </si>
  <si>
    <t>Notation</t>
  </si>
  <si>
    <t>Nom de la feuille liée</t>
  </si>
  <si>
    <t>Indice  de liste</t>
  </si>
  <si>
    <t>Lignes des domaines</t>
  </si>
  <si>
    <t>Décalage</t>
  </si>
  <si>
    <t xml:space="preserve"> D2/1</t>
  </si>
  <si>
    <t xml:space="preserve"> D2/2</t>
  </si>
  <si>
    <t>Liste 5ème</t>
  </si>
  <si>
    <t>Classe (5ème1)</t>
  </si>
  <si>
    <t>Elève (5ème1)</t>
  </si>
  <si>
    <t>Elève (5ème2)</t>
  </si>
  <si>
    <t>Classe (5ème2)</t>
  </si>
  <si>
    <t>5ème1</t>
  </si>
  <si>
    <t>5ème2</t>
  </si>
  <si>
    <t>5ème3</t>
  </si>
  <si>
    <t>5ème4</t>
  </si>
  <si>
    <t>5ème6</t>
  </si>
  <si>
    <t>Evaluations par trimestre</t>
  </si>
  <si>
    <t>1er tri</t>
  </si>
  <si>
    <t>AP 1</t>
  </si>
  <si>
    <t>AP 3</t>
  </si>
  <si>
    <t>AP 2</t>
  </si>
  <si>
    <t>Elève (5ème6)</t>
  </si>
  <si>
    <t>Classe (5ème6)</t>
  </si>
  <si>
    <t>Elève (5ème3)</t>
  </si>
  <si>
    <t>Classe (5ème3)</t>
  </si>
  <si>
    <t>Elève (5ème4)</t>
  </si>
  <si>
    <t>Classe (5ème4)</t>
  </si>
  <si>
    <t>Classe 5ème 1
2018 2019</t>
  </si>
  <si>
    <t>ALARDIN Anouk</t>
  </si>
  <si>
    <t>ANTIGNY Arthur</t>
  </si>
  <si>
    <t>ANDRE Gabrielle</t>
  </si>
  <si>
    <t>AYMOND Victoire</t>
  </si>
  <si>
    <t>BLED Alexandre</t>
  </si>
  <si>
    <t>BESNIER Gabriel</t>
  </si>
  <si>
    <t>AURIAULT Anne-Lise</t>
  </si>
  <si>
    <t>AOUSTIN Jeanne</t>
  </si>
  <si>
    <t>BORGYE Lisa</t>
  </si>
  <si>
    <t>BOUE Lucie</t>
  </si>
  <si>
    <t>BIDAULT Camille</t>
  </si>
  <si>
    <t>BOUISSOU Simon</t>
  </si>
  <si>
    <t>BAHNES Sawsane</t>
  </si>
  <si>
    <t>COMBROUZE Francois</t>
  </si>
  <si>
    <t>BOUFELLAH Sylia</t>
  </si>
  <si>
    <t>BLANCHET Camille</t>
  </si>
  <si>
    <t>CAMARET Pierre-Louis</t>
  </si>
  <si>
    <t>BARCAT Eliette</t>
  </si>
  <si>
    <t>DE GERMAY Paul</t>
  </si>
  <si>
    <t>BRAULT Amaury</t>
  </si>
  <si>
    <t>BOUCHER Hortense</t>
  </si>
  <si>
    <t>COUTANT Elena</t>
  </si>
  <si>
    <t>BERTHIER Leeloo</t>
  </si>
  <si>
    <t>DE LA RUE DU CAN Baptiste</t>
  </si>
  <si>
    <t>BRENNETOT Marie</t>
  </si>
  <si>
    <t>CHADOZEAU Agathe</t>
  </si>
  <si>
    <t>CRETEL--HERIVEAU Rose</t>
  </si>
  <si>
    <t>BERTRAND--BEYNEIX Hugo</t>
  </si>
  <si>
    <t>DE PONCHEVILLE Maelys</t>
  </si>
  <si>
    <t>CHAPRON Elise</t>
  </si>
  <si>
    <t>CHALAND Marine</t>
  </si>
  <si>
    <t>DE PONCHEVILLE Aliette</t>
  </si>
  <si>
    <t>BOSC--FERTE Adam</t>
  </si>
  <si>
    <t>DESECOT Marie-Clemence</t>
  </si>
  <si>
    <t>CHATELAIN Antoine</t>
  </si>
  <si>
    <t>CORNIL Justine</t>
  </si>
  <si>
    <t>FAROOQ ELIAS Mathyus</t>
  </si>
  <si>
    <t>DAUMAIN Arthur</t>
  </si>
  <si>
    <t>GARAND Blanche</t>
  </si>
  <si>
    <t>COFFI-BOTREAU Eloise</t>
  </si>
  <si>
    <t>CORNILLEAU Camille</t>
  </si>
  <si>
    <t>GALEANO Antoine</t>
  </si>
  <si>
    <t>DE LA HOUGUE Violette</t>
  </si>
  <si>
    <t>GATINE Martin</t>
  </si>
  <si>
    <t>COSTA Jose</t>
  </si>
  <si>
    <t>COURAUD Axelle</t>
  </si>
  <si>
    <t>GERARD Lenny</t>
  </si>
  <si>
    <t>FRUGIER Andrea</t>
  </si>
  <si>
    <t>GERVAIS-PRIMORAC Ivan</t>
  </si>
  <si>
    <t>COSTA Paul</t>
  </si>
  <si>
    <t>DE BENGY Thomas</t>
  </si>
  <si>
    <t>GILLOT Quiterie</t>
  </si>
  <si>
    <t>GILLES Leopold</t>
  </si>
  <si>
    <t>GOISQUE Foucauld</t>
  </si>
  <si>
    <t>DEVANNEAUX Amandine</t>
  </si>
  <si>
    <t>DESEILLE Gaston</t>
  </si>
  <si>
    <t>JEANDEMANGE Marc</t>
  </si>
  <si>
    <t>HERON LANGLOIS Valentin</t>
  </si>
  <si>
    <t>GOTTE Constance</t>
  </si>
  <si>
    <t>DUBOCQ Tristan</t>
  </si>
  <si>
    <t>FARMAN Mahaut</t>
  </si>
  <si>
    <t>JOURDAIN Marc</t>
  </si>
  <si>
    <t>JABOULEY Adelaide</t>
  </si>
  <si>
    <t>GUICHARD Paul</t>
  </si>
  <si>
    <t>DUFOUR Nehemie</t>
  </si>
  <si>
    <t>FREDOILLE Mylan</t>
  </si>
  <si>
    <t>LADAN Juliette</t>
  </si>
  <si>
    <t>LE CLEZIO Olivia</t>
  </si>
  <si>
    <t>HALLAIS Louis</t>
  </si>
  <si>
    <t>GOUVAZE Aristide</t>
  </si>
  <si>
    <t>GALENNE--PARISOT Titouan</t>
  </si>
  <si>
    <t>LALOUM Tina</t>
  </si>
  <si>
    <t>LECONTE Ziyed</t>
  </si>
  <si>
    <t>JEAN-BAPTISTE Clemence</t>
  </si>
  <si>
    <t>GUILLARD Honore</t>
  </si>
  <si>
    <t>GENEVEE Apolline</t>
  </si>
  <si>
    <t>LE DRESSAY Max</t>
  </si>
  <si>
    <t>LEGAL Oriane</t>
  </si>
  <si>
    <t>JIANG Leo</t>
  </si>
  <si>
    <t>HURE Marie-Lys</t>
  </si>
  <si>
    <t>GODON Maximilien</t>
  </si>
  <si>
    <t>LECUYER Garance</t>
  </si>
  <si>
    <t>LERE Alicia</t>
  </si>
  <si>
    <t>KADRIC Lina</t>
  </si>
  <si>
    <t>LAGUIONIE Clea</t>
  </si>
  <si>
    <t>GUENOT Emma</t>
  </si>
  <si>
    <t>MANZANARES Margaux</t>
  </si>
  <si>
    <t>LESNE Melchior</t>
  </si>
  <si>
    <t>LAURENT Marie</t>
  </si>
  <si>
    <t>LANGLOIS Agathe</t>
  </si>
  <si>
    <t>IMHOFF Dorian</t>
  </si>
  <si>
    <t>MEKIBES Aslane</t>
  </si>
  <si>
    <t>LORIOUX Paul</t>
  </si>
  <si>
    <t>LE GOUVELLO DE LA PORTE Armelle</t>
  </si>
  <si>
    <t>LE MINTIER Maixent</t>
  </si>
  <si>
    <t>LALLEMENT Clemence</t>
  </si>
  <si>
    <t>MOTTIER Leopold</t>
  </si>
  <si>
    <t>MAQUET Aurore</t>
  </si>
  <si>
    <t>LECORSU Romeo</t>
  </si>
  <si>
    <t>MAGNANT Leonie</t>
  </si>
  <si>
    <t>LASNE Axel</t>
  </si>
  <si>
    <t>NEIGE--SARFATI Raphael</t>
  </si>
  <si>
    <t>MENNECART Heloise</t>
  </si>
  <si>
    <t>NORGUET Andrea</t>
  </si>
  <si>
    <t>MARCHAND Antoine</t>
  </si>
  <si>
    <t>LAVALLEE Cedric</t>
  </si>
  <si>
    <t>POUPAULT Sasha</t>
  </si>
  <si>
    <t>MULLIGAN Anais</t>
  </si>
  <si>
    <t>NOSMAS Clement</t>
  </si>
  <si>
    <t>MARTINEZ Emilio</t>
  </si>
  <si>
    <t>MARTINAT Antoine</t>
  </si>
  <si>
    <t>RANCHOUX Louis</t>
  </si>
  <si>
    <t>PERROUIN Appoline</t>
  </si>
  <si>
    <t>RICARD Samuel</t>
  </si>
  <si>
    <t>ORSINI Robinson</t>
  </si>
  <si>
    <t>MATHIEU Margot</t>
  </si>
  <si>
    <t>RIVIERE Thomas</t>
  </si>
  <si>
    <t>ROSALES--MURCIANO Matias</t>
  </si>
  <si>
    <t>RIMBERT Charlotte</t>
  </si>
  <si>
    <t>RAHARIMANANA Tantely</t>
  </si>
  <si>
    <t>MORAND Francois-Louis</t>
  </si>
  <si>
    <t>ROBLOT Maia</t>
  </si>
  <si>
    <t>ROS--BONNET Andrea</t>
  </si>
  <si>
    <t>ROBARD Romeo</t>
  </si>
  <si>
    <t>ROUVRE Emma</t>
  </si>
  <si>
    <t>MULLEMAN Achille</t>
  </si>
  <si>
    <t>STEPHANT Marius</t>
  </si>
  <si>
    <t>ROULLET DE LA BOUILLERIE Donatienne</t>
  </si>
  <si>
    <t>ROBERT Charlotte</t>
  </si>
  <si>
    <t>SAINT-JOURS Elena</t>
  </si>
  <si>
    <t>POITRENAUD Lou-Ann</t>
  </si>
  <si>
    <t>TECLU Lulia</t>
  </si>
  <si>
    <t>SANTOS--LARTIGUE Ines</t>
  </si>
  <si>
    <t>ROBIN Paul-Armand</t>
  </si>
  <si>
    <t>TARRIERE EL HANNAOUI Lea</t>
  </si>
  <si>
    <t>ROQUETA Adrien</t>
  </si>
  <si>
    <t>TROCHET Paul</t>
  </si>
  <si>
    <t>VANUZZI Camille</t>
  </si>
  <si>
    <t>SOULEZ Marion</t>
  </si>
  <si>
    <t>TOUSSAINT Pauline</t>
  </si>
  <si>
    <t>TROUCHON Marie-Helix</t>
  </si>
  <si>
    <t>ZHENDRE Meline</t>
  </si>
  <si>
    <t>TRIOLET Mila</t>
  </si>
  <si>
    <t>VUILLEMIN Oriane</t>
  </si>
  <si>
    <t>CH4/1</t>
  </si>
  <si>
    <t>KARADJIAN Eva</t>
  </si>
  <si>
    <t>Classe 5ème 2
2018 2019</t>
  </si>
  <si>
    <t>Classe 5ème 3
2018 2019</t>
  </si>
  <si>
    <t>Classe 5ème 4
2018 2019</t>
  </si>
  <si>
    <t>Classe 5ème 6
2018 2019</t>
  </si>
  <si>
    <t>CH4/2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</si>
</sst>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omic Sans MS"/>
      <family val="4"/>
    </font>
  </fonts>
  <fills count="27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FF67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9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37">
    <xf numFmtId="0" fontId="0" fillId="0" borderId="0" xfId="0"/>
    <xf numFmtId="0" fontId="0" fillId="0" borderId="34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39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0" xfId="0" applyProtection="1"/>
    <xf numFmtId="0" fontId="0" fillId="0" borderId="74" xfId="0" applyBorder="1" applyAlignment="1" applyProtection="1">
      <alignment horizontal="center" vertical="center"/>
    </xf>
    <xf numFmtId="0" fontId="0" fillId="17" borderId="68" xfId="0" applyFill="1" applyBorder="1" applyAlignment="1" applyProtection="1">
      <alignment horizontal="center" vertical="center" wrapText="1"/>
    </xf>
    <xf numFmtId="0" fontId="0" fillId="17" borderId="73" xfId="0" applyFill="1" applyBorder="1" applyAlignment="1" applyProtection="1">
      <alignment horizontal="center" vertical="center" wrapText="1"/>
    </xf>
    <xf numFmtId="0" fontId="5" fillId="21" borderId="65" xfId="0" applyFont="1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67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2" fontId="0" fillId="0" borderId="50" xfId="0" applyNumberFormat="1" applyBorder="1" applyAlignment="1" applyProtection="1">
      <alignment horizontal="center" vertical="center"/>
    </xf>
    <xf numFmtId="2" fontId="0" fillId="0" borderId="43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0" fontId="1" fillId="0" borderId="0" xfId="0" applyFont="1" applyAlignment="1">
      <alignment horizontal="center"/>
    </xf>
    <xf numFmtId="0" fontId="0" fillId="23" borderId="83" xfId="0" applyFill="1" applyBorder="1"/>
    <xf numFmtId="0" fontId="1" fillId="13" borderId="11" xfId="0" applyFont="1" applyFill="1" applyBorder="1" applyAlignment="1">
      <alignment horizontal="center"/>
    </xf>
    <xf numFmtId="0" fontId="2" fillId="20" borderId="85" xfId="0" applyFont="1" applyFill="1" applyBorder="1" applyAlignment="1" applyProtection="1">
      <alignment horizontal="center" vertical="center" wrapText="1"/>
    </xf>
    <xf numFmtId="0" fontId="0" fillId="19" borderId="55" xfId="0" applyFill="1" applyBorder="1" applyAlignment="1" applyProtection="1">
      <alignment horizontal="center" vertical="center"/>
    </xf>
    <xf numFmtId="0" fontId="0" fillId="19" borderId="2" xfId="0" applyFill="1" applyBorder="1" applyAlignment="1" applyProtection="1">
      <alignment horizontal="center" vertical="center"/>
    </xf>
    <xf numFmtId="0" fontId="0" fillId="12" borderId="71" xfId="0" applyFill="1" applyBorder="1" applyAlignment="1" applyProtection="1">
      <alignment horizontal="center" vertical="center" wrapText="1"/>
    </xf>
    <xf numFmtId="0" fontId="0" fillId="12" borderId="73" xfId="0" applyFill="1" applyBorder="1" applyAlignment="1" applyProtection="1">
      <alignment horizontal="center" vertical="center" wrapText="1"/>
    </xf>
    <xf numFmtId="0" fontId="0" fillId="12" borderId="80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3" fillId="2" borderId="84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horizontal="left" vertical="center"/>
    </xf>
    <xf numFmtId="0" fontId="3" fillId="2" borderId="2" xfId="1" applyFont="1" applyFill="1" applyBorder="1" applyAlignment="1" applyProtection="1">
      <alignment horizontal="left" vertical="center"/>
    </xf>
    <xf numFmtId="0" fontId="0" fillId="19" borderId="1" xfId="0" applyFill="1" applyBorder="1" applyAlignment="1" applyProtection="1">
      <alignment horizontal="center" vertical="center"/>
    </xf>
    <xf numFmtId="0" fontId="0" fillId="0" borderId="0" xfId="0" applyProtection="1"/>
    <xf numFmtId="0" fontId="0" fillId="0" borderId="16" xfId="0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5" xfId="0" applyFill="1" applyBorder="1" applyAlignment="1" applyProtection="1">
      <alignment horizontal="center" vertical="center"/>
    </xf>
    <xf numFmtId="0" fontId="0" fillId="15" borderId="12" xfId="0" applyFill="1" applyBorder="1" applyAlignment="1" applyProtection="1">
      <alignment horizontal="center" vertical="center"/>
    </xf>
    <xf numFmtId="0" fontId="0" fillId="15" borderId="14" xfId="0" applyFill="1" applyBorder="1" applyAlignment="1" applyProtection="1">
      <alignment horizontal="center" vertical="center" wrapText="1"/>
    </xf>
    <xf numFmtId="0" fontId="0" fillId="15" borderId="13" xfId="0" applyFill="1" applyBorder="1" applyAlignment="1" applyProtection="1">
      <alignment horizontal="center" vertical="center" wrapText="1"/>
    </xf>
    <xf numFmtId="0" fontId="0" fillId="0" borderId="42" xfId="0" applyBorder="1" applyAlignment="1" applyProtection="1">
      <alignment horizontal="center" vertical="center"/>
    </xf>
    <xf numFmtId="0" fontId="0" fillId="22" borderId="1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25" borderId="17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  <protection locked="0"/>
    </xf>
    <xf numFmtId="0" fontId="0" fillId="25" borderId="0" xfId="0" applyFill="1" applyProtection="1"/>
    <xf numFmtId="0" fontId="0" fillId="25" borderId="11" xfId="0" applyFill="1" applyBorder="1" applyAlignment="1" applyProtection="1">
      <alignment horizontal="center" vertical="center"/>
    </xf>
    <xf numFmtId="0" fontId="0" fillId="25" borderId="25" xfId="0" applyFill="1" applyBorder="1" applyAlignment="1" applyProtection="1">
      <alignment horizontal="center" vertical="center"/>
      <protection locked="0"/>
    </xf>
    <xf numFmtId="0" fontId="0" fillId="25" borderId="42" xfId="0" applyFill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</xf>
    <xf numFmtId="0" fontId="0" fillId="0" borderId="0" xfId="0" applyProtection="1">
      <protection locked="0" hidden="1"/>
    </xf>
    <xf numFmtId="0" fontId="0" fillId="0" borderId="7" xfId="0" applyFont="1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6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0" xfId="0" applyFont="1" applyProtection="1">
      <protection locked="0" hidden="1"/>
    </xf>
    <xf numFmtId="0" fontId="0" fillId="0" borderId="16" xfId="0" applyFont="1" applyBorder="1" applyAlignment="1" applyProtection="1">
      <alignment horizontal="center" vertical="center"/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0" fillId="0" borderId="22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7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8" borderId="3" xfId="0" applyFont="1" applyFill="1" applyBorder="1" applyAlignment="1" applyProtection="1">
      <alignment horizontal="center" vertical="center" wrapText="1"/>
      <protection locked="0" hidden="1"/>
    </xf>
    <xf numFmtId="0" fontId="0" fillId="0" borderId="40" xfId="0" applyFont="1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19" borderId="12" xfId="0" applyFont="1" applyFill="1" applyBorder="1" applyAlignment="1" applyProtection="1">
      <alignment horizontal="center" vertical="center" wrapText="1"/>
      <protection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0" borderId="38" xfId="0" applyFont="1" applyBorder="1" applyAlignment="1" applyProtection="1">
      <alignment horizontal="center" vertical="center" textRotation="90"/>
      <protection hidden="1"/>
    </xf>
    <xf numFmtId="0" fontId="0" fillId="0" borderId="77" xfId="0" applyFont="1" applyBorder="1" applyAlignment="1" applyProtection="1">
      <alignment horizontal="center" vertical="center"/>
      <protection hidden="1"/>
    </xf>
    <xf numFmtId="0" fontId="6" fillId="3" borderId="11" xfId="0" applyFont="1" applyFill="1" applyBorder="1" applyAlignment="1" applyProtection="1">
      <alignment horizontal="center" vertical="center" wrapText="1"/>
      <protection hidden="1"/>
    </xf>
    <xf numFmtId="0" fontId="6" fillId="8" borderId="11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6" xfId="0" applyFont="1" applyFill="1" applyBorder="1" applyAlignment="1" applyProtection="1">
      <alignment horizontal="centerContinuous" vertical="center" wrapText="1"/>
      <protection hidden="1"/>
    </xf>
    <xf numFmtId="0" fontId="1" fillId="0" borderId="59" xfId="0" applyFont="1" applyFill="1" applyBorder="1" applyAlignment="1" applyProtection="1">
      <alignment horizontal="center" vertical="center"/>
      <protection hidden="1"/>
    </xf>
    <xf numFmtId="0" fontId="0" fillId="4" borderId="6" xfId="0" applyFont="1" applyFill="1" applyBorder="1" applyAlignment="1" applyProtection="1">
      <alignment horizontal="center" vertical="center"/>
      <protection hidden="1"/>
    </xf>
    <xf numFmtId="0" fontId="0" fillId="0" borderId="60" xfId="0" applyFont="1" applyFill="1" applyBorder="1" applyAlignment="1" applyProtection="1">
      <alignment horizontal="center" vertical="center"/>
      <protection hidden="1"/>
    </xf>
    <xf numFmtId="0" fontId="0" fillId="6" borderId="61" xfId="0" applyFont="1" applyFill="1" applyBorder="1" applyAlignment="1" applyProtection="1">
      <alignment horizontal="center" vertical="center"/>
      <protection hidden="1"/>
    </xf>
    <xf numFmtId="0" fontId="0" fillId="0" borderId="50" xfId="0" applyFont="1" applyFill="1" applyBorder="1" applyAlignment="1" applyProtection="1">
      <alignment horizontal="center" vertical="center"/>
      <protection hidden="1"/>
    </xf>
    <xf numFmtId="0" fontId="0" fillId="6" borderId="21" xfId="0" applyFont="1" applyFill="1" applyBorder="1" applyAlignment="1" applyProtection="1">
      <alignment horizontal="center" vertical="center"/>
      <protection hidden="1"/>
    </xf>
    <xf numFmtId="0" fontId="0" fillId="0" borderId="58" xfId="0" applyFont="1" applyFill="1" applyBorder="1" applyAlignment="1" applyProtection="1">
      <alignment horizontal="center" vertical="center"/>
      <protection hidden="1"/>
    </xf>
    <xf numFmtId="0" fontId="0" fillId="6" borderId="62" xfId="0" applyFont="1" applyFill="1" applyBorder="1" applyAlignment="1" applyProtection="1">
      <alignment horizontal="center" vertical="center"/>
      <protection hidden="1"/>
    </xf>
    <xf numFmtId="0" fontId="0" fillId="0" borderId="54" xfId="0" applyFont="1" applyFill="1" applyBorder="1" applyAlignment="1" applyProtection="1">
      <alignment horizontal="center" vertical="center"/>
      <protection hidden="1"/>
    </xf>
    <xf numFmtId="0" fontId="0" fillId="6" borderId="30" xfId="0" applyFont="1" applyFill="1" applyBorder="1" applyAlignment="1" applyProtection="1">
      <alignment horizontal="center" vertical="center"/>
      <protection hidden="1"/>
    </xf>
    <xf numFmtId="0" fontId="1" fillId="0" borderId="59" xfId="0" applyNumberFormat="1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6" xfId="0" applyFont="1" applyFill="1" applyBorder="1" applyAlignment="1" applyProtection="1">
      <alignment horizontal="centerContinuous" vertical="center" wrapText="1"/>
      <protection hidden="1"/>
    </xf>
    <xf numFmtId="0" fontId="0" fillId="10" borderId="6" xfId="0" applyFont="1" applyFill="1" applyBorder="1" applyAlignment="1" applyProtection="1">
      <alignment horizontal="center" vertical="center"/>
      <protection hidden="1"/>
    </xf>
    <xf numFmtId="0" fontId="1" fillId="0" borderId="64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6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6" xfId="0" applyFont="1" applyFill="1" applyBorder="1" applyAlignment="1" applyProtection="1">
      <alignment horizontal="center" vertical="center"/>
      <protection hidden="1"/>
    </xf>
    <xf numFmtId="0" fontId="0" fillId="0" borderId="59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7" xfId="0" applyFont="1" applyFill="1" applyBorder="1" applyAlignment="1" applyProtection="1">
      <alignment horizontal="center" vertical="center"/>
      <protection hidden="1"/>
    </xf>
    <xf numFmtId="0" fontId="5" fillId="7" borderId="63" xfId="0" applyFont="1" applyFill="1" applyBorder="1" applyAlignment="1" applyProtection="1">
      <alignment horizontal="center" vertical="center"/>
      <protection hidden="1"/>
    </xf>
    <xf numFmtId="0" fontId="5" fillId="7" borderId="56" xfId="0" applyFont="1" applyFill="1" applyBorder="1" applyAlignment="1" applyProtection="1">
      <alignment horizontal="center" vertical="center"/>
      <protection hidden="1"/>
    </xf>
    <xf numFmtId="0" fontId="5" fillId="11" borderId="57" xfId="0" applyFont="1" applyFill="1" applyBorder="1" applyAlignment="1" applyProtection="1">
      <alignment horizontal="center" vertical="center"/>
      <protection hidden="1"/>
    </xf>
    <xf numFmtId="0" fontId="0" fillId="21" borderId="79" xfId="0" applyFont="1" applyFill="1" applyBorder="1" applyAlignment="1" applyProtection="1">
      <alignment horizontal="center" vertical="center"/>
      <protection hidden="1"/>
    </xf>
    <xf numFmtId="0" fontId="0" fillId="0" borderId="51" xfId="0" applyFont="1" applyFill="1" applyBorder="1" applyAlignment="1" applyProtection="1">
      <alignment horizontal="center" vertical="center"/>
      <protection hidden="1"/>
    </xf>
    <xf numFmtId="0" fontId="0" fillId="6" borderId="76" xfId="0" applyFont="1" applyFill="1" applyBorder="1" applyAlignment="1" applyProtection="1">
      <alignment horizontal="center" vertical="center"/>
      <protection hidden="1"/>
    </xf>
    <xf numFmtId="0" fontId="0" fillId="0" borderId="91" xfId="0" applyFont="1" applyBorder="1" applyAlignment="1" applyProtection="1">
      <alignment horizontal="center" vertical="center"/>
      <protection locked="0" hidden="1"/>
    </xf>
    <xf numFmtId="0" fontId="0" fillId="6" borderId="92" xfId="0" applyFont="1" applyFill="1" applyBorder="1" applyAlignment="1" applyProtection="1">
      <alignment horizontal="center" vertical="center"/>
      <protection hidden="1"/>
    </xf>
    <xf numFmtId="0" fontId="5" fillId="7" borderId="5" xfId="0" applyFont="1" applyFill="1" applyBorder="1" applyAlignment="1" applyProtection="1">
      <alignment horizontal="center" vertical="center"/>
      <protection hidden="1"/>
    </xf>
    <xf numFmtId="0" fontId="1" fillId="0" borderId="93" xfId="0" applyFont="1" applyBorder="1" applyAlignment="1" applyProtection="1">
      <alignment horizontal="center" vertical="center" textRotation="90"/>
      <protection hidden="1"/>
    </xf>
    <xf numFmtId="0" fontId="7" fillId="0" borderId="0" xfId="0" applyFont="1" applyProtection="1">
      <protection hidden="1"/>
    </xf>
    <xf numFmtId="0" fontId="7" fillId="0" borderId="0" xfId="0" applyFont="1" applyBorder="1" applyAlignment="1" applyProtection="1">
      <alignment horizontal="center" vertical="center" textRotation="90"/>
      <protection hidden="1"/>
    </xf>
    <xf numFmtId="0" fontId="0" fillId="0" borderId="0" xfId="0" applyFont="1" applyProtection="1"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21" borderId="6" xfId="0" applyNumberFormat="1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Continuous" vertical="center"/>
      <protection hidden="1"/>
    </xf>
    <xf numFmtId="0" fontId="0" fillId="0" borderId="7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8" xfId="0" applyNumberFormat="1" applyFont="1" applyBorder="1" applyAlignment="1" applyProtection="1">
      <alignment horizontal="center" vertical="center" textRotation="90"/>
      <protection locked="0" hidden="1"/>
    </xf>
    <xf numFmtId="0" fontId="1" fillId="0" borderId="3" xfId="0" applyNumberFormat="1" applyFont="1" applyBorder="1" applyAlignment="1" applyProtection="1">
      <alignment horizontal="center" vertical="center"/>
      <protection hidden="1"/>
    </xf>
    <xf numFmtId="0" fontId="0" fillId="0" borderId="16" xfId="0" applyNumberFormat="1" applyFont="1" applyBorder="1" applyAlignment="1" applyProtection="1">
      <alignment horizontal="center" vertical="center"/>
      <protection locked="0" hidden="1"/>
    </xf>
    <xf numFmtId="0" fontId="0" fillId="0" borderId="17" xfId="0" applyNumberFormat="1" applyFont="1" applyBorder="1" applyAlignment="1" applyProtection="1">
      <alignment horizontal="center" vertical="center"/>
      <protection locked="0" hidden="1"/>
    </xf>
    <xf numFmtId="0" fontId="0" fillId="0" borderId="18" xfId="0" applyNumberFormat="1" applyFont="1" applyBorder="1" applyAlignment="1" applyProtection="1">
      <alignment horizontal="center" vertical="center"/>
      <protection locked="0" hidden="1"/>
    </xf>
    <xf numFmtId="0" fontId="0" fillId="0" borderId="22" xfId="0" applyNumberFormat="1" applyFont="1" applyBorder="1" applyAlignment="1" applyProtection="1">
      <alignment horizontal="center" vertical="center"/>
      <protection locked="0" hidden="1"/>
    </xf>
    <xf numFmtId="0" fontId="0" fillId="0" borderId="23" xfId="0" applyNumberFormat="1" applyFont="1" applyBorder="1" applyAlignment="1" applyProtection="1">
      <alignment horizontal="center" vertical="center"/>
      <protection locked="0" hidden="1"/>
    </xf>
    <xf numFmtId="0" fontId="0" fillId="0" borderId="24" xfId="0" applyNumberFormat="1" applyFont="1" applyBorder="1" applyAlignment="1" applyProtection="1">
      <alignment horizontal="center" vertical="center"/>
      <protection locked="0" hidden="1"/>
    </xf>
    <xf numFmtId="0" fontId="0" fillId="0" borderId="27" xfId="0" applyNumberFormat="1" applyFont="1" applyBorder="1" applyAlignment="1" applyProtection="1">
      <alignment horizontal="center" vertical="center"/>
      <protection locked="0" hidden="1"/>
    </xf>
    <xf numFmtId="0" fontId="0" fillId="0" borderId="28" xfId="0" applyNumberFormat="1" applyFont="1" applyBorder="1" applyAlignment="1" applyProtection="1">
      <alignment horizontal="center" vertical="center"/>
      <protection locked="0" hidden="1"/>
    </xf>
    <xf numFmtId="0" fontId="0" fillId="0" borderId="29" xfId="0" applyNumberFormat="1" applyFont="1" applyBorder="1" applyAlignment="1" applyProtection="1">
      <alignment horizontal="center" vertical="center"/>
      <protection locked="0" hidden="1"/>
    </xf>
    <xf numFmtId="0" fontId="1" fillId="0" borderId="3" xfId="0" applyNumberFormat="1" applyFont="1" applyFill="1" applyBorder="1" applyAlignment="1" applyProtection="1">
      <alignment horizontal="center" vertical="center"/>
      <protection hidden="1"/>
    </xf>
    <xf numFmtId="0" fontId="0" fillId="0" borderId="74" xfId="0" applyNumberFormat="1" applyFont="1" applyBorder="1" applyAlignment="1" applyProtection="1">
      <alignment horizontal="center" vertical="center"/>
      <protection locked="0" hidden="1"/>
    </xf>
    <xf numFmtId="0" fontId="0" fillId="0" borderId="94" xfId="0" applyNumberFormat="1" applyFont="1" applyBorder="1" applyAlignment="1" applyProtection="1">
      <alignment horizontal="center" vertical="center"/>
      <protection locked="0" hidden="1"/>
    </xf>
    <xf numFmtId="0" fontId="0" fillId="0" borderId="95" xfId="0" applyNumberFormat="1" applyFont="1" applyBorder="1" applyAlignment="1" applyProtection="1">
      <alignment horizontal="center" vertical="center"/>
      <protection locked="0" hidden="1"/>
    </xf>
    <xf numFmtId="0" fontId="0" fillId="0" borderId="94" xfId="0" applyFont="1" applyBorder="1" applyAlignment="1" applyProtection="1">
      <alignment horizontal="center" vertical="center"/>
      <protection locked="0" hidden="1"/>
    </xf>
    <xf numFmtId="0" fontId="0" fillId="26" borderId="12" xfId="0" applyNumberFormat="1" applyFont="1" applyFill="1" applyBorder="1" applyAlignment="1" applyProtection="1">
      <alignment horizontal="center" vertical="center"/>
      <protection hidden="1"/>
    </xf>
    <xf numFmtId="0" fontId="0" fillId="26" borderId="14" xfId="0" applyNumberFormat="1" applyFont="1" applyFill="1" applyBorder="1" applyAlignment="1" applyProtection="1">
      <alignment horizontal="center" vertical="center"/>
      <protection hidden="1"/>
    </xf>
    <xf numFmtId="0" fontId="0" fillId="26" borderId="13" xfId="0" applyNumberFormat="1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Protection="1"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Fill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 textRotation="90"/>
      <protection hidden="1"/>
    </xf>
    <xf numFmtId="0" fontId="0" fillId="16" borderId="82" xfId="0" applyFont="1" applyFill="1" applyBorder="1" applyAlignment="1" applyProtection="1">
      <alignment horizontal="center" vertical="center"/>
      <protection hidden="1"/>
    </xf>
    <xf numFmtId="0" fontId="0" fillId="18" borderId="82" xfId="0" applyFont="1" applyFill="1" applyBorder="1" applyAlignment="1" applyProtection="1">
      <alignment horizontal="center" vertical="center"/>
      <protection hidden="1"/>
    </xf>
    <xf numFmtId="0" fontId="1" fillId="0" borderId="59" xfId="0" applyFont="1" applyBorder="1" applyAlignment="1" applyProtection="1">
      <alignment horizontal="center" vertical="center"/>
      <protection hidden="1"/>
    </xf>
    <xf numFmtId="0" fontId="5" fillId="0" borderId="59" xfId="0" applyFont="1" applyFill="1" applyBorder="1" applyAlignment="1" applyProtection="1">
      <alignment horizontal="center" vertical="center"/>
      <protection hidden="1"/>
    </xf>
    <xf numFmtId="0" fontId="5" fillId="0" borderId="60" xfId="0" applyFont="1" applyFill="1" applyBorder="1" applyAlignment="1" applyProtection="1">
      <alignment horizontal="center" vertical="center"/>
      <protection hidden="1"/>
    </xf>
    <xf numFmtId="0" fontId="5" fillId="0" borderId="50" xfId="0" applyFont="1" applyFill="1" applyBorder="1" applyAlignment="1" applyProtection="1">
      <alignment horizontal="center" vertical="center"/>
      <protection hidden="1"/>
    </xf>
    <xf numFmtId="0" fontId="5" fillId="0" borderId="58" xfId="0" applyFont="1" applyFill="1" applyBorder="1" applyAlignment="1" applyProtection="1">
      <alignment horizontal="center" vertical="center"/>
      <protection hidden="1"/>
    </xf>
    <xf numFmtId="0" fontId="5" fillId="0" borderId="54" xfId="0" applyFont="1" applyFill="1" applyBorder="1" applyAlignment="1" applyProtection="1">
      <alignment horizontal="center" vertical="center"/>
      <protection hidden="1"/>
    </xf>
    <xf numFmtId="0" fontId="0" fillId="26" borderId="12" xfId="0" applyFont="1" applyFill="1" applyBorder="1" applyAlignment="1" applyProtection="1">
      <alignment horizontal="center" vertical="center"/>
      <protection hidden="1"/>
    </xf>
    <xf numFmtId="0" fontId="0" fillId="26" borderId="14" xfId="0" applyFont="1" applyFill="1" applyBorder="1" applyAlignment="1" applyProtection="1">
      <alignment horizontal="center" vertical="center"/>
      <protection hidden="1"/>
    </xf>
    <xf numFmtId="0" fontId="0" fillId="26" borderId="13" xfId="0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90" xfId="0" applyNumberFormat="1" applyFont="1" applyBorder="1" applyAlignment="1" applyProtection="1">
      <alignment horizontal="center" vertical="center"/>
      <protection hidden="1"/>
    </xf>
    <xf numFmtId="0" fontId="0" fillId="0" borderId="0" xfId="0" applyNumberFormat="1" applyFont="1" applyAlignment="1" applyProtection="1">
      <alignment horizontal="center" vertical="center"/>
      <protection hidden="1"/>
    </xf>
    <xf numFmtId="0" fontId="7" fillId="9" borderId="6" xfId="0" applyFont="1" applyFill="1" applyBorder="1" applyAlignment="1" applyProtection="1">
      <alignment horizontal="center" vertical="center"/>
      <protection hidden="1"/>
    </xf>
    <xf numFmtId="0" fontId="0" fillId="0" borderId="81" xfId="0" applyFont="1" applyBorder="1" applyAlignment="1" applyProtection="1">
      <alignment horizontal="center" vertical="center" textRotation="90"/>
      <protection hidden="1"/>
    </xf>
    <xf numFmtId="0" fontId="0" fillId="0" borderId="14" xfId="0" applyFont="1" applyBorder="1" applyAlignment="1" applyProtection="1">
      <alignment horizontal="center" vertical="center" textRotation="90"/>
      <protection hidden="1"/>
    </xf>
    <xf numFmtId="0" fontId="0" fillId="0" borderId="89" xfId="0" applyFont="1" applyBorder="1" applyAlignment="1" applyProtection="1">
      <alignment horizontal="center" vertical="center" textRotation="90"/>
      <protection hidden="1"/>
    </xf>
    <xf numFmtId="0" fontId="0" fillId="0" borderId="12" xfId="0" applyFont="1" applyBorder="1" applyAlignment="1" applyProtection="1">
      <alignment horizontal="center" vertical="center" textRotation="90"/>
      <protection hidden="1"/>
    </xf>
    <xf numFmtId="0" fontId="0" fillId="0" borderId="13" xfId="0" applyFont="1" applyBorder="1" applyAlignment="1" applyProtection="1">
      <alignment horizontal="center" vertical="center" textRotation="90"/>
      <protection hidden="1"/>
    </xf>
    <xf numFmtId="0" fontId="1" fillId="0" borderId="0" xfId="0" applyFont="1" applyProtection="1">
      <protection hidden="1"/>
    </xf>
    <xf numFmtId="0" fontId="7" fillId="0" borderId="0" xfId="0" applyNumberFormat="1" applyFont="1" applyFill="1" applyProtection="1">
      <protection hidden="1"/>
    </xf>
    <xf numFmtId="0" fontId="0" fillId="0" borderId="0" xfId="0" applyNumberFormat="1" applyFont="1" applyFill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 vertical="center"/>
      <protection hidden="1"/>
    </xf>
    <xf numFmtId="0" fontId="0" fillId="23" borderId="0" xfId="0" applyFill="1" applyBorder="1"/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20" borderId="36" xfId="0" applyFill="1" applyBorder="1" applyAlignment="1" applyProtection="1">
      <alignment horizontal="center" vertical="center"/>
    </xf>
    <xf numFmtId="0" fontId="0" fillId="20" borderId="37" xfId="0" applyFill="1" applyBorder="1" applyAlignment="1" applyProtection="1">
      <alignment horizontal="center" vertical="center"/>
    </xf>
    <xf numFmtId="0" fontId="2" fillId="20" borderId="86" xfId="0" applyFont="1" applyFill="1" applyBorder="1" applyAlignment="1" applyProtection="1">
      <alignment horizontal="center" vertical="center" wrapText="1"/>
    </xf>
    <xf numFmtId="0" fontId="2" fillId="20" borderId="87" xfId="0" applyFont="1" applyFill="1" applyBorder="1" applyAlignment="1" applyProtection="1">
      <alignment horizontal="center" vertical="center" wrapText="1"/>
    </xf>
    <xf numFmtId="0" fontId="5" fillId="21" borderId="32" xfId="0" applyFont="1" applyFill="1" applyBorder="1" applyAlignment="1" applyProtection="1">
      <alignment horizontal="center" vertical="center"/>
    </xf>
    <xf numFmtId="0" fontId="5" fillId="21" borderId="33" xfId="0" applyFont="1" applyFill="1" applyBorder="1" applyAlignment="1" applyProtection="1">
      <alignment horizontal="center" vertical="center"/>
    </xf>
    <xf numFmtId="0" fontId="0" fillId="21" borderId="47" xfId="0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17" borderId="31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2" borderId="31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5" fillId="0" borderId="15" xfId="0" applyFont="1" applyBorder="1" applyAlignment="1" applyProtection="1">
      <alignment horizontal="center" vertical="center"/>
      <protection hidden="1"/>
    </xf>
    <xf numFmtId="0" fontId="5" fillId="0" borderId="75" xfId="0" applyFont="1" applyBorder="1" applyAlignment="1" applyProtection="1">
      <alignment horizontal="center" vertical="center"/>
      <protection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0" fillId="21" borderId="78" xfId="0" applyFont="1" applyFill="1" applyBorder="1" applyAlignment="1" applyProtection="1">
      <alignment horizontal="center" vertical="center"/>
      <protection hidden="1"/>
    </xf>
    <xf numFmtId="0" fontId="5" fillId="0" borderId="26" xfId="0" applyFont="1" applyBorder="1" applyAlignment="1" applyProtection="1">
      <alignment horizontal="center" vertical="center"/>
      <protection hidden="1"/>
    </xf>
    <xf numFmtId="0" fontId="5" fillId="0" borderId="76" xfId="0" applyFont="1" applyBorder="1" applyAlignment="1" applyProtection="1">
      <alignment horizontal="center" vertical="center"/>
      <protection hidden="1"/>
    </xf>
    <xf numFmtId="0" fontId="5" fillId="0" borderId="20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6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6" xfId="0" applyFill="1" applyBorder="1" applyAlignment="1" applyProtection="1">
      <alignment horizontal="center" vertical="center" wrapText="1"/>
    </xf>
    <xf numFmtId="0" fontId="0" fillId="24" borderId="12" xfId="0" applyFill="1" applyBorder="1" applyAlignment="1" applyProtection="1">
      <alignment horizontal="center" vertical="center"/>
    </xf>
    <xf numFmtId="0" fontId="0" fillId="24" borderId="13" xfId="0" applyFill="1" applyBorder="1" applyAlignment="1" applyProtection="1">
      <alignment horizontal="center" vertical="center"/>
    </xf>
  </cellXfs>
  <cellStyles count="3"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colors>
    <mruColors>
      <color rgb="FF33CC33"/>
      <color rgb="FFFF5D37"/>
      <color rgb="FFB07BD7"/>
      <color rgb="FFFF3300"/>
      <color rgb="FFFFCF37"/>
      <color rgb="FFE0C13C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C33"/>
  <sheetViews>
    <sheetView topLeftCell="A11" zoomScale="90" zoomScaleNormal="90" workbookViewId="0">
      <selection activeCell="A2" sqref="A2:A3"/>
    </sheetView>
  </sheetViews>
  <sheetFormatPr baseColWidth="10" defaultRowHeight="15" x14ac:dyDescent="0.25"/>
  <cols>
    <col min="1" max="1" width="30.7109375" style="14" customWidth="1"/>
    <col min="2" max="27" width="6.7109375" style="14" customWidth="1"/>
    <col min="28" max="28" width="3" style="14" customWidth="1"/>
    <col min="29" max="29" width="20.140625" style="14" customWidth="1"/>
    <col min="30" max="16384" width="11.42578125" style="14"/>
  </cols>
  <sheetData>
    <row r="1" spans="1:29" ht="31.5" customHeight="1" thickBot="1" x14ac:dyDescent="0.3">
      <c r="A1" s="37" t="s">
        <v>67</v>
      </c>
      <c r="B1" s="206" t="s">
        <v>0</v>
      </c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7"/>
      <c r="AC1" s="38" t="s">
        <v>40</v>
      </c>
    </row>
    <row r="2" spans="1:29" ht="24.95" customHeight="1" thickTop="1" x14ac:dyDescent="0.25">
      <c r="A2" s="208" t="s">
        <v>1</v>
      </c>
      <c r="B2" s="210" t="s">
        <v>2</v>
      </c>
      <c r="C2" s="210"/>
      <c r="D2" s="210"/>
      <c r="E2" s="211"/>
      <c r="F2" s="212" t="s">
        <v>3</v>
      </c>
      <c r="G2" s="213"/>
      <c r="H2" s="213"/>
      <c r="I2" s="214"/>
      <c r="J2" s="212" t="s">
        <v>4</v>
      </c>
      <c r="K2" s="213"/>
      <c r="L2" s="213"/>
      <c r="M2" s="214"/>
      <c r="N2" s="212" t="s">
        <v>5</v>
      </c>
      <c r="O2" s="213"/>
      <c r="P2" s="213"/>
      <c r="Q2" s="214"/>
      <c r="R2" s="212" t="s">
        <v>6</v>
      </c>
      <c r="S2" s="213"/>
      <c r="T2" s="213"/>
      <c r="U2" s="214"/>
      <c r="V2" s="215" t="s">
        <v>38</v>
      </c>
      <c r="W2" s="216"/>
      <c r="X2" s="217"/>
      <c r="Y2" s="218" t="s">
        <v>36</v>
      </c>
      <c r="Z2" s="219"/>
      <c r="AA2" s="220"/>
      <c r="AC2" s="47" t="s">
        <v>48</v>
      </c>
    </row>
    <row r="3" spans="1:29" ht="24.95" customHeight="1" thickBot="1" x14ac:dyDescent="0.3">
      <c r="A3" s="209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46</v>
      </c>
    </row>
    <row r="4" spans="1:29" ht="15.75" customHeight="1" thickTop="1" x14ac:dyDescent="0.25">
      <c r="A4" s="44" t="str">
        <f ca="1">CELL("contenu",INDIRECT(ADDRESS(ROW()-2,1,1,,CELL("contenu",$AC$3))))</f>
        <v>ALARDIN Anouk</v>
      </c>
      <c r="B4" s="1" t="str">
        <f ca="1">CELL("contenu",INDIRECT(ADDRESS(ref!$K$3,ref!E3,1,,CELL("contenu",$AC$2))))</f>
        <v>A</v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>A</v>
      </c>
      <c r="F4" s="5" t="str">
        <f ca="1">CELL("contenu",INDIRECT(ADDRESS(ref!$K$4,ref!E3,1,,CELL("contenu",$AC$2))))</f>
        <v>A</v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>A</v>
      </c>
      <c r="J4" s="5" t="str">
        <f ca="1">CELL("contenu",INDIRECT(ADDRESS(ref!$K$5,ref!E3,1,,CELL("contenu",$AC$2))))</f>
        <v>A</v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>A</v>
      </c>
      <c r="N4" s="5" t="str">
        <f ca="1">CELL("contenu",INDIRECT(ADDRESS(ref!$K$6,ref!E3,1,,CELL("contenu",$AC$2))))</f>
        <v>A</v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>A</v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>
        <f ca="1">CELL("contenu",INDIRECT(ADDRESS(ref!$K$8,ref!E3,1,,CELL("contenu",$AC$2))))</f>
        <v>20</v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>A</v>
      </c>
      <c r="Z4" s="3" t="str">
        <f ca="1">CELL("contenu",INDIRECT(ADDRESS(ref!$K$10,ref!H3,1,,CELL("contenu",$AC$2))))</f>
        <v>A</v>
      </c>
      <c r="AA4" s="7" t="str">
        <f ca="1">CELL("contenu",INDIRECT(ADDRESS(ref!$K$11,ref!H3,1,,CELL("contenu",$AC$2))))</f>
        <v/>
      </c>
    </row>
    <row r="5" spans="1:29" x14ac:dyDescent="0.25">
      <c r="A5" s="45" t="str">
        <f ca="1">CELL("contenu",INDIRECT(ADDRESS(ROW()-2,1,1,,CELL("contenu",$AC$3))))</f>
        <v>BESNIER Gabriel</v>
      </c>
      <c r="B5" s="1" t="str">
        <f ca="1">CELL("contenu",INDIRECT(ADDRESS(ref!$K$3,ref!E4,1,,CELL("contenu",$AC$2))))</f>
        <v>B</v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>B</v>
      </c>
      <c r="F5" s="5" t="str">
        <f ca="1">CELL("contenu",INDIRECT(ADDRESS(ref!$K$4,ref!E4,1,,CELL("contenu",$AC$2))))</f>
        <v>A</v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>A</v>
      </c>
      <c r="J5" s="5" t="str">
        <f ca="1">CELL("contenu",INDIRECT(ADDRESS(ref!$K$5,ref!E4,1,,CELL("contenu",$AC$2))))</f>
        <v>A</v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>A</v>
      </c>
      <c r="N5" s="5" t="str">
        <f ca="1">CELL("contenu",INDIRECT(ADDRESS(ref!$K$6,ref!E4,1,,CELL("contenu",$AC$2))))</f>
        <v>C</v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>C</v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>
        <f ca="1">CELL("contenu",INDIRECT(ADDRESS(ref!$K$8,ref!E4,1,,CELL("contenu",$AC$2))))</f>
        <v>15</v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>A</v>
      </c>
      <c r="Z5" s="3" t="str">
        <f ca="1">CELL("contenu",INDIRECT(ADDRESS(ref!$K$10,ref!H4,1,,CELL("contenu",$AC$2))))</f>
        <v>A</v>
      </c>
      <c r="AA5" s="7" t="str">
        <f ca="1">CELL("contenu",INDIRECT(ADDRESS(ref!$K$11,ref!H4,1,,CELL("contenu",$AC$2))))</f>
        <v/>
      </c>
    </row>
    <row r="6" spans="1:29" x14ac:dyDescent="0.25">
      <c r="A6" s="45" t="str">
        <f t="shared" ref="A6:A33" ca="1" si="0">CELL("contenu",INDIRECT(ADDRESS(ROW()-2,1,1,,CELL("contenu",$AC$3))))</f>
        <v>BIDAULT Camille</v>
      </c>
      <c r="B6" s="1" t="str">
        <f ca="1">CELL("contenu",INDIRECT(ADDRESS(ref!$K$3,ref!E5,1,,CELL("contenu",$AC$2))))</f>
        <v>C</v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>C</v>
      </c>
      <c r="F6" s="5" t="str">
        <f ca="1">CELL("contenu",INDIRECT(ADDRESS(ref!$K$4,ref!E5,1,,CELL("contenu",$AC$2))))</f>
        <v>C</v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>C</v>
      </c>
      <c r="J6" s="5" t="str">
        <f ca="1">CELL("contenu",INDIRECT(ADDRESS(ref!$K$5,ref!E5,1,,CELL("contenu",$AC$2))))</f>
        <v>D</v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>D</v>
      </c>
      <c r="N6" s="5" t="str">
        <f ca="1">CELL("contenu",INDIRECT(ADDRESS(ref!$K$6,ref!E5,1,,CELL("contenu",$AC$2))))</f>
        <v>A</v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>A</v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>
        <f ca="1">CELL("contenu",INDIRECT(ADDRESS(ref!$K$8,ref!E5,1,,CELL("contenu",$AC$2))))</f>
        <v>13.75</v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>C</v>
      </c>
      <c r="Z6" s="3" t="str">
        <f ca="1">CELL("contenu",INDIRECT(ADDRESS(ref!$K$10,ref!H5,1,,CELL("contenu",$AC$2))))</f>
        <v>B</v>
      </c>
      <c r="AA6" s="7" t="str">
        <f ca="1">CELL("contenu",INDIRECT(ADDRESS(ref!$K$11,ref!H5,1,,CELL("contenu",$AC$2))))</f>
        <v/>
      </c>
    </row>
    <row r="7" spans="1:29" x14ac:dyDescent="0.25">
      <c r="A7" s="45" t="str">
        <f t="shared" ca="1" si="0"/>
        <v>BLANCHET Camille</v>
      </c>
      <c r="B7" s="1" t="str">
        <f ca="1">CELL("contenu",INDIRECT(ADDRESS(ref!$K$3,ref!E6,1,,CELL("contenu",$AC$2))))</f>
        <v>C</v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>C</v>
      </c>
      <c r="F7" s="5" t="str">
        <f ca="1">CELL("contenu",INDIRECT(ADDRESS(ref!$K$4,ref!E6,1,,CELL("contenu",$AC$2))))</f>
        <v>B</v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>B</v>
      </c>
      <c r="J7" s="5" t="str">
        <f ca="1">CELL("contenu",INDIRECT(ADDRESS(ref!$K$5,ref!E6,1,,CELL("contenu",$AC$2))))</f>
        <v>B</v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>B</v>
      </c>
      <c r="N7" s="5" t="str">
        <f ca="1">CELL("contenu",INDIRECT(ADDRESS(ref!$K$6,ref!E6,1,,CELL("contenu",$AC$2))))</f>
        <v>B</v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>B</v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>
        <f ca="1">CELL("contenu",INDIRECT(ADDRESS(ref!$K$8,ref!E6,1,,CELL("contenu",$AC$2))))</f>
        <v>13.75</v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>C</v>
      </c>
      <c r="Z7" s="3" t="str">
        <f ca="1">CELL("contenu",INDIRECT(ADDRESS(ref!$K$10,ref!H6,1,,CELL("contenu",$AC$2))))</f>
        <v>A</v>
      </c>
      <c r="AA7" s="7" t="str">
        <f ca="1">CELL("contenu",INDIRECT(ADDRESS(ref!$K$11,ref!H6,1,,CELL("contenu",$AC$2))))</f>
        <v/>
      </c>
    </row>
    <row r="8" spans="1:29" x14ac:dyDescent="0.25">
      <c r="A8" s="45" t="str">
        <f t="shared" ca="1" si="0"/>
        <v>BOUCHER Hortense</v>
      </c>
      <c r="B8" s="1" t="str">
        <f ca="1">CELL("contenu",INDIRECT(ADDRESS(ref!$K$3,ref!E7,1,,CELL("contenu",$AC$2))))</f>
        <v>B</v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>B</v>
      </c>
      <c r="F8" s="5" t="str">
        <f ca="1">CELL("contenu",INDIRECT(ADDRESS(ref!$K$4,ref!E7,1,,CELL("contenu",$AC$2))))</f>
        <v>B</v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>B</v>
      </c>
      <c r="J8" s="5" t="str">
        <f ca="1">CELL("contenu",INDIRECT(ADDRESS(ref!$K$5,ref!E7,1,,CELL("contenu",$AC$2))))</f>
        <v>A</v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>A</v>
      </c>
      <c r="N8" s="5" t="str">
        <f ca="1">CELL("contenu",INDIRECT(ADDRESS(ref!$K$6,ref!E7,1,,CELL("contenu",$AC$2))))</f>
        <v>A</v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>A</v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>
        <f ca="1">CELL("contenu",INDIRECT(ADDRESS(ref!$K$8,ref!E7,1,,CELL("contenu",$AC$2))))</f>
        <v>18.125</v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>B</v>
      </c>
      <c r="Z8" s="3" t="str">
        <f ca="1">CELL("contenu",INDIRECT(ADDRESS(ref!$K$10,ref!H7,1,,CELL("contenu",$AC$2))))</f>
        <v>A</v>
      </c>
      <c r="AA8" s="7" t="str">
        <f ca="1">CELL("contenu",INDIRECT(ADDRESS(ref!$K$11,ref!H7,1,,CELL("contenu",$AC$2))))</f>
        <v/>
      </c>
    </row>
    <row r="9" spans="1:29" x14ac:dyDescent="0.25">
      <c r="A9" s="45" t="str">
        <f t="shared" ca="1" si="0"/>
        <v>CHADOZEAU Agathe</v>
      </c>
      <c r="B9" s="1" t="str">
        <f ca="1">CELL("contenu",INDIRECT(ADDRESS(ref!$K$3,ref!E8,1,,CELL("contenu",$AC$2))))</f>
        <v>B</v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>B</v>
      </c>
      <c r="F9" s="5" t="str">
        <f ca="1">CELL("contenu",INDIRECT(ADDRESS(ref!$K$4,ref!E8,1,,CELL("contenu",$AC$2))))</f>
        <v>A</v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>A</v>
      </c>
      <c r="J9" s="5" t="str">
        <f ca="1">CELL("contenu",INDIRECT(ADDRESS(ref!$K$5,ref!E8,1,,CELL("contenu",$AC$2))))</f>
        <v>A</v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>A</v>
      </c>
      <c r="N9" s="5" t="str">
        <f ca="1">CELL("contenu",INDIRECT(ADDRESS(ref!$K$6,ref!E8,1,,CELL("contenu",$AC$2))))</f>
        <v>A</v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>A</v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>
        <f ca="1">CELL("contenu",INDIRECT(ADDRESS(ref!$K$8,ref!E8,1,,CELL("contenu",$AC$2))))</f>
        <v>18.75</v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>A</v>
      </c>
      <c r="Z9" s="3" t="str">
        <f ca="1">CELL("contenu",INDIRECT(ADDRESS(ref!$K$10,ref!H8,1,,CELL("contenu",$AC$2))))</f>
        <v>A</v>
      </c>
      <c r="AA9" s="7" t="str">
        <f ca="1">CELL("contenu",INDIRECT(ADDRESS(ref!$K$11,ref!H8,1,,CELL("contenu",$AC$2))))</f>
        <v/>
      </c>
    </row>
    <row r="10" spans="1:29" x14ac:dyDescent="0.25">
      <c r="A10" s="45" t="str">
        <f t="shared" ca="1" si="0"/>
        <v>CHALAND Marine</v>
      </c>
      <c r="B10" s="1" t="str">
        <f ca="1">CELL("contenu",INDIRECT(ADDRESS(ref!$K$3,ref!E9,1,,CELL("contenu",$AC$2))))</f>
        <v>B</v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>B</v>
      </c>
      <c r="F10" s="5" t="str">
        <f ca="1">CELL("contenu",INDIRECT(ADDRESS(ref!$K$4,ref!E9,1,,CELL("contenu",$AC$2))))</f>
        <v>B</v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>B</v>
      </c>
      <c r="J10" s="5" t="str">
        <f ca="1">CELL("contenu",INDIRECT(ADDRESS(ref!$K$5,ref!E9,1,,CELL("contenu",$AC$2))))</f>
        <v>A</v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>A</v>
      </c>
      <c r="N10" s="5" t="str">
        <f ca="1">CELL("contenu",INDIRECT(ADDRESS(ref!$K$6,ref!E9,1,,CELL("contenu",$AC$2))))</f>
        <v>B</v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>B</v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>
        <f ca="1">CELL("contenu",INDIRECT(ADDRESS(ref!$K$8,ref!E9,1,,CELL("contenu",$AC$2))))</f>
        <v>16.25</v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>B</v>
      </c>
      <c r="Z10" s="3" t="str">
        <f ca="1">CELL("contenu",INDIRECT(ADDRESS(ref!$K$10,ref!H9,1,,CELL("contenu",$AC$2))))</f>
        <v>A</v>
      </c>
      <c r="AA10" s="7" t="str">
        <f ca="1">CELL("contenu",INDIRECT(ADDRESS(ref!$K$11,ref!H9,1,,CELL("contenu",$AC$2))))</f>
        <v/>
      </c>
    </row>
    <row r="11" spans="1:29" x14ac:dyDescent="0.25">
      <c r="A11" s="45" t="str">
        <f t="shared" ca="1" si="0"/>
        <v>CORNIL Justine</v>
      </c>
      <c r="B11" s="1" t="str">
        <f ca="1">CELL("contenu",INDIRECT(ADDRESS(ref!$K$3,ref!E10,1,,CELL("contenu",$AC$2))))</f>
        <v>B</v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>B</v>
      </c>
      <c r="F11" s="5" t="str">
        <f ca="1">CELL("contenu",INDIRECT(ADDRESS(ref!$K$4,ref!E10,1,,CELL("contenu",$AC$2))))</f>
        <v>B</v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>B</v>
      </c>
      <c r="J11" s="5" t="str">
        <f ca="1">CELL("contenu",INDIRECT(ADDRESS(ref!$K$5,ref!E10,1,,CELL("contenu",$AC$2))))</f>
        <v>A</v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>A</v>
      </c>
      <c r="N11" s="5" t="str">
        <f ca="1">CELL("contenu",INDIRECT(ADDRESS(ref!$K$6,ref!E10,1,,CELL("contenu",$AC$2))))</f>
        <v>A</v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>A</v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>
        <f ca="1">CELL("contenu",INDIRECT(ADDRESS(ref!$K$8,ref!E10,1,,CELL("contenu",$AC$2))))</f>
        <v>18.125</v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>B</v>
      </c>
      <c r="Z11" s="3" t="str">
        <f ca="1">CELL("contenu",INDIRECT(ADDRESS(ref!$K$10,ref!H10,1,,CELL("contenu",$AC$2))))</f>
        <v>A</v>
      </c>
      <c r="AA11" s="7" t="str">
        <f ca="1">CELL("contenu",INDIRECT(ADDRESS(ref!$K$11,ref!H10,1,,CELL("contenu",$AC$2))))</f>
        <v/>
      </c>
    </row>
    <row r="12" spans="1:29" x14ac:dyDescent="0.25">
      <c r="A12" s="45" t="str">
        <f t="shared" ca="1" si="0"/>
        <v>CORNILLEAU Camille</v>
      </c>
      <c r="B12" s="1" t="str">
        <f ca="1">CELL("contenu",INDIRECT(ADDRESS(ref!$K$3,ref!E11,1,,CELL("contenu",$AC$2))))</f>
        <v>B</v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>B</v>
      </c>
      <c r="F12" s="5" t="str">
        <f ca="1">CELL("contenu",INDIRECT(ADDRESS(ref!$K$4,ref!E11,1,,CELL("contenu",$AC$2))))</f>
        <v>B</v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>B</v>
      </c>
      <c r="J12" s="5" t="str">
        <f ca="1">CELL("contenu",INDIRECT(ADDRESS(ref!$K$5,ref!E11,1,,CELL("contenu",$AC$2))))</f>
        <v>B</v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>B</v>
      </c>
      <c r="N12" s="5" t="str">
        <f ca="1">CELL("contenu",INDIRECT(ADDRESS(ref!$K$6,ref!E11,1,,CELL("contenu",$AC$2))))</f>
        <v>A</v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>A</v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>
        <f ca="1">CELL("contenu",INDIRECT(ADDRESS(ref!$K$8,ref!E11,1,,CELL("contenu",$AC$2))))</f>
        <v>17.5</v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>B</v>
      </c>
      <c r="Z12" s="3" t="str">
        <f ca="1">CELL("contenu",INDIRECT(ADDRESS(ref!$K$10,ref!H11,1,,CELL("contenu",$AC$2))))</f>
        <v>A</v>
      </c>
      <c r="AA12" s="7" t="str">
        <f ca="1">CELL("contenu",INDIRECT(ADDRESS(ref!$K$11,ref!H11,1,,CELL("contenu",$AC$2))))</f>
        <v/>
      </c>
    </row>
    <row r="13" spans="1:29" x14ac:dyDescent="0.25">
      <c r="A13" s="45" t="str">
        <f t="shared" ca="1" si="0"/>
        <v>COURAUD Axelle</v>
      </c>
      <c r="B13" s="1" t="str">
        <f ca="1">CELL("contenu",INDIRECT(ADDRESS(ref!$K$3,ref!E12,1,,CELL("contenu",$AC$2))))</f>
        <v>B</v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>B</v>
      </c>
      <c r="F13" s="5" t="str">
        <f ca="1">CELL("contenu",INDIRECT(ADDRESS(ref!$K$4,ref!E12,1,,CELL("contenu",$AC$2))))</f>
        <v>B</v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>B</v>
      </c>
      <c r="J13" s="5" t="str">
        <f ca="1">CELL("contenu",INDIRECT(ADDRESS(ref!$K$5,ref!E12,1,,CELL("contenu",$AC$2))))</f>
        <v>A</v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>A</v>
      </c>
      <c r="N13" s="5" t="str">
        <f ca="1">CELL("contenu",INDIRECT(ADDRESS(ref!$K$6,ref!E12,1,,CELL("contenu",$AC$2))))</f>
        <v>B</v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>B</v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>
        <f ca="1">CELL("contenu",INDIRECT(ADDRESS(ref!$K$8,ref!E12,1,,CELL("contenu",$AC$2))))</f>
        <v>16.25</v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>B</v>
      </c>
      <c r="Z13" s="3" t="str">
        <f ca="1">CELL("contenu",INDIRECT(ADDRESS(ref!$K$10,ref!H12,1,,CELL("contenu",$AC$2))))</f>
        <v>A</v>
      </c>
      <c r="AA13" s="7" t="str">
        <f ca="1">CELL("contenu",INDIRECT(ADDRESS(ref!$K$11,ref!H12,1,,CELL("contenu",$AC$2))))</f>
        <v/>
      </c>
    </row>
    <row r="14" spans="1:29" x14ac:dyDescent="0.25">
      <c r="A14" s="45" t="str">
        <f t="shared" ca="1" si="0"/>
        <v>DE BENGY Thomas</v>
      </c>
      <c r="B14" s="1" t="str">
        <f ca="1">CELL("contenu",INDIRECT(ADDRESS(ref!$K$3,ref!E13,1,,CELL("contenu",$AC$2))))</f>
        <v>B</v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>B</v>
      </c>
      <c r="F14" s="5" t="str">
        <f ca="1">CELL("contenu",INDIRECT(ADDRESS(ref!$K$4,ref!E13,1,,CELL("contenu",$AC$2))))</f>
        <v>B</v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>B</v>
      </c>
      <c r="J14" s="5" t="str">
        <f ca="1">CELL("contenu",INDIRECT(ADDRESS(ref!$K$5,ref!E13,1,,CELL("contenu",$AC$2))))</f>
        <v>A</v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>A</v>
      </c>
      <c r="N14" s="5" t="str">
        <f ca="1">CELL("contenu",INDIRECT(ADDRESS(ref!$K$6,ref!E13,1,,CELL("contenu",$AC$2))))</f>
        <v>B</v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>B</v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>
        <f ca="1">CELL("contenu",INDIRECT(ADDRESS(ref!$K$8,ref!E13,1,,CELL("contenu",$AC$2))))</f>
        <v>15.625</v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>B</v>
      </c>
      <c r="Z14" s="3" t="str">
        <f ca="1">CELL("contenu",INDIRECT(ADDRESS(ref!$K$10,ref!H13,1,,CELL("contenu",$AC$2))))</f>
        <v>B</v>
      </c>
      <c r="AA14" s="7" t="str">
        <f ca="1">CELL("contenu",INDIRECT(ADDRESS(ref!$K$11,ref!H13,1,,CELL("contenu",$AC$2))))</f>
        <v/>
      </c>
    </row>
    <row r="15" spans="1:29" x14ac:dyDescent="0.25">
      <c r="A15" s="45" t="str">
        <f t="shared" ca="1" si="0"/>
        <v>DESEILLE Gaston</v>
      </c>
      <c r="B15" s="1" t="str">
        <f ca="1">CELL("contenu",INDIRECT(ADDRESS(ref!$K$3,ref!E14,1,,CELL("contenu",$AC$2))))</f>
        <v>B</v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>B</v>
      </c>
      <c r="F15" s="5" t="str">
        <f ca="1">CELL("contenu",INDIRECT(ADDRESS(ref!$K$4,ref!E14,1,,CELL("contenu",$AC$2))))</f>
        <v>A</v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>A</v>
      </c>
      <c r="J15" s="5" t="str">
        <f ca="1">CELL("contenu",INDIRECT(ADDRESS(ref!$K$5,ref!E14,1,,CELL("contenu",$AC$2))))</f>
        <v>A</v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>A</v>
      </c>
      <c r="N15" s="5" t="str">
        <f ca="1">CELL("contenu",INDIRECT(ADDRESS(ref!$K$6,ref!E14,1,,CELL("contenu",$AC$2))))</f>
        <v>B</v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>B</v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>
        <f ca="1">CELL("contenu",INDIRECT(ADDRESS(ref!$K$8,ref!E14,1,,CELL("contenu",$AC$2))))</f>
        <v>16.875</v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>A</v>
      </c>
      <c r="Z15" s="3" t="str">
        <f ca="1">CELL("contenu",INDIRECT(ADDRESS(ref!$K$10,ref!H14,1,,CELL("contenu",$AC$2))))</f>
        <v>A</v>
      </c>
      <c r="AA15" s="7" t="str">
        <f ca="1">CELL("contenu",INDIRECT(ADDRESS(ref!$K$11,ref!H14,1,,CELL("contenu",$AC$2))))</f>
        <v/>
      </c>
    </row>
    <row r="16" spans="1:29" x14ac:dyDescent="0.25">
      <c r="A16" s="45" t="str">
        <f t="shared" ca="1" si="0"/>
        <v>FARMAN Mahaut</v>
      </c>
      <c r="B16" s="1" t="str">
        <f ca="1">CELL("contenu",INDIRECT(ADDRESS(ref!$K$3,ref!E15,1,,CELL("contenu",$AC$2))))</f>
        <v>B</v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>B</v>
      </c>
      <c r="F16" s="5" t="str">
        <f ca="1">CELL("contenu",INDIRECT(ADDRESS(ref!$K$4,ref!E15,1,,CELL("contenu",$AC$2))))</f>
        <v>B</v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>B</v>
      </c>
      <c r="J16" s="5" t="str">
        <f ca="1">CELL("contenu",INDIRECT(ADDRESS(ref!$K$5,ref!E15,1,,CELL("contenu",$AC$2))))</f>
        <v>A</v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>A</v>
      </c>
      <c r="N16" s="5" t="str">
        <f ca="1">CELL("contenu",INDIRECT(ADDRESS(ref!$K$6,ref!E15,1,,CELL("contenu",$AC$2))))</f>
        <v>B</v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>B</v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>
        <f ca="1">CELL("contenu",INDIRECT(ADDRESS(ref!$K$8,ref!E15,1,,CELL("contenu",$AC$2))))</f>
        <v>16.25</v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>B</v>
      </c>
      <c r="Z16" s="3" t="str">
        <f ca="1">CELL("contenu",INDIRECT(ADDRESS(ref!$K$10,ref!H15,1,,CELL("contenu",$AC$2))))</f>
        <v>A</v>
      </c>
      <c r="AA16" s="7" t="str">
        <f ca="1">CELL("contenu",INDIRECT(ADDRESS(ref!$K$11,ref!H15,1,,CELL("contenu",$AC$2))))</f>
        <v/>
      </c>
    </row>
    <row r="17" spans="1:27" x14ac:dyDescent="0.25">
      <c r="A17" s="45" t="str">
        <f t="shared" ca="1" si="0"/>
        <v>FREDOILLE Mylan</v>
      </c>
      <c r="B17" s="1" t="str">
        <f ca="1">CELL("contenu",INDIRECT(ADDRESS(ref!$K$3,ref!E16,1,,CELL("contenu",$AC$2))))</f>
        <v>B</v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>B</v>
      </c>
      <c r="F17" s="5" t="str">
        <f ca="1">CELL("contenu",INDIRECT(ADDRESS(ref!$K$4,ref!E16,1,,CELL("contenu",$AC$2))))</f>
        <v>A</v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>A</v>
      </c>
      <c r="J17" s="5" t="str">
        <f ca="1">CELL("contenu",INDIRECT(ADDRESS(ref!$K$5,ref!E16,1,,CELL("contenu",$AC$2))))</f>
        <v>A</v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>A</v>
      </c>
      <c r="N17" s="5" t="str">
        <f ca="1">CELL("contenu",INDIRECT(ADDRESS(ref!$K$6,ref!E16,1,,CELL("contenu",$AC$2))))</f>
        <v>B</v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>B</v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>
        <f ca="1">CELL("contenu",INDIRECT(ADDRESS(ref!$K$8,ref!E16,1,,CELL("contenu",$AC$2))))</f>
        <v>16.875</v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>A</v>
      </c>
      <c r="Z17" s="3" t="str">
        <f ca="1">CELL("contenu",INDIRECT(ADDRESS(ref!$K$10,ref!H16,1,,CELL("contenu",$AC$2))))</f>
        <v>A</v>
      </c>
      <c r="AA17" s="7" t="str">
        <f ca="1">CELL("contenu",INDIRECT(ADDRESS(ref!$K$11,ref!H16,1,,CELL("contenu",$AC$2))))</f>
        <v/>
      </c>
    </row>
    <row r="18" spans="1:27" x14ac:dyDescent="0.25">
      <c r="A18" s="45" t="str">
        <f t="shared" ca="1" si="0"/>
        <v>GALENNE--PARISOT Titouan</v>
      </c>
      <c r="B18" s="1" t="str">
        <f ca="1">CELL("contenu",INDIRECT(ADDRESS(ref!$K$3,ref!E17,1,,CELL("contenu",$AC$2))))</f>
        <v>B</v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>B</v>
      </c>
      <c r="F18" s="5" t="str">
        <f ca="1">CELL("contenu",INDIRECT(ADDRESS(ref!$K$4,ref!E17,1,,CELL("contenu",$AC$2))))</f>
        <v>A</v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>A</v>
      </c>
      <c r="J18" s="5" t="str">
        <f ca="1">CELL("contenu",INDIRECT(ADDRESS(ref!$K$5,ref!E17,1,,CELL("contenu",$AC$2))))</f>
        <v>A</v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>A</v>
      </c>
      <c r="N18" s="5" t="str">
        <f ca="1">CELL("contenu",INDIRECT(ADDRESS(ref!$K$6,ref!E17,1,,CELL("contenu",$AC$2))))</f>
        <v>A</v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>A</v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>
        <f ca="1">CELL("contenu",INDIRECT(ADDRESS(ref!$K$8,ref!E17,1,,CELL("contenu",$AC$2))))</f>
        <v>18.75</v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>A</v>
      </c>
      <c r="Z18" s="3" t="str">
        <f ca="1">CELL("contenu",INDIRECT(ADDRESS(ref!$K$10,ref!H17,1,,CELL("contenu",$AC$2))))</f>
        <v>A</v>
      </c>
      <c r="AA18" s="7" t="str">
        <f ca="1">CELL("contenu",INDIRECT(ADDRESS(ref!$K$11,ref!H17,1,,CELL("contenu",$AC$2))))</f>
        <v/>
      </c>
    </row>
    <row r="19" spans="1:27" x14ac:dyDescent="0.25">
      <c r="A19" s="45" t="str">
        <f t="shared" ca="1" si="0"/>
        <v>GENEVEE Apolline</v>
      </c>
      <c r="B19" s="1" t="str">
        <f ca="1">CELL("contenu",INDIRECT(ADDRESS(ref!$K$3,ref!E18,1,,CELL("contenu",$AC$2))))</f>
        <v>B</v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>B</v>
      </c>
      <c r="F19" s="5" t="str">
        <f ca="1">CELL("contenu",INDIRECT(ADDRESS(ref!$K$4,ref!E18,1,,CELL("contenu",$AC$2))))</f>
        <v>A</v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>A</v>
      </c>
      <c r="J19" s="5" t="str">
        <f ca="1">CELL("contenu",INDIRECT(ADDRESS(ref!$K$5,ref!E18,1,,CELL("contenu",$AC$2))))</f>
        <v>A</v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>A</v>
      </c>
      <c r="N19" s="5" t="str">
        <f ca="1">CELL("contenu",INDIRECT(ADDRESS(ref!$K$6,ref!E18,1,,CELL("contenu",$AC$2))))</f>
        <v>A</v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>A</v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>
        <f ca="1">CELL("contenu",INDIRECT(ADDRESS(ref!$K$8,ref!E18,1,,CELL("contenu",$AC$2))))</f>
        <v>18.75</v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>A</v>
      </c>
      <c r="Z19" s="3" t="str">
        <f ca="1">CELL("contenu",INDIRECT(ADDRESS(ref!$K$10,ref!H18,1,,CELL("contenu",$AC$2))))</f>
        <v>A</v>
      </c>
      <c r="AA19" s="7" t="str">
        <f ca="1">CELL("contenu",INDIRECT(ADDRESS(ref!$K$11,ref!H18,1,,CELL("contenu",$AC$2))))</f>
        <v/>
      </c>
    </row>
    <row r="20" spans="1:27" x14ac:dyDescent="0.25">
      <c r="A20" s="45" t="str">
        <f t="shared" ca="1" si="0"/>
        <v>GODON Maximilien</v>
      </c>
      <c r="B20" s="1" t="str">
        <f ca="1">CELL("contenu",INDIRECT(ADDRESS(ref!$K$3,ref!E19,1,,CELL("contenu",$AC$2))))</f>
        <v>A</v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>A</v>
      </c>
      <c r="F20" s="5" t="str">
        <f ca="1">CELL("contenu",INDIRECT(ADDRESS(ref!$K$4,ref!E19,1,,CELL("contenu",$AC$2))))</f>
        <v>A</v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>A</v>
      </c>
      <c r="J20" s="5" t="str">
        <f ca="1">CELL("contenu",INDIRECT(ADDRESS(ref!$K$5,ref!E19,1,,CELL("contenu",$AC$2))))</f>
        <v>A</v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>A</v>
      </c>
      <c r="N20" s="5" t="str">
        <f ca="1">CELL("contenu",INDIRECT(ADDRESS(ref!$K$6,ref!E19,1,,CELL("contenu",$AC$2))))</f>
        <v>A</v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>A</v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>
        <f ca="1">CELL("contenu",INDIRECT(ADDRESS(ref!$K$8,ref!E19,1,,CELL("contenu",$AC$2))))</f>
        <v>20</v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>A</v>
      </c>
      <c r="Z20" s="3" t="str">
        <f ca="1">CELL("contenu",INDIRECT(ADDRESS(ref!$K$10,ref!H19,1,,CELL("contenu",$AC$2))))</f>
        <v>A</v>
      </c>
      <c r="AA20" s="7" t="str">
        <f ca="1">CELL("contenu",INDIRECT(ADDRESS(ref!$K$11,ref!H19,1,,CELL("contenu",$AC$2))))</f>
        <v/>
      </c>
    </row>
    <row r="21" spans="1:27" x14ac:dyDescent="0.25">
      <c r="A21" s="45" t="str">
        <f t="shared" ca="1" si="0"/>
        <v>GUENOT Emma</v>
      </c>
      <c r="B21" s="1" t="str">
        <f ca="1">CELL("contenu",INDIRECT(ADDRESS(ref!$K$3,ref!E20,1,,CELL("contenu",$AC$2))))</f>
        <v>B</v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>B</v>
      </c>
      <c r="F21" s="5" t="str">
        <f ca="1">CELL("contenu",INDIRECT(ADDRESS(ref!$K$4,ref!E20,1,,CELL("contenu",$AC$2))))</f>
        <v>A</v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>A</v>
      </c>
      <c r="J21" s="5" t="str">
        <f ca="1">CELL("contenu",INDIRECT(ADDRESS(ref!$K$5,ref!E20,1,,CELL("contenu",$AC$2))))</f>
        <v>A</v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>A</v>
      </c>
      <c r="N21" s="5" t="str">
        <f ca="1">CELL("contenu",INDIRECT(ADDRESS(ref!$K$6,ref!E20,1,,CELL("contenu",$AC$2))))</f>
        <v>A</v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>A</v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>
        <f ca="1">CELL("contenu",INDIRECT(ADDRESS(ref!$K$8,ref!E20,1,,CELL("contenu",$AC$2))))</f>
        <v>18.75</v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>A</v>
      </c>
      <c r="Z21" s="3" t="str">
        <f ca="1">CELL("contenu",INDIRECT(ADDRESS(ref!$K$10,ref!H20,1,,CELL("contenu",$AC$2))))</f>
        <v>A</v>
      </c>
      <c r="AA21" s="7" t="str">
        <f ca="1">CELL("contenu",INDIRECT(ADDRESS(ref!$K$11,ref!H20,1,,CELL("contenu",$AC$2))))</f>
        <v/>
      </c>
    </row>
    <row r="22" spans="1:27" x14ac:dyDescent="0.25">
      <c r="A22" s="45" t="str">
        <f t="shared" ca="1" si="0"/>
        <v>IMHOFF Dorian</v>
      </c>
      <c r="B22" s="1" t="str">
        <f ca="1">CELL("contenu",INDIRECT(ADDRESS(ref!$K$3,ref!E21,1,,CELL("contenu",$AC$2))))</f>
        <v>C</v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>C</v>
      </c>
      <c r="F22" s="5" t="str">
        <f ca="1">CELL("contenu",INDIRECT(ADDRESS(ref!$K$4,ref!E21,1,,CELL("contenu",$AC$2))))</f>
        <v>C</v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>C</v>
      </c>
      <c r="J22" s="5" t="str">
        <f ca="1">CELL("contenu",INDIRECT(ADDRESS(ref!$K$5,ref!E21,1,,CELL("contenu",$AC$2))))</f>
        <v>B</v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>B</v>
      </c>
      <c r="N22" s="5" t="str">
        <f ca="1">CELL("contenu",INDIRECT(ADDRESS(ref!$K$6,ref!E21,1,,CELL("contenu",$AC$2))))</f>
        <v>B</v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>B</v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>
        <f ca="1">CELL("contenu",INDIRECT(ADDRESS(ref!$K$8,ref!E21,1,,CELL("contenu",$AC$2))))</f>
        <v>13.125</v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>C</v>
      </c>
      <c r="Z22" s="3" t="str">
        <f ca="1">CELL("contenu",INDIRECT(ADDRESS(ref!$K$10,ref!H21,1,,CELL("contenu",$AC$2))))</f>
        <v>B</v>
      </c>
      <c r="AA22" s="7" t="str">
        <f ca="1">CELL("contenu",INDIRECT(ADDRESS(ref!$K$11,ref!H21,1,,CELL("contenu",$AC$2))))</f>
        <v/>
      </c>
    </row>
    <row r="23" spans="1:27" x14ac:dyDescent="0.25">
      <c r="A23" s="45" t="str">
        <f t="shared" ca="1" si="0"/>
        <v>LALLEMENT Clemence</v>
      </c>
      <c r="B23" s="1" t="str">
        <f ca="1">CELL("contenu",INDIRECT(ADDRESS(ref!$K$3,ref!E22,1,,CELL("contenu",$AC$2))))</f>
        <v>B</v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>B</v>
      </c>
      <c r="F23" s="5" t="str">
        <f ca="1">CELL("contenu",INDIRECT(ADDRESS(ref!$K$4,ref!E22,1,,CELL("contenu",$AC$2))))</f>
        <v>B</v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>B</v>
      </c>
      <c r="J23" s="5" t="str">
        <f ca="1">CELL("contenu",INDIRECT(ADDRESS(ref!$K$5,ref!E22,1,,CELL("contenu",$AC$2))))</f>
        <v>A</v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>A</v>
      </c>
      <c r="N23" s="5" t="str">
        <f ca="1">CELL("contenu",INDIRECT(ADDRESS(ref!$K$6,ref!E22,1,,CELL("contenu",$AC$2))))</f>
        <v>A</v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>A</v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>
        <f ca="1">CELL("contenu",INDIRECT(ADDRESS(ref!$K$8,ref!E22,1,,CELL("contenu",$AC$2))))</f>
        <v>18.125</v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>B</v>
      </c>
      <c r="Z23" s="3" t="str">
        <f ca="1">CELL("contenu",INDIRECT(ADDRESS(ref!$K$10,ref!H22,1,,CELL("contenu",$AC$2))))</f>
        <v>A</v>
      </c>
      <c r="AA23" s="7" t="str">
        <f ca="1">CELL("contenu",INDIRECT(ADDRESS(ref!$K$11,ref!H22,1,,CELL("contenu",$AC$2))))</f>
        <v/>
      </c>
    </row>
    <row r="24" spans="1:27" x14ac:dyDescent="0.25">
      <c r="A24" s="45" t="str">
        <f t="shared" ca="1" si="0"/>
        <v>LASNE Axel</v>
      </c>
      <c r="B24" s="1" t="str">
        <f ca="1">CELL("contenu",INDIRECT(ADDRESS(ref!$K$3,ref!E23,1,,CELL("contenu",$AC$2))))</f>
        <v>B</v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>B</v>
      </c>
      <c r="F24" s="5" t="str">
        <f ca="1">CELL("contenu",INDIRECT(ADDRESS(ref!$K$4,ref!E23,1,,CELL("contenu",$AC$2))))</f>
        <v>B</v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>B</v>
      </c>
      <c r="J24" s="5" t="str">
        <f ca="1">CELL("contenu",INDIRECT(ADDRESS(ref!$K$5,ref!E23,1,,CELL("contenu",$AC$2))))</f>
        <v>A</v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>A</v>
      </c>
      <c r="N24" s="5" t="str">
        <f ca="1">CELL("contenu",INDIRECT(ADDRESS(ref!$K$6,ref!E23,1,,CELL("contenu",$AC$2))))</f>
        <v>B</v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>B</v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>
        <f ca="1">CELL("contenu",INDIRECT(ADDRESS(ref!$K$8,ref!E23,1,,CELL("contenu",$AC$2))))</f>
        <v>16.25</v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>B</v>
      </c>
      <c r="Z24" s="3" t="str">
        <f ca="1">CELL("contenu",INDIRECT(ADDRESS(ref!$K$10,ref!H23,1,,CELL("contenu",$AC$2))))</f>
        <v>A</v>
      </c>
      <c r="AA24" s="7" t="str">
        <f ca="1">CELL("contenu",INDIRECT(ADDRESS(ref!$K$11,ref!H23,1,,CELL("contenu",$AC$2))))</f>
        <v/>
      </c>
    </row>
    <row r="25" spans="1:27" x14ac:dyDescent="0.25">
      <c r="A25" s="45" t="str">
        <f t="shared" ca="1" si="0"/>
        <v>LAVALLEE Cedric</v>
      </c>
      <c r="B25" s="1" t="str">
        <f ca="1">CELL("contenu",INDIRECT(ADDRESS(ref!$K$3,ref!E24,1,,CELL("contenu",$AC$2))))</f>
        <v>C</v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>C</v>
      </c>
      <c r="F25" s="5" t="str">
        <f ca="1">CELL("contenu",INDIRECT(ADDRESS(ref!$K$4,ref!E24,1,,CELL("contenu",$AC$2))))</f>
        <v>C</v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>C</v>
      </c>
      <c r="J25" s="5" t="str">
        <f ca="1">CELL("contenu",INDIRECT(ADDRESS(ref!$K$5,ref!E24,1,,CELL("contenu",$AC$2))))</f>
        <v>D</v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>D</v>
      </c>
      <c r="N25" s="5" t="str">
        <f ca="1">CELL("contenu",INDIRECT(ADDRESS(ref!$K$6,ref!E24,1,,CELL("contenu",$AC$2))))</f>
        <v>B</v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>B</v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>
        <f ca="1">CELL("contenu",INDIRECT(ADDRESS(ref!$K$8,ref!E24,1,,CELL("contenu",$AC$2))))</f>
        <v>11.875</v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>C</v>
      </c>
      <c r="Z25" s="3" t="str">
        <f ca="1">CELL("contenu",INDIRECT(ADDRESS(ref!$K$10,ref!H24,1,,CELL("contenu",$AC$2))))</f>
        <v>B</v>
      </c>
      <c r="AA25" s="7" t="str">
        <f ca="1">CELL("contenu",INDIRECT(ADDRESS(ref!$K$11,ref!H24,1,,CELL("contenu",$AC$2))))</f>
        <v/>
      </c>
    </row>
    <row r="26" spans="1:27" x14ac:dyDescent="0.25">
      <c r="A26" s="45" t="str">
        <f t="shared" ca="1" si="0"/>
        <v>MARTINAT Antoine</v>
      </c>
      <c r="B26" s="1" t="str">
        <f ca="1">CELL("contenu",INDIRECT(ADDRESS(ref!$K$3,ref!E25,1,,CELL("contenu",$AC$2))))</f>
        <v>B</v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>B</v>
      </c>
      <c r="F26" s="5" t="str">
        <f ca="1">CELL("contenu",INDIRECT(ADDRESS(ref!$K$4,ref!E25,1,,CELL("contenu",$AC$2))))</f>
        <v>B</v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>B</v>
      </c>
      <c r="J26" s="5" t="str">
        <f ca="1">CELL("contenu",INDIRECT(ADDRESS(ref!$K$5,ref!E25,1,,CELL("contenu",$AC$2))))</f>
        <v>A</v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>A</v>
      </c>
      <c r="N26" s="5" t="str">
        <f ca="1">CELL("contenu",INDIRECT(ADDRESS(ref!$K$6,ref!E25,1,,CELL("contenu",$AC$2))))</f>
        <v>C</v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>C</v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>
        <f ca="1">CELL("contenu",INDIRECT(ADDRESS(ref!$K$8,ref!E25,1,,CELL("contenu",$AC$2))))</f>
        <v>14.375</v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>B</v>
      </c>
      <c r="Z26" s="3" t="str">
        <f ca="1">CELL("contenu",INDIRECT(ADDRESS(ref!$K$10,ref!H25,1,,CELL("contenu",$AC$2))))</f>
        <v>A</v>
      </c>
      <c r="AA26" s="7" t="str">
        <f ca="1">CELL("contenu",INDIRECT(ADDRESS(ref!$K$11,ref!H25,1,,CELL("contenu",$AC$2))))</f>
        <v/>
      </c>
    </row>
    <row r="27" spans="1:27" x14ac:dyDescent="0.25">
      <c r="A27" s="45" t="str">
        <f t="shared" ca="1" si="0"/>
        <v>MATHIEU Margot</v>
      </c>
      <c r="B27" s="1" t="str">
        <f ca="1">CELL("contenu",INDIRECT(ADDRESS(ref!$K$3,ref!E26,1,,CELL("contenu",$AC$2))))</f>
        <v>B</v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>B</v>
      </c>
      <c r="F27" s="5" t="str">
        <f ca="1">CELL("contenu",INDIRECT(ADDRESS(ref!$K$4,ref!E26,1,,CELL("contenu",$AC$2))))</f>
        <v>A</v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>A</v>
      </c>
      <c r="J27" s="5" t="str">
        <f ca="1">CELL("contenu",INDIRECT(ADDRESS(ref!$K$5,ref!E26,1,,CELL("contenu",$AC$2))))</f>
        <v>A</v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>A</v>
      </c>
      <c r="N27" s="5" t="str">
        <f ca="1">CELL("contenu",INDIRECT(ADDRESS(ref!$K$6,ref!E26,1,,CELL("contenu",$AC$2))))</f>
        <v>A</v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>A</v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>
        <f ca="1">CELL("contenu",INDIRECT(ADDRESS(ref!$K$8,ref!E26,1,,CELL("contenu",$AC$2))))</f>
        <v>18.75</v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>A</v>
      </c>
      <c r="Z27" s="3" t="str">
        <f ca="1">CELL("contenu",INDIRECT(ADDRESS(ref!$K$10,ref!H26,1,,CELL("contenu",$AC$2))))</f>
        <v>A</v>
      </c>
      <c r="AA27" s="7" t="str">
        <f ca="1">CELL("contenu",INDIRECT(ADDRESS(ref!$K$11,ref!H26,1,,CELL("contenu",$AC$2))))</f>
        <v/>
      </c>
    </row>
    <row r="28" spans="1:27" x14ac:dyDescent="0.25">
      <c r="A28" s="45" t="str">
        <f t="shared" ca="1" si="0"/>
        <v>MORAND Francois-Louis</v>
      </c>
      <c r="B28" s="1" t="str">
        <f ca="1">CELL("contenu",INDIRECT(ADDRESS(ref!$K$3,ref!E27,1,,CELL("contenu",$AC$2))))</f>
        <v>B</v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>B</v>
      </c>
      <c r="F28" s="5" t="str">
        <f ca="1">CELL("contenu",INDIRECT(ADDRESS(ref!$K$4,ref!E27,1,,CELL("contenu",$AC$2))))</f>
        <v>B</v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>B</v>
      </c>
      <c r="J28" s="5" t="str">
        <f ca="1">CELL("contenu",INDIRECT(ADDRESS(ref!$K$5,ref!E27,1,,CELL("contenu",$AC$2))))</f>
        <v>A</v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>A</v>
      </c>
      <c r="N28" s="5" t="str">
        <f ca="1">CELL("contenu",INDIRECT(ADDRESS(ref!$K$6,ref!E27,1,,CELL("contenu",$AC$2))))</f>
        <v>B</v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>B</v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>
        <f ca="1">CELL("contenu",INDIRECT(ADDRESS(ref!$K$8,ref!E27,1,,CELL("contenu",$AC$2))))</f>
        <v>16.25</v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>B</v>
      </c>
      <c r="Z28" s="3" t="str">
        <f ca="1">CELL("contenu",INDIRECT(ADDRESS(ref!$K$10,ref!H27,1,,CELL("contenu",$AC$2))))</f>
        <v>A</v>
      </c>
      <c r="AA28" s="7" t="str">
        <f ca="1">CELL("contenu",INDIRECT(ADDRESS(ref!$K$11,ref!H27,1,,CELL("contenu",$AC$2))))</f>
        <v/>
      </c>
    </row>
    <row r="29" spans="1:27" x14ac:dyDescent="0.25">
      <c r="A29" s="45" t="str">
        <f t="shared" ca="1" si="0"/>
        <v>MULLEMAN Achille</v>
      </c>
      <c r="B29" s="1" t="str">
        <f ca="1">CELL("contenu",INDIRECT(ADDRESS(ref!$K$3,ref!E28,1,,CELL("contenu",$AC$2))))</f>
        <v>B</v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>B</v>
      </c>
      <c r="F29" s="5" t="str">
        <f ca="1">CELL("contenu",INDIRECT(ADDRESS(ref!$K$4,ref!E28,1,,CELL("contenu",$AC$2))))</f>
        <v>B</v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>B</v>
      </c>
      <c r="J29" s="5" t="str">
        <f ca="1">CELL("contenu",INDIRECT(ADDRESS(ref!$K$5,ref!E28,1,,CELL("contenu",$AC$2))))</f>
        <v>A</v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>A</v>
      </c>
      <c r="N29" s="5" t="str">
        <f ca="1">CELL("contenu",INDIRECT(ADDRESS(ref!$K$6,ref!E28,1,,CELL("contenu",$AC$2))))</f>
        <v>C</v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>C</v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>
        <f ca="1">CELL("contenu",INDIRECT(ADDRESS(ref!$K$8,ref!E28,1,,CELL("contenu",$AC$2))))</f>
        <v>14.375</v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>B</v>
      </c>
      <c r="Z29" s="3" t="str">
        <f ca="1">CELL("contenu",INDIRECT(ADDRESS(ref!$K$10,ref!H28,1,,CELL("contenu",$AC$2))))</f>
        <v>A</v>
      </c>
      <c r="AA29" s="7" t="str">
        <f ca="1">CELL("contenu",INDIRECT(ADDRESS(ref!$K$11,ref!H28,1,,CELL("contenu",$AC$2))))</f>
        <v/>
      </c>
    </row>
    <row r="30" spans="1:27" x14ac:dyDescent="0.25">
      <c r="A30" s="45" t="str">
        <f t="shared" ca="1" si="0"/>
        <v>POITRENAUD Lou-Ann</v>
      </c>
      <c r="B30" s="1" t="str">
        <f ca="1">CELL("contenu",INDIRECT(ADDRESS(ref!$K$3,ref!E29,1,,CELL("contenu",$AC$2))))</f>
        <v>B</v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>B</v>
      </c>
      <c r="F30" s="5" t="str">
        <f ca="1">CELL("contenu",INDIRECT(ADDRESS(ref!$K$4,ref!E29,1,,CELL("contenu",$AC$2))))</f>
        <v>A</v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>A</v>
      </c>
      <c r="J30" s="5" t="str">
        <f ca="1">CELL("contenu",INDIRECT(ADDRESS(ref!$K$5,ref!E29,1,,CELL("contenu",$AC$2))))</f>
        <v>A</v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>A</v>
      </c>
      <c r="N30" s="5" t="str">
        <f ca="1">CELL("contenu",INDIRECT(ADDRESS(ref!$K$6,ref!E29,1,,CELL("contenu",$AC$2))))</f>
        <v>B</v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>B</v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>
        <f ca="1">CELL("contenu",INDIRECT(ADDRESS(ref!$K$8,ref!E29,1,,CELL("contenu",$AC$2))))</f>
        <v>16.875</v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>A</v>
      </c>
      <c r="Z30" s="3" t="str">
        <f ca="1">CELL("contenu",INDIRECT(ADDRESS(ref!$K$10,ref!H29,1,,CELL("contenu",$AC$2))))</f>
        <v>A</v>
      </c>
      <c r="AA30" s="7" t="str">
        <f ca="1">CELL("contenu",INDIRECT(ADDRESS(ref!$K$11,ref!H29,1,,CELL("contenu",$AC$2))))</f>
        <v/>
      </c>
    </row>
    <row r="31" spans="1:27" x14ac:dyDescent="0.25">
      <c r="A31" s="45" t="str">
        <f t="shared" ca="1" si="0"/>
        <v>ROQUETA Adrien</v>
      </c>
      <c r="B31" s="1" t="str">
        <f ca="1">CELL("contenu",INDIRECT(ADDRESS(ref!$K$3,ref!E30,1,,CELL("contenu",$AC$2))))</f>
        <v>B</v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>B</v>
      </c>
      <c r="F31" s="5" t="str">
        <f ca="1">CELL("contenu",INDIRECT(ADDRESS(ref!$K$4,ref!E30,1,,CELL("contenu",$AC$2))))</f>
        <v>C</v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>C</v>
      </c>
      <c r="J31" s="5" t="str">
        <f ca="1">CELL("contenu",INDIRECT(ADDRESS(ref!$K$5,ref!E30,1,,CELL("contenu",$AC$2))))</f>
        <v>C</v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>C</v>
      </c>
      <c r="N31" s="5" t="str">
        <f ca="1">CELL("contenu",INDIRECT(ADDRESS(ref!$K$6,ref!E30,1,,CELL("contenu",$AC$2))))</f>
        <v>A</v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>A</v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>
        <f ca="1">CELL("contenu",INDIRECT(ADDRESS(ref!$K$8,ref!E30,1,,CELL("contenu",$AC$2))))</f>
        <v>15.625</v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>C</v>
      </c>
      <c r="Z31" s="3" t="str">
        <f ca="1">CELL("contenu",INDIRECT(ADDRESS(ref!$K$10,ref!H30,1,,CELL("contenu",$AC$2))))</f>
        <v>B</v>
      </c>
      <c r="AA31" s="7" t="str">
        <f ca="1">CELL("contenu",INDIRECT(ADDRESS(ref!$K$11,ref!H30,1,,CELL("contenu",$AC$2))))</f>
        <v/>
      </c>
    </row>
    <row r="32" spans="1:27" x14ac:dyDescent="0.25">
      <c r="A32" s="45" t="str">
        <f t="shared" ca="1" si="0"/>
        <v>TROUCHON Marie-Helix</v>
      </c>
      <c r="B32" s="1" t="str">
        <f ca="1">CELL("contenu",INDIRECT(ADDRESS(ref!$K$3,ref!E31,1,,CELL("contenu",$AC$2))))</f>
        <v>B</v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>B</v>
      </c>
      <c r="F32" s="5" t="str">
        <f ca="1">CELL("contenu",INDIRECT(ADDRESS(ref!$K$4,ref!E31,1,,CELL("contenu",$AC$2))))</f>
        <v>A</v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>A</v>
      </c>
      <c r="J32" s="5" t="str">
        <f ca="1">CELL("contenu",INDIRECT(ADDRESS(ref!$K$5,ref!E31,1,,CELL("contenu",$AC$2))))</f>
        <v>A</v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>A</v>
      </c>
      <c r="N32" s="5" t="str">
        <f ca="1">CELL("contenu",INDIRECT(ADDRESS(ref!$K$6,ref!E31,1,,CELL("contenu",$AC$2))))</f>
        <v>A</v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>A</v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>
        <f ca="1">CELL("contenu",INDIRECT(ADDRESS(ref!$K$8,ref!E31,1,,CELL("contenu",$AC$2))))</f>
        <v>18.75</v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>A</v>
      </c>
      <c r="Z32" s="3" t="str">
        <f ca="1">CELL("contenu",INDIRECT(ADDRESS(ref!$K$10,ref!H31,1,,CELL("contenu",$AC$2))))</f>
        <v>A</v>
      </c>
      <c r="AA32" s="7" t="str">
        <f ca="1">CELL("contenu",INDIRECT(ADDRESS(ref!$K$11,ref!H31,1,,CELL("contenu",$AC$2))))</f>
        <v/>
      </c>
    </row>
    <row r="33" spans="1:27" ht="15.75" thickBot="1" x14ac:dyDescent="0.3">
      <c r="A33" s="46" t="str">
        <f t="shared" ca="1" si="0"/>
        <v>VUILLEMIN Oriane</v>
      </c>
      <c r="B33" s="15" t="str">
        <f ca="1">CELL("contenu",INDIRECT(ADDRESS(ref!$K$3,ref!E32,1,,CELL("contenu",$AC$2))))</f>
        <v>B</v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>B</v>
      </c>
      <c r="F33" s="11" t="str">
        <f ca="1">CELL("contenu",INDIRECT(ADDRESS(ref!$K$4,ref!E32,1,,CELL("contenu",$AC$2))))</f>
        <v>A</v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>A</v>
      </c>
      <c r="J33" s="11" t="str">
        <f ca="1">CELL("contenu",INDIRECT(ADDRESS(ref!$K$5,ref!E32,1,,CELL("contenu",$AC$2))))</f>
        <v>A</v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>A</v>
      </c>
      <c r="N33" s="11" t="str">
        <f ca="1">CELL("contenu",INDIRECT(ADDRESS(ref!$K$6,ref!E32,1,,CELL("contenu",$AC$2))))</f>
        <v>A</v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>A</v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>
        <f ca="1">CELL("contenu",INDIRECT(ADDRESS(ref!$K$8,ref!E32,1,,CELL("contenu",$AC$2))))</f>
        <v>18.75</v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>A</v>
      </c>
      <c r="Z33" s="9" t="str">
        <f ca="1">CELL("contenu",INDIRECT(ADDRESS(ref!$K$10,ref!H32,1,,CELL("contenu",$AC$2))))</f>
        <v>A</v>
      </c>
      <c r="AA33" s="13" t="str">
        <f ca="1">CELL("contenu",INDIRECT(ADDRESS(ref!$K$11,ref!H32,1,,CELL("contenu",$AC$2))))</f>
        <v/>
      </c>
    </row>
  </sheetData>
  <sheetProtection algorithmName="SHA-512" hashValue="TCCT3TapPhXJFrd0Sw1Ai8PGvJZ7mKN8tI0FqRfux5MO0rKVxkA1z0HkYDEKtyfjmEmoaXgILwnCA8R/sxmtvg==" saltValue="ErqFXJjd+o9aBPAFfeJfBw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SR30"/>
  <sheetViews>
    <sheetView topLeftCell="A2" zoomScale="59" zoomScaleNormal="70" workbookViewId="0">
      <pane xSplit="2" topLeftCell="C1" activePane="topRight" state="frozen"/>
      <selection activeCell="Y3" sqref="Y3:AA3"/>
      <selection pane="topRight" activeCell="SB18" sqref="SB18"/>
    </sheetView>
  </sheetViews>
  <sheetFormatPr baseColWidth="10" defaultColWidth="5.7109375" defaultRowHeight="15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23" t="s">
        <v>41</v>
      </c>
      <c r="B1" s="224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47</v>
      </c>
      <c r="C2" s="148" t="str">
        <f ca="1">IF(CELL("contenu",INDIRECT(ADDRESS(C1,1,1,1,CELL("contenu",$B$2))))="","----",CELL("contenu",INDIRECT(ADDRESS(C1,1,1,1,CELL("contenu",$B$2)))))</f>
        <v>ALARDIN Anouk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BESNIER Gabriel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BIDAULT Camille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BLANCHET Camille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BOUCHER Hortense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CHADOZEAU Agathe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CHALAND Marine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CORNIL Justine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CORNILLEAU Camille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COURAUD Axelle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DE BENGY Thomas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DESEILLE Gaston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FARMAN Mahaut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FREDOILLE Mylan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GALENNE--PARISOT Titouan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GENEVEE Apolline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GODON Maximilien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GUENOT Emma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IMHOFF Dorian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LALLEMENT Clemence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LASNE Axel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LAVALLEE Cedric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MARTINAT Antoine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MATHIEU Margot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MORAND Francois-Louis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MULLEMAN Achille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POITRENAUD Lou-Ann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 t="str">
        <f ca="1">IF(CELL("contenu",INDIRECT(ADDRESS(QT1,1,1,1,CELL("contenu",$B$2))))="","----",CELL("contenu",INDIRECT(ADDRESS(QT1,1,1,1,CELL("contenu",$B$2)))))</f>
        <v>ROQUETA Adrien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 t="str">
        <f ca="1">IF(CELL("contenu",INDIRECT(ADDRESS(RK1,1,1,1,CELL("contenu",$B$2))))="","----",CELL("contenu",INDIRECT(ADDRESS(RK1,1,1,1,CELL("contenu",$B$2)))))</f>
        <v>TROUCHON Marie-Helix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 t="str">
        <f ca="1">IF(CELL("contenu",INDIRECT(ADDRESS(SB1,1,1,1,CELL("contenu",$B$2))))="","----",CELL("contenu",INDIRECT(ADDRESS(SB1,1,1,1,CELL("contenu",$B$2)))))</f>
        <v>VUILLEMIN Oriane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 t="s">
        <v>212</v>
      </c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>CH4/1</v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>CH4/1</v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>CH4/1</v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>CH4/1</v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>CH4/1</v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>CH4/1</v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>CH4/1</v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>CH4/1</v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>CH4/1</v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>CH4/1</v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>CH4/1</v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>CH4/1</v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>CH4/1</v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>CH4/1</v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>CH4/1</v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>CH4/1</v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>CH4/1</v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>CH4/1</v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>CH4/1</v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>CH4/1</v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>CH4/1</v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>CH4/1</v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>CH4/1</v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>CH4/1</v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>CH4/1</v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>CH4/1</v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>CH4/1</v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>CH4/1</v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>CH4/1</v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>
        <f>IFERROR((((COUNTIF('Elève (5ème1)'!C5:E9,"A"))*4)+((COUNTIF('Elève (5ème1)'!C5:E9,"B"))*3)+((COUNTIF('Elève (5ème1)'!C5:E9,"C"))*2)+((COUNTIF('Elève (5ème1)'!C5:E9,"D"))*1))/(COUNTA(C5:E9)),"")</f>
        <v>4</v>
      </c>
      <c r="G4" s="107" t="str">
        <f t="shared" ref="G4:G21" si="0">IF(F4="","",IF(F4&gt;3.7,"A",IF(F4&gt;2.8,"B",IF(F4&gt;1.5,"C",IF(F4&gt;0,"D",IF(F4=0,""))))))</f>
        <v>A</v>
      </c>
      <c r="H4" s="145"/>
      <c r="I4" s="186"/>
      <c r="J4" s="146"/>
      <c r="K4" s="106" t="str">
        <f>IFERROR((((COUNTIF('Elève (5ème1)'!H5:J9,"A"))*4)+((COUNTIF('Elève (5ème1)'!H5:J9,"B"))*3)+((COUNTIF('Elève (5ème1)'!H5:J9,"C"))*2)+((COUNTIF('Elève (5ème1)'!H5:J9,"D"))*1))/(COUNTA(H5:J9)),"")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(5ème1)'!M5:O9,"A"))*4)+((COUNTIF('Elève (5ème1)'!M5:O9,"B"))*3)+((COUNTIF('Elève (5ème1)'!M5:O9,"C"))*2)+((COUNTIF('Elève (5ème1)'!M5:O9,"D"))*1))/(COUNTA(M5:O9)),"")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>4</v>
      </c>
      <c r="S4" s="130" t="str">
        <f t="shared" ref="S4:S21" si="3">IF(R4="","",IF(R4&gt;3.7,"A",IF(R4&gt;2.8,"B",IF(R4&gt;1.5,"C",IF(R4&gt;0,"D",IF(R4=0,""))))))</f>
        <v>A</v>
      </c>
      <c r="T4" s="152"/>
      <c r="U4" s="185"/>
      <c r="V4" s="185"/>
      <c r="W4" s="106">
        <f>IFERROR((((COUNTIF('Elève (5ème1)'!T5:V9,"A"))*4)+((COUNTIF('Elève (5ème1)'!T5:V9,"B"))*3)+((COUNTIF('Elève (5ème1)'!T5:V9,"C"))*2)+((COUNTIF('Elève (5ème1)'!T5:V9,"D"))*1))/(COUNTA(T5:V9)),"")</f>
        <v>3</v>
      </c>
      <c r="X4" s="107" t="str">
        <f t="shared" ref="X4:X21" si="4">IF(W4="","",IF(W4&gt;3.7,"A",IF(W4&gt;2.8,"B",IF(W4&gt;1.5,"C",IF(W4&gt;0,"D",IF(W4=0,""))))))</f>
        <v>B</v>
      </c>
      <c r="Y4" s="145"/>
      <c r="Z4" s="186"/>
      <c r="AA4" s="146"/>
      <c r="AB4" s="106" t="str">
        <f>IFERROR((((COUNTIF('Elève (5ème1)'!Y5:AA9,"A"))*4)+((COUNTIF('Elève (5ème1)'!Y5:AA9,"B"))*3)+((COUNTIF('Elève (5ème1)'!Y5:AA9,"C"))*2)+((COUNTIF('Elève (5ème1)'!Y5:AA9,"D"))*1))/(COUNTA(Y5:AA9)),"")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(5ème1)'!AD5:AF9,"A"))*4)+((COUNTIF('Elève (5ème1)'!AD5:AF9,"B"))*3)+((COUNTIF('Elève (5ème1)'!AD5:AF9,"C"))*2)+((COUNTIF('Elève (5ème1)'!AD5:AF9,"D"))*1))/(COUNTA(AD5:AF9)),"")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>3</v>
      </c>
      <c r="AJ4" s="130" t="str">
        <f t="shared" ref="AJ4:AJ21" si="7">IF(AI4="","",IF(AI4&gt;3.7,"A",IF(AI4&gt;2.8,"B",IF(AI4&gt;1.5,"C",IF(AI4&gt;0,"D",IF(AI4=0,""))))))</f>
        <v>B</v>
      </c>
      <c r="AK4" s="152"/>
      <c r="AL4" s="185"/>
      <c r="AM4" s="185"/>
      <c r="AN4" s="106">
        <f>IFERROR((((COUNTIF('Elève (5ème1)'!AK5:AM9,"A"))*4)+((COUNTIF('Elève (5ème1)'!AK5:AM9,"B"))*3)+((COUNTIF('Elève (5ème1)'!AK5:AM9,"C"))*2)+((COUNTIF('Elève (5ème1)'!AK5:AM9,"D"))*1))/(COUNTA(AK5:AM9)),"")</f>
        <v>2</v>
      </c>
      <c r="AO4" s="107" t="str">
        <f t="shared" ref="AO4:AO21" si="8">IF(AN4="","",IF(AN4&gt;3.7,"A",IF(AN4&gt;2.8,"B",IF(AN4&gt;1.5,"C",IF(AN4&gt;0,"D",IF(AN4=0,""))))))</f>
        <v>C</v>
      </c>
      <c r="AP4" s="145"/>
      <c r="AQ4" s="186"/>
      <c r="AR4" s="146"/>
      <c r="AS4" s="106" t="str">
        <f>IFERROR((((COUNTIF('Elève (5ème1)'!AP5:AR9,"A"))*4)+((COUNTIF('Elève (5ème1)'!AP5:AR9,"B"))*3)+((COUNTIF('Elève (5ème1)'!AP5:AR9,"C"))*2)+((COUNTIF('Elève (5ème1)'!AP5:AR9,"D"))*1))/(COUNTA(AP5:AR9)),"")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(5ème1)'!AU5:AW9,"A"))*4)+((COUNTIF('Elève (5ème1)'!AU5:AW9,"B"))*3)+((COUNTIF('Elève (5ème1)'!AU5:AW9,"C"))*2)+((COUNTIF('Elève (5ème1)'!AU5:AW9,"D"))*1))/(COUNTA(AU5:AW9)),"")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>2</v>
      </c>
      <c r="BA4" s="130" t="str">
        <f t="shared" ref="BA4:BA21" si="11">IF(AZ4="","",IF(AZ4&gt;3.7,"A",IF(AZ4&gt;2.8,"B",IF(AZ4&gt;1.5,"C",IF(AZ4&gt;0,"D",IF(AZ4=0,""))))))</f>
        <v>C</v>
      </c>
      <c r="BB4" s="152"/>
      <c r="BC4" s="185"/>
      <c r="BD4" s="185"/>
      <c r="BE4" s="106">
        <f>IFERROR((((COUNTIF('Elève (5ème1)'!BB5:BD9,"A"))*4)+((COUNTIF('Elève (5ème1)'!BB5:BD9,"B"))*3)+((COUNTIF('Elève (5ème1)'!BB5:BD9,"C"))*2)+((COUNTIF('Elève (5ème1)'!BB5:BD9,"D"))*1))/(COUNTA(BB5:BD9)),"")</f>
        <v>2</v>
      </c>
      <c r="BF4" s="107" t="str">
        <f t="shared" ref="BF4:BF21" si="12">IF(BE4="","",IF(BE4&gt;3.7,"A",IF(BE4&gt;2.8,"B",IF(BE4&gt;1.5,"C",IF(BE4&gt;0,"D",IF(BE4=0,""))))))</f>
        <v>C</v>
      </c>
      <c r="BG4" s="145"/>
      <c r="BH4" s="186"/>
      <c r="BI4" s="146"/>
      <c r="BJ4" s="106" t="str">
        <f>IFERROR((((COUNTIF('Elève (5ème1)'!BG5:BI9,"A"))*4)+((COUNTIF('Elève (5ème1)'!BG5:BI9,"B"))*3)+((COUNTIF('Elève (5ème1)'!BG5:BI9,"C"))*2)+((COUNTIF('Elève (5ème1)'!BG5:BI9,"D"))*1))/(COUNTA(BG5:BI9)),"")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(5ème1)'!BL5:BN9,"A"))*4)+((COUNTIF('Elève (5ème1)'!BL5:BN9,"B"))*3)+((COUNTIF('Elève (5ème1)'!BL5:BN9,"C"))*2)+((COUNTIF('Elève (5ème1)'!BL5:BN9,"D"))*1))/(COUNTA(BL5:BN9)),"")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>2</v>
      </c>
      <c r="BR4" s="130" t="str">
        <f t="shared" ref="BR4:BR21" si="15">IF(BQ4="","",IF(BQ4&gt;3.7,"A",IF(BQ4&gt;2.8,"B",IF(BQ4&gt;1.5,"C",IF(BQ4&gt;0,"D",IF(BQ4=0,""))))))</f>
        <v>C</v>
      </c>
      <c r="BS4" s="152"/>
      <c r="BT4" s="185"/>
      <c r="BU4" s="185"/>
      <c r="BV4" s="106">
        <f>IFERROR((((COUNTIF('Elève (5ème1)'!BS5:BU9,"A"))*4)+((COUNTIF('Elève (5ème1)'!BS5:BU9,"B"))*3)+((COUNTIF('Elève (5ème1)'!BS5:BU9,"C"))*2)+((COUNTIF('Elève (5ème1)'!BS5:BU9,"D"))*1))/(COUNTA(BS5:BU9)),"")</f>
        <v>3</v>
      </c>
      <c r="BW4" s="107" t="str">
        <f t="shared" ref="BW4:BW21" si="16">IF(BV4="","",IF(BV4&gt;3.7,"A",IF(BV4&gt;2.8,"B",IF(BV4&gt;1.5,"C",IF(BV4&gt;0,"D",IF(BV4=0,""))))))</f>
        <v>B</v>
      </c>
      <c r="BX4" s="145"/>
      <c r="BY4" s="186"/>
      <c r="BZ4" s="146"/>
      <c r="CA4" s="106" t="str">
        <f>IFERROR((((COUNTIF('Elève (5ème1)'!BX5:BZ9,"A"))*4)+((COUNTIF('Elève (5ème1)'!BX5:BZ9,"B"))*3)+((COUNTIF('Elève (5ème1)'!BX5:BZ9,"C"))*2)+((COUNTIF('Elève (5ème1)'!BX5:BZ9,"D"))*1))/(COUNTA(BX5:BZ9)),"")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(5ème1)'!CC5:CE9,"A"))*4)+((COUNTIF('Elève (5ème1)'!CC5:CE9,"B"))*3)+((COUNTIF('Elève (5ème1)'!CC5:CE9,"C"))*2)+((COUNTIF('Elève (5ème1)'!CC5:CE9,"D"))*1))/(COUNTA(CC5:CE9)),"")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>3</v>
      </c>
      <c r="CI4" s="130" t="str">
        <f t="shared" ref="CI4:CI21" si="19">IF(CH4="","",IF(CH4&gt;3.7,"A",IF(CH4&gt;2.8,"B",IF(CH4&gt;1.5,"C",IF(CH4&gt;0,"D",IF(CH4=0,""))))))</f>
        <v>B</v>
      </c>
      <c r="CJ4" s="152"/>
      <c r="CK4" s="185"/>
      <c r="CL4" s="185"/>
      <c r="CM4" s="106">
        <f>IFERROR((((COUNTIF('Elève (5ème1)'!CJ5:CL9,"A"))*4)+((COUNTIF('Elève (5ème1)'!CJ5:CL9,"B"))*3)+((COUNTIF('Elève (5ème1)'!CJ5:CL9,"C"))*2)+((COUNTIF('Elève (5ème1)'!CJ5:CL9,"D"))*1))/(COUNTA(CJ5:CL9)),"")</f>
        <v>3</v>
      </c>
      <c r="CN4" s="107" t="str">
        <f t="shared" ref="CN4:CN21" si="20">IF(CM4="","",IF(CM4&gt;3.7,"A",IF(CM4&gt;2.8,"B",IF(CM4&gt;1.5,"C",IF(CM4&gt;0,"D",IF(CM4=0,""))))))</f>
        <v>B</v>
      </c>
      <c r="CO4" s="145"/>
      <c r="CP4" s="186"/>
      <c r="CQ4" s="146"/>
      <c r="CR4" s="106" t="str">
        <f>IFERROR((((COUNTIF('Elève (5ème1)'!CO5:CQ9,"A"))*4)+((COUNTIF('Elève (5ème1)'!CO5:CQ9,"B"))*3)+((COUNTIF('Elève (5ème1)'!CO5:CQ9,"C"))*2)+((COUNTIF('Elève (5ème1)'!CO5:CQ9,"D"))*1))/(COUNTA(CO5:CQ9)),"")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(5ème1)'!CT5:CV9,"A"))*4)+((COUNTIF('Elève (5ème1)'!CT5:CV9,"B"))*3)+((COUNTIF('Elève (5ème1)'!CT5:CV9,"C"))*2)+((COUNTIF('Elève (5ème1)'!CT5:CV9,"D"))*1))/(COUNTA(CT5:CV9)),"")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>3</v>
      </c>
      <c r="CZ4" s="130" t="str">
        <f t="shared" ref="CZ4:CZ21" si="23">IF(CY4="","",IF(CY4&gt;3.7,"A",IF(CY4&gt;2.8,"B",IF(CY4&gt;1.5,"C",IF(CY4&gt;0,"D",IF(CY4=0,""))))))</f>
        <v>B</v>
      </c>
      <c r="DA4" s="152"/>
      <c r="DB4" s="185"/>
      <c r="DC4" s="185"/>
      <c r="DD4" s="106">
        <f>IFERROR((((COUNTIF('Elève (5ème1)'!DA5:DC9,"A"))*4)+((COUNTIF('Elève (5ème1)'!DA5:DC9,"B"))*3)+((COUNTIF('Elève (5ème1)'!DA5:DC9,"C"))*2)+((COUNTIF('Elève (5ème1)'!DA5:DC9,"D"))*1))/(COUNTA(DA5:DC9)),"")</f>
        <v>3</v>
      </c>
      <c r="DE4" s="107" t="str">
        <f t="shared" ref="DE4:DE21" si="24">IF(DD4="","",IF(DD4&gt;3.7,"A",IF(DD4&gt;2.8,"B",IF(DD4&gt;1.5,"C",IF(DD4&gt;0,"D",IF(DD4=0,""))))))</f>
        <v>B</v>
      </c>
      <c r="DF4" s="145"/>
      <c r="DG4" s="186"/>
      <c r="DH4" s="146"/>
      <c r="DI4" s="106" t="str">
        <f>IFERROR((((COUNTIF('Elève (5ème1)'!DF5:DH9,"A"))*4)+((COUNTIF('Elève (5ème1)'!DF5:DH9,"B"))*3)+((COUNTIF('Elève (5ème1)'!DF5:DH9,"C"))*2)+((COUNTIF('Elève (5ème1)'!DF5:DH9,"D"))*1))/(COUNTA(DF5:DH9)),"")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(5ème1)'!DK5:DM9,"A"))*4)+((COUNTIF('Elève (5ème1)'!DK5:DM9,"B"))*3)+((COUNTIF('Elève (5ème1)'!DK5:DM9,"C"))*2)+((COUNTIF('Elève (5ème1)'!DK5:DM9,"D"))*1))/(COUNTA(DK5:DM9)),"")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>3</v>
      </c>
      <c r="DQ4" s="130" t="str">
        <f t="shared" ref="DQ4:DQ21" si="27">IF(DP4="","",IF(DP4&gt;3.7,"A",IF(DP4&gt;2.8,"B",IF(DP4&gt;1.5,"C",IF(DP4&gt;0,"D",IF(DP4=0,""))))))</f>
        <v>B</v>
      </c>
      <c r="DR4" s="152"/>
      <c r="DS4" s="185"/>
      <c r="DT4" s="185"/>
      <c r="DU4" s="106">
        <f>IFERROR((((COUNTIF('Elève (5ème1)'!DR5:DT9,"A"))*4)+((COUNTIF('Elève (5ème1)'!DR5:DT9,"B"))*3)+((COUNTIF('Elève (5ème1)'!DR5:DT9,"C"))*2)+((COUNTIF('Elève (5ème1)'!DR5:DT9,"D"))*1))/(COUNTA(DR5:DT9)),"")</f>
        <v>3</v>
      </c>
      <c r="DV4" s="107" t="str">
        <f t="shared" ref="DV4:DV21" si="28">IF(DU4="","",IF(DU4&gt;3.7,"A",IF(DU4&gt;2.8,"B",IF(DU4&gt;1.5,"C",IF(DU4&gt;0,"D",IF(DU4=0,""))))))</f>
        <v>B</v>
      </c>
      <c r="DW4" s="145"/>
      <c r="DX4" s="186"/>
      <c r="DY4" s="146"/>
      <c r="DZ4" s="106" t="str">
        <f>IFERROR((((COUNTIF('Elève (5ème1)'!DW5:DY9,"A"))*4)+((COUNTIF('Elève (5ème1)'!DW5:DY9,"B"))*3)+((COUNTIF('Elève (5ème1)'!DW5:DY9,"C"))*2)+((COUNTIF('Elève (5ème1)'!DW5:DY9,"D"))*1))/(COUNTA(DW5:DY9)),"")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(5ème1)'!EB5:ED9,"A"))*4)+((COUNTIF('Elève (5ème1)'!EB5:ED9,"B"))*3)+((COUNTIF('Elève (5ème1)'!EB5:ED9,"C"))*2)+((COUNTIF('Elève (5ème1)'!EB5:ED9,"D"))*1))/(COUNTA(EB5:ED9)),"")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>3</v>
      </c>
      <c r="EH4" s="130" t="str">
        <f t="shared" ref="EH4:EH21" si="31">IF(EG4="","",IF(EG4&gt;3.7,"A",IF(EG4&gt;2.8,"B",IF(EG4&gt;1.5,"C",IF(EG4&gt;0,"D",IF(EG4=0,""))))))</f>
        <v>B</v>
      </c>
      <c r="EI4" s="152"/>
      <c r="EJ4" s="185"/>
      <c r="EK4" s="185"/>
      <c r="EL4" s="106">
        <f>IFERROR((((COUNTIF('Elève (5ème1)'!EI5:EK9,"A"))*4)+((COUNTIF('Elève (5ème1)'!EI5:EK9,"B"))*3)+((COUNTIF('Elève (5ème1)'!EI5:EK9,"C"))*2)+((COUNTIF('Elève (5ème1)'!EI5:EK9,"D"))*1))/(COUNTA(EI5:EK9)),"")</f>
        <v>3</v>
      </c>
      <c r="EM4" s="107" t="str">
        <f t="shared" ref="EM4:EM21" si="32">IF(EL4="","",IF(EL4&gt;3.7,"A",IF(EL4&gt;2.8,"B",IF(EL4&gt;1.5,"C",IF(EL4&gt;0,"D",IF(EL4=0,""))))))</f>
        <v>B</v>
      </c>
      <c r="EN4" s="145"/>
      <c r="EO4" s="186"/>
      <c r="EP4" s="146"/>
      <c r="EQ4" s="106" t="str">
        <f>IFERROR((((COUNTIF('Elève (5ème1)'!EN5:EP9,"A"))*4)+((COUNTIF('Elève (5ème1)'!EN5:EP9,"B"))*3)+((COUNTIF('Elève (5ème1)'!EN5:EP9,"C"))*2)+((COUNTIF('Elève (5ème1)'!EN5:EP9,"D"))*1))/(COUNTA(EN5:EP9)),"")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(5ème1)'!ES5:EU9,"A"))*4)+((COUNTIF('Elève (5ème1)'!ES5:EU9,"B"))*3)+((COUNTIF('Elève (5ème1)'!ES5:EU9,"C"))*2)+((COUNTIF('Elève (5ème1)'!ES5:EU9,"D"))*1))/(COUNTA(ES5:EU9)),"")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>3</v>
      </c>
      <c r="EY4" s="130" t="str">
        <f t="shared" ref="EY4:EY21" si="35">IF(EX4="","",IF(EX4&gt;3.7,"A",IF(EX4&gt;2.8,"B",IF(EX4&gt;1.5,"C",IF(EX4&gt;0,"D",IF(EX4=0,""))))))</f>
        <v>B</v>
      </c>
      <c r="EZ4" s="152"/>
      <c r="FA4" s="185"/>
      <c r="FB4" s="185"/>
      <c r="FC4" s="106">
        <f>IFERROR((((COUNTIF('Elève (5ème1)'!EZ5:FB9,"A"))*4)+((COUNTIF('Elève (5ème1)'!EZ5:FB9,"B"))*3)+((COUNTIF('Elève (5ème1)'!EZ5:FB9,"C"))*2)+((COUNTIF('Elève (5ème1)'!EZ5:FB9,"D"))*1))/(COUNTA(EZ5:FB9)),"")</f>
        <v>3</v>
      </c>
      <c r="FD4" s="107" t="str">
        <f t="shared" ref="FD4:FD21" si="36">IF(FC4="","",IF(FC4&gt;3.7,"A",IF(FC4&gt;2.8,"B",IF(FC4&gt;1.5,"C",IF(FC4&gt;0,"D",IF(FC4=0,""))))))</f>
        <v>B</v>
      </c>
      <c r="FE4" s="145"/>
      <c r="FF4" s="186"/>
      <c r="FG4" s="146"/>
      <c r="FH4" s="106" t="str">
        <f>IFERROR((((COUNTIF('Elève (5ème1)'!FE5:FG9,"A"))*4)+((COUNTIF('Elève (5ème1)'!FE5:FG9,"B"))*3)+((COUNTIF('Elève (5ème1)'!FE5:FG9,"C"))*2)+((COUNTIF('Elève (5ème1)'!FE5:FG9,"D"))*1))/(COUNTA(FE5:FG9)),"")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(5ème1)'!FJ5:FL9,"A"))*4)+((COUNTIF('Elève (5ème1)'!FJ5:FL9,"B"))*3)+((COUNTIF('Elève (5ème1)'!FJ5:FL9,"C"))*2)+((COUNTIF('Elève (5ème1)'!FJ5:FL9,"D"))*1))/(COUNTA(FJ5:FL9)),"")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>3</v>
      </c>
      <c r="FP4" s="130" t="str">
        <f t="shared" ref="FP4:FP21" si="39">IF(FO4="","",IF(FO4&gt;3.7,"A",IF(FO4&gt;2.8,"B",IF(FO4&gt;1.5,"C",IF(FO4&gt;0,"D",IF(FO4=0,""))))))</f>
        <v>B</v>
      </c>
      <c r="FQ4" s="152"/>
      <c r="FR4" s="185"/>
      <c r="FS4" s="185"/>
      <c r="FT4" s="106">
        <f>IFERROR((((COUNTIF('Elève (5ème1)'!FQ5:FS9,"A"))*4)+((COUNTIF('Elève (5ème1)'!FQ5:FS9,"B"))*3)+((COUNTIF('Elève (5ème1)'!FQ5:FS9,"C"))*2)+((COUNTIF('Elève (5ème1)'!FQ5:FS9,"D"))*1))/(COUNTA(FQ5:FS9)),"")</f>
        <v>3</v>
      </c>
      <c r="FU4" s="107" t="str">
        <f t="shared" ref="FU4:FU21" si="40">IF(FT4="","",IF(FT4&gt;3.7,"A",IF(FT4&gt;2.8,"B",IF(FT4&gt;1.5,"C",IF(FT4&gt;0,"D",IF(FT4=0,""))))))</f>
        <v>B</v>
      </c>
      <c r="FV4" s="145"/>
      <c r="FW4" s="186"/>
      <c r="FX4" s="146"/>
      <c r="FY4" s="106" t="str">
        <f>IFERROR((((COUNTIF('Elève (5ème1)'!FV5:FX9,"A"))*4)+((COUNTIF('Elève (5ème1)'!FV5:FX9,"B"))*3)+((COUNTIF('Elève (5ème1)'!FV5:FX9,"C"))*2)+((COUNTIF('Elève (5ème1)'!FV5:FX9,"D"))*1))/(COUNTA(FV5:FX9)),"")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(5ème1)'!GA5:GC9,"A"))*4)+((COUNTIF('Elève (5ème1)'!GA5:GC9,"B"))*3)+((COUNTIF('Elève (5ème1)'!GA5:GC9,"C"))*2)+((COUNTIF('Elève (5ème1)'!GA5:GC9,"D"))*1))/(COUNTA(GA5:GC9)),"")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>3</v>
      </c>
      <c r="GG4" s="130" t="str">
        <f t="shared" ref="GG4:GG21" si="43">IF(GF4="","",IF(GF4&gt;3.7,"A",IF(GF4&gt;2.8,"B",IF(GF4&gt;1.5,"C",IF(GF4&gt;0,"D",IF(GF4=0,""))))))</f>
        <v>B</v>
      </c>
      <c r="GH4" s="152"/>
      <c r="GI4" s="185"/>
      <c r="GJ4" s="185"/>
      <c r="GK4" s="106">
        <f>IFERROR((((COUNTIF('Elève (5ème1)'!GH5:GJ9,"A"))*4)+((COUNTIF('Elève (5ème1)'!GH5:GJ9,"B"))*3)+((COUNTIF('Elève (5ème1)'!GH5:GJ9,"C"))*2)+((COUNTIF('Elève (5ème1)'!GH5:GJ9,"D"))*1))/(COUNTA(GH5:GJ9)),"")</f>
        <v>3</v>
      </c>
      <c r="GL4" s="107" t="str">
        <f t="shared" ref="GL4:GL21" si="44">IF(GK4="","",IF(GK4&gt;3.7,"A",IF(GK4&gt;2.8,"B",IF(GK4&gt;1.5,"C",IF(GK4&gt;0,"D",IF(GK4=0,""))))))</f>
        <v>B</v>
      </c>
      <c r="GM4" s="145"/>
      <c r="GN4" s="186"/>
      <c r="GO4" s="146"/>
      <c r="GP4" s="106" t="str">
        <f>IFERROR((((COUNTIF('Elève (5ème1)'!GM5:GO9,"A"))*4)+((COUNTIF('Elève (5ème1)'!GM5:GO9,"B"))*3)+((COUNTIF('Elève (5ème1)'!GM5:GO9,"C"))*2)+((COUNTIF('Elève (5ème1)'!GM5:GO9,"D"))*1))/(COUNTA(GM5:GO9)),"")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(5ème1)'!GR5:GT9,"A"))*4)+((COUNTIF('Elève (5ème1)'!GR5:GT9,"B"))*3)+((COUNTIF('Elève (5ème1)'!GR5:GT9,"C"))*2)+((COUNTIF('Elève (5ème1)'!GR5:GT9,"D"))*1))/(COUNTA(GR5:GT9)),"")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>3</v>
      </c>
      <c r="GX4" s="130" t="str">
        <f t="shared" ref="GX4:GX21" si="47">IF(GW4="","",IF(GW4&gt;3.7,"A",IF(GW4&gt;2.8,"B",IF(GW4&gt;1.5,"C",IF(GW4&gt;0,"D",IF(GW4=0,""))))))</f>
        <v>B</v>
      </c>
      <c r="GY4" s="152"/>
      <c r="GZ4" s="185"/>
      <c r="HA4" s="185"/>
      <c r="HB4" s="106">
        <f>IFERROR((((COUNTIF('Elève (5ème1)'!GY5:HA9,"A"))*4)+((COUNTIF('Elève (5ème1)'!GY5:HA9,"B"))*3)+((COUNTIF('Elève (5ème1)'!GY5:HA9,"C"))*2)+((COUNTIF('Elève (5ème1)'!GY5:HA9,"D"))*1))/(COUNTA(GY5:HA9)),"")</f>
        <v>3</v>
      </c>
      <c r="HC4" s="107" t="str">
        <f t="shared" ref="HC4:HC21" si="48">IF(HB4="","",IF(HB4&gt;3.7,"A",IF(HB4&gt;2.8,"B",IF(HB4&gt;1.5,"C",IF(HB4&gt;0,"D",IF(HB4=0,""))))))</f>
        <v>B</v>
      </c>
      <c r="HD4" s="145"/>
      <c r="HE4" s="186"/>
      <c r="HF4" s="146"/>
      <c r="HG4" s="106" t="str">
        <f>IFERROR((((COUNTIF('Elève (5ème1)'!HD5:HF9,"A"))*4)+((COUNTIF('Elève (5ème1)'!HD5:HF9,"B"))*3)+((COUNTIF('Elève (5ème1)'!HD5:HF9,"C"))*2)+((COUNTIF('Elève (5ème1)'!HD5:HF9,"D"))*1))/(COUNTA(HD5:HF9)),"")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(5ème1)'!HI5:HK9,"A"))*4)+((COUNTIF('Elève (5ème1)'!HI5:HK9,"B"))*3)+((COUNTIF('Elève (5ème1)'!HI5:HK9,"C"))*2)+((COUNTIF('Elève (5ème1)'!HI5:HK9,"D"))*1))/(COUNTA(HI5:HK9)),"")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>3</v>
      </c>
      <c r="HO4" s="130" t="str">
        <f t="shared" ref="HO4:HO21" si="51">IF(HN4="","",IF(HN4&gt;3.7,"A",IF(HN4&gt;2.8,"B",IF(HN4&gt;1.5,"C",IF(HN4&gt;0,"D",IF(HN4=0,""))))))</f>
        <v>B</v>
      </c>
      <c r="HP4" s="152"/>
      <c r="HQ4" s="185"/>
      <c r="HR4" s="185"/>
      <c r="HS4" s="106">
        <f>IFERROR((((COUNTIF('Elève (5ème1)'!HP5:HR9,"A"))*4)+((COUNTIF('Elève (5ème1)'!HP5:HR9,"B"))*3)+((COUNTIF('Elève (5ème1)'!HP5:HR9,"C"))*2)+((COUNTIF('Elève (5ème1)'!HP5:HR9,"D"))*1))/(COUNTA(HP5:HR9)),"")</f>
        <v>3</v>
      </c>
      <c r="HT4" s="107" t="str">
        <f t="shared" ref="HT4:HT21" si="52">IF(HS4="","",IF(HS4&gt;3.7,"A",IF(HS4&gt;2.8,"B",IF(HS4&gt;1.5,"C",IF(HS4&gt;0,"D",IF(HS4=0,""))))))</f>
        <v>B</v>
      </c>
      <c r="HU4" s="145"/>
      <c r="HV4" s="186"/>
      <c r="HW4" s="146"/>
      <c r="HX4" s="106" t="str">
        <f>IFERROR((((COUNTIF('Elève (5ème1)'!HU5:HW9,"A"))*4)+((COUNTIF('Elève (5ème1)'!HU5:HW9,"B"))*3)+((COUNTIF('Elève (5ème1)'!HU5:HW9,"C"))*2)+((COUNTIF('Elève (5ème1)'!HU5:HW9,"D"))*1))/(COUNTA(HU5:HW9)),"")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(5ème1)'!HZ5:IB9,"A"))*4)+((COUNTIF('Elève (5ème1)'!HZ5:IB9,"B"))*3)+((COUNTIF('Elève (5ème1)'!HZ5:IB9,"C"))*2)+((COUNTIF('Elève (5ème1)'!HZ5:IB9,"D"))*1))/(COUNTA(HZ5:IB9)),"")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>3</v>
      </c>
      <c r="IF4" s="130" t="str">
        <f t="shared" ref="IF4:IF21" si="55">IF(IE4="","",IF(IE4&gt;3.7,"A",IF(IE4&gt;2.8,"B",IF(IE4&gt;1.5,"C",IF(IE4&gt;0,"D",IF(IE4=0,""))))))</f>
        <v>B</v>
      </c>
      <c r="IG4" s="152"/>
      <c r="IH4" s="185"/>
      <c r="II4" s="185"/>
      <c r="IJ4" s="106">
        <f>IFERROR((((COUNTIF('Elève (5ème1)'!IG5:II9,"A"))*4)+((COUNTIF('Elève (5ème1)'!IG5:II9,"B"))*3)+((COUNTIF('Elève (5ème1)'!IG5:II9,"C"))*2)+((COUNTIF('Elève (5ème1)'!IG5:II9,"D"))*1))/(COUNTA(IG5:II9)),"")</f>
        <v>3</v>
      </c>
      <c r="IK4" s="107" t="str">
        <f t="shared" ref="IK4:IK21" si="56">IF(IJ4="","",IF(IJ4&gt;3.7,"A",IF(IJ4&gt;2.8,"B",IF(IJ4&gt;1.5,"C",IF(IJ4&gt;0,"D",IF(IJ4=0,""))))))</f>
        <v>B</v>
      </c>
      <c r="IL4" s="145"/>
      <c r="IM4" s="186"/>
      <c r="IN4" s="146"/>
      <c r="IO4" s="106" t="str">
        <f>IFERROR((((COUNTIF('Elève (5ème1)'!IL5:IN9,"A"))*4)+((COUNTIF('Elève (5ème1)'!IL5:IN9,"B"))*3)+((COUNTIF('Elève (5ème1)'!IL5:IN9,"C"))*2)+((COUNTIF('Elève (5ème1)'!IL5:IN9,"D"))*1))/(COUNTA(IL5:IN9)),"")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(5ème1)'!IQ5:IS9,"A"))*4)+((COUNTIF('Elève (5ème1)'!IQ5:IS9,"B"))*3)+((COUNTIF('Elève (5ème1)'!IQ5:IS9,"C"))*2)+((COUNTIF('Elève (5ème1)'!IQ5:IS9,"D"))*1))/(COUNTA(IQ5:IS9)),"")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>3</v>
      </c>
      <c r="IW4" s="130" t="str">
        <f t="shared" ref="IW4:IW21" si="59">IF(IV4="","",IF(IV4&gt;3.7,"A",IF(IV4&gt;2.8,"B",IF(IV4&gt;1.5,"C",IF(IV4&gt;0,"D",IF(IV4=0,""))))))</f>
        <v>B</v>
      </c>
      <c r="IX4" s="152"/>
      <c r="IY4" s="185"/>
      <c r="IZ4" s="185"/>
      <c r="JA4" s="106">
        <f>IFERROR((((COUNTIF('Elève (5ème1)'!IX5:IZ9,"A"))*4)+((COUNTIF('Elève (5ème1)'!IX5:IZ9,"B"))*3)+((COUNTIF('Elève (5ème1)'!IX5:IZ9,"C"))*2)+((COUNTIF('Elève (5ème1)'!IX5:IZ9,"D"))*1))/(COUNTA(IX5:IZ9)),"")</f>
        <v>3</v>
      </c>
      <c r="JB4" s="107" t="str">
        <f t="shared" ref="JB4:JB21" si="60">IF(JA4="","",IF(JA4&gt;3.7,"A",IF(JA4&gt;2.8,"B",IF(JA4&gt;1.5,"C",IF(JA4&gt;0,"D",IF(JA4=0,""))))))</f>
        <v>B</v>
      </c>
      <c r="JC4" s="145"/>
      <c r="JD4" s="186"/>
      <c r="JE4" s="146"/>
      <c r="JF4" s="106" t="str">
        <f>IFERROR((((COUNTIF('Elève (5ème1)'!JC5:JE9,"A"))*4)+((COUNTIF('Elève (5ème1)'!JC5:JE9,"B"))*3)+((COUNTIF('Elève (5ème1)'!JC5:JE9,"C"))*2)+((COUNTIF('Elève (5ème1)'!JC5:JE9,"D"))*1))/(COUNTA(JC5:JE9)),"")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(5ème1)'!JH5:JJ9,"A"))*4)+((COUNTIF('Elève (5ème1)'!JH5:JJ9,"B"))*3)+((COUNTIF('Elève (5ème1)'!JH5:JJ9,"C"))*2)+((COUNTIF('Elève (5ème1)'!JH5:JJ9,"D"))*1))/(COUNTA(JH5:JJ9)),"")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>3</v>
      </c>
      <c r="JN4" s="130" t="str">
        <f t="shared" ref="JN4:JN21" si="63">IF(JM4="","",IF(JM4&gt;3.7,"A",IF(JM4&gt;2.8,"B",IF(JM4&gt;1.5,"C",IF(JM4&gt;0,"D",IF(JM4=0,""))))))</f>
        <v>B</v>
      </c>
      <c r="JO4" s="152"/>
      <c r="JP4" s="185"/>
      <c r="JQ4" s="185"/>
      <c r="JR4" s="106">
        <f>IFERROR((((COUNTIF('Elève (5ème1)'!JO5:JQ9,"A"))*4)+((COUNTIF('Elève (5ème1)'!JO5:JQ9,"B"))*3)+((COUNTIF('Elève (5ème1)'!JO5:JQ9,"C"))*2)+((COUNTIF('Elève (5ème1)'!JO5:JQ9,"D"))*1))/(COUNTA(JO5:JQ9)),"")</f>
        <v>4</v>
      </c>
      <c r="JS4" s="107" t="str">
        <f t="shared" ref="JS4:JS21" si="64">IF(JR4="","",IF(JR4&gt;3.7,"A",IF(JR4&gt;2.8,"B",IF(JR4&gt;1.5,"C",IF(JR4&gt;0,"D",IF(JR4=0,""))))))</f>
        <v>A</v>
      </c>
      <c r="JT4" s="145"/>
      <c r="JU4" s="186"/>
      <c r="JV4" s="146"/>
      <c r="JW4" s="106" t="str">
        <f>IFERROR((((COUNTIF('Elève (5ème1)'!JT5:JV9,"A"))*4)+((COUNTIF('Elève (5ème1)'!JT5:JV9,"B"))*3)+((COUNTIF('Elève (5ème1)'!JT5:JV9,"C"))*2)+((COUNTIF('Elève (5ème1)'!JT5:JV9,"D"))*1))/(COUNTA(JT5:JV9)),"")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(5ème1)'!JY5:KA9,"A"))*4)+((COUNTIF('Elève (5ème1)'!JY5:KA9,"B"))*3)+((COUNTIF('Elève (5ème1)'!JY5:KA9,"C"))*2)+((COUNTIF('Elève (5ème1)'!JY5:KA9,"D"))*1))/(COUNTA(JY5:KA9)),"")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>4</v>
      </c>
      <c r="KE4" s="130" t="str">
        <f t="shared" ref="KE4:KE21" si="67">IF(KD4="","",IF(KD4&gt;3.7,"A",IF(KD4&gt;2.8,"B",IF(KD4&gt;1.5,"C",IF(KD4&gt;0,"D",IF(KD4=0,""))))))</f>
        <v>A</v>
      </c>
      <c r="KF4" s="152"/>
      <c r="KG4" s="185"/>
      <c r="KH4" s="185"/>
      <c r="KI4" s="106">
        <f>IFERROR((((COUNTIF('Elève (5ème1)'!KF5:KH9,"A"))*4)+((COUNTIF('Elève (5ème1)'!KF5:KH9,"B"))*3)+((COUNTIF('Elève (5ème1)'!KF5:KH9,"C"))*2)+((COUNTIF('Elève (5ème1)'!KF5:KH9,"D"))*1))/(COUNTA(KF5:KH9)),"")</f>
        <v>3</v>
      </c>
      <c r="KJ4" s="107" t="str">
        <f t="shared" ref="KJ4:KJ21" si="68">IF(KI4="","",IF(KI4&gt;3.7,"A",IF(KI4&gt;2.8,"B",IF(KI4&gt;1.5,"C",IF(KI4&gt;0,"D",IF(KI4=0,""))))))</f>
        <v>B</v>
      </c>
      <c r="KK4" s="145"/>
      <c r="KL4" s="186"/>
      <c r="KM4" s="146"/>
      <c r="KN4" s="106" t="str">
        <f>IFERROR((((COUNTIF('Elève (5ème1)'!KK5:KM9,"A"))*4)+((COUNTIF('Elève (5ème1)'!KK5:KM9,"B"))*3)+((COUNTIF('Elève (5ème1)'!KK5:KM9,"C"))*2)+((COUNTIF('Elève (5ème1)'!KK5:KM9,"D"))*1))/(COUNTA(KK5:KM9)),"")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(5ème1)'!KP5:KR9,"A"))*4)+((COUNTIF('Elève (5ème1)'!KP5:KR9,"B"))*3)+((COUNTIF('Elève (5ème1)'!KP5:KR9,"C"))*2)+((COUNTIF('Elève (5ème1)'!KP5:KR9,"D"))*1))/(COUNTA(KP5:KR9)),"")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>3</v>
      </c>
      <c r="KV4" s="130" t="str">
        <f t="shared" ref="KV4:KV21" si="71">IF(KU4="","",IF(KU4&gt;3.7,"A",IF(KU4&gt;2.8,"B",IF(KU4&gt;1.5,"C",IF(KU4&gt;0,"D",IF(KU4=0,""))))))</f>
        <v>B</v>
      </c>
      <c r="KW4" s="152"/>
      <c r="KX4" s="185"/>
      <c r="KY4" s="185"/>
      <c r="KZ4" s="106">
        <f>IFERROR((((COUNTIF('Elève (5ème1)'!KW5:KY9,"A"))*4)+((COUNTIF('Elève (5ème1)'!KW5:KY9,"B"))*3)+((COUNTIF('Elève (5ème1)'!KW5:KY9,"C"))*2)+((COUNTIF('Elève (5ème1)'!KW5:KY9,"D"))*1))/(COUNTA(KW5:KY9)),"")</f>
        <v>2</v>
      </c>
      <c r="LA4" s="107" t="str">
        <f t="shared" ref="LA4:LA21" si="72">IF(KZ4="","",IF(KZ4&gt;3.7,"A",IF(KZ4&gt;2.8,"B",IF(KZ4&gt;1.5,"C",IF(KZ4&gt;0,"D",IF(KZ4=0,""))))))</f>
        <v>C</v>
      </c>
      <c r="LB4" s="145"/>
      <c r="LC4" s="186"/>
      <c r="LD4" s="146"/>
      <c r="LE4" s="106" t="str">
        <f>IFERROR((((COUNTIF('Elève (5ème1)'!LB5:LD9,"A"))*4)+((COUNTIF('Elève (5ème1)'!LB5:LD9,"B"))*3)+((COUNTIF('Elève (5ème1)'!LB5:LD9,"C"))*2)+((COUNTIF('Elève (5ème1)'!LB5:LD9,"D"))*1))/(COUNTA(LB5:LD9)),"")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(5ème1)'!LG5:LI9,"A"))*4)+((COUNTIF('Elève (5ème1)'!LG5:LI9,"B"))*3)+((COUNTIF('Elève (5ème1)'!LG5:LI9,"C"))*2)+((COUNTIF('Elève (5ème1)'!LG5:LI9,"D"))*1))/(COUNTA(LG5:LI9)),"")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>2</v>
      </c>
      <c r="LM4" s="130" t="str">
        <f t="shared" ref="LM4:LM21" si="75">IF(LL4="","",IF(LL4&gt;3.7,"A",IF(LL4&gt;2.8,"B",IF(LL4&gt;1.5,"C",IF(LL4&gt;0,"D",IF(LL4=0,""))))))</f>
        <v>C</v>
      </c>
      <c r="LN4" s="152"/>
      <c r="LO4" s="185"/>
      <c r="LP4" s="185"/>
      <c r="LQ4" s="106">
        <f>IFERROR((((COUNTIF('Elève (5ème1)'!LN5:LP9,"A"))*4)+((COUNTIF('Elève (5ème1)'!LN5:LP9,"B"))*3)+((COUNTIF('Elève (5ème1)'!LN5:LP9,"C"))*2)+((COUNTIF('Elève (5ème1)'!LN5:LP9,"D"))*1))/(COUNTA(LN5:LP9)),"")</f>
        <v>3</v>
      </c>
      <c r="LR4" s="107" t="str">
        <f t="shared" ref="LR4:LR21" si="76">IF(LQ4="","",IF(LQ4&gt;3.7,"A",IF(LQ4&gt;2.8,"B",IF(LQ4&gt;1.5,"C",IF(LQ4&gt;0,"D",IF(LQ4=0,""))))))</f>
        <v>B</v>
      </c>
      <c r="LS4" s="145"/>
      <c r="LT4" s="186"/>
      <c r="LU4" s="146"/>
      <c r="LV4" s="106" t="str">
        <f>IFERROR((((COUNTIF('Elève (5ème1)'!LS5:LU9,"A"))*4)+((COUNTIF('Elève (5ème1)'!LS5:LU9,"B"))*3)+((COUNTIF('Elève (5ème1)'!LS5:LU9,"C"))*2)+((COUNTIF('Elève (5ème1)'!LS5:LU9,"D"))*1))/(COUNTA(LS5:LU9)),"")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(5ème1)'!LX5:LZ9,"A"))*4)+((COUNTIF('Elève (5ème1)'!LX5:LZ9,"B"))*3)+((COUNTIF('Elève (5ème1)'!LX5:LZ9,"C"))*2)+((COUNTIF('Elève (5ème1)'!LX5:LZ9,"D"))*1))/(COUNTA(LX5:LZ9)),"")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>3</v>
      </c>
      <c r="MD4" s="130" t="str">
        <f t="shared" ref="MD4:MD21" si="79">IF(MC4="","",IF(MC4&gt;3.7,"A",IF(MC4&gt;2.8,"B",IF(MC4&gt;1.5,"C",IF(MC4&gt;0,"D",IF(MC4=0,""))))))</f>
        <v>B</v>
      </c>
      <c r="ME4" s="152"/>
      <c r="MF4" s="185"/>
      <c r="MG4" s="185"/>
      <c r="MH4" s="106">
        <f>IFERROR((((COUNTIF('Elève (5ème1)'!ME5:MG9,"A"))*4)+((COUNTIF('Elève (5ème1)'!ME5:MG9,"B"))*3)+((COUNTIF('Elève (5ème1)'!ME5:MG9,"C"))*2)+((COUNTIF('Elève (5ème1)'!ME5:MG9,"D"))*1))/(COUNTA(ME5:MG9)),"")</f>
        <v>3</v>
      </c>
      <c r="MI4" s="107" t="str">
        <f t="shared" ref="MI4:MI21" si="80">IF(MH4="","",IF(MH4&gt;3.7,"A",IF(MH4&gt;2.8,"B",IF(MH4&gt;1.5,"C",IF(MH4&gt;0,"D",IF(MH4=0,""))))))</f>
        <v>B</v>
      </c>
      <c r="MJ4" s="145"/>
      <c r="MK4" s="186"/>
      <c r="ML4" s="146"/>
      <c r="MM4" s="106" t="str">
        <f>IFERROR((((COUNTIF('Elève (5ème1)'!MJ5:ML9,"A"))*4)+((COUNTIF('Elève (5ème1)'!MJ5:ML9,"B"))*3)+((COUNTIF('Elève (5ème1)'!MJ5:ML9,"C"))*2)+((COUNTIF('Elève (5ème1)'!MJ5:ML9,"D"))*1))/(COUNTA(MJ5:ML9)),"")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(5ème1)'!MO5:MQ9,"A"))*4)+((COUNTIF('Elève (5ème1)'!MO5:MQ9,"B"))*3)+((COUNTIF('Elève (5ème1)'!MO5:MQ9,"C"))*2)+((COUNTIF('Elève (5ème1)'!MO5:MQ9,"D"))*1))/(COUNTA(MO5:MQ9)),"")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>3</v>
      </c>
      <c r="MU4" s="130" t="str">
        <f t="shared" ref="MU4:MU21" si="83">IF(MT4="","",IF(MT4&gt;3.7,"A",IF(MT4&gt;2.8,"B",IF(MT4&gt;1.5,"C",IF(MT4&gt;0,"D",IF(MT4=0,""))))))</f>
        <v>B</v>
      </c>
      <c r="MV4" s="152"/>
      <c r="MW4" s="185"/>
      <c r="MX4" s="185"/>
      <c r="MY4" s="106">
        <f>IFERROR((((COUNTIF('Elève (5ème1)'!MV5:MX9,"A"))*4)+((COUNTIF('Elève (5ème1)'!MV5:MX9,"B"))*3)+((COUNTIF('Elève (5ème1)'!MV5:MX9,"C"))*2)+((COUNTIF('Elève (5ème1)'!MV5:MX9,"D"))*1))/(COUNTA(MV5:MX9)),"")</f>
        <v>2</v>
      </c>
      <c r="MZ4" s="107" t="str">
        <f t="shared" ref="MZ4:MZ21" si="84">IF(MY4="","",IF(MY4&gt;3.7,"A",IF(MY4&gt;2.8,"B",IF(MY4&gt;1.5,"C",IF(MY4&gt;0,"D",IF(MY4=0,""))))))</f>
        <v>C</v>
      </c>
      <c r="NA4" s="145"/>
      <c r="NB4" s="186"/>
      <c r="NC4" s="146"/>
      <c r="ND4" s="106" t="str">
        <f>IFERROR((((COUNTIF('Elève (5ème1)'!NA5:NC9,"A"))*4)+((COUNTIF('Elève (5ème1)'!NA5:NC9,"B"))*3)+((COUNTIF('Elève (5ème1)'!NA5:NC9,"C"))*2)+((COUNTIF('Elève (5ème1)'!NA5:NC9,"D"))*1))/(COUNTA(NA5:NC9)),"")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(5ème1)'!NF5:NH9,"A"))*4)+((COUNTIF('Elève (5ème1)'!NF5:NH9,"B"))*3)+((COUNTIF('Elève (5ème1)'!NF5:NH9,"C"))*2)+((COUNTIF('Elève (5ème1)'!NF5:NH9,"D"))*1))/(COUNTA(NF5:NH9)),"")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>2</v>
      </c>
      <c r="NL4" s="130" t="str">
        <f t="shared" ref="NL4:NL21" si="87">IF(NK4="","",IF(NK4&gt;3.7,"A",IF(NK4&gt;2.8,"B",IF(NK4&gt;1.5,"C",IF(NK4&gt;0,"D",IF(NK4=0,""))))))</f>
        <v>C</v>
      </c>
      <c r="NM4" s="152"/>
      <c r="NN4" s="185"/>
      <c r="NO4" s="185"/>
      <c r="NP4" s="106">
        <f>IFERROR((((COUNTIF('Elève (5ème1)'!NM5:NO9,"A"))*4)+((COUNTIF('Elève (5ème1)'!NM5:NO9,"B"))*3)+((COUNTIF('Elève (5ème1)'!NM5:NO9,"C"))*2)+((COUNTIF('Elève (5ème1)'!NM5:NO9,"D"))*1))/(COUNTA(NM5:NO9)),"")</f>
        <v>3</v>
      </c>
      <c r="NQ4" s="107" t="str">
        <f t="shared" ref="NQ4:NQ21" si="88">IF(NP4="","",IF(NP4&gt;3.7,"A",IF(NP4&gt;2.8,"B",IF(NP4&gt;1.5,"C",IF(NP4&gt;0,"D",IF(NP4=0,""))))))</f>
        <v>B</v>
      </c>
      <c r="NR4" s="145"/>
      <c r="NS4" s="186"/>
      <c r="NT4" s="146"/>
      <c r="NU4" s="106" t="str">
        <f>IFERROR((((COUNTIF('Elève (5ème1)'!NR5:NT9,"A"))*4)+((COUNTIF('Elève (5ème1)'!NR5:NT9,"B"))*3)+((COUNTIF('Elève (5ème1)'!NR5:NT9,"C"))*2)+((COUNTIF('Elève (5ème1)'!NR5:NT9,"D"))*1))/(COUNTA(NR5:NT9)),"")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(5ème1)'!NW5:NY9,"A"))*4)+((COUNTIF('Elève (5ème1)'!NW5:NY9,"B"))*3)+((COUNTIF('Elève (5ème1)'!NW5:NY9,"C"))*2)+((COUNTIF('Elève (5ème1)'!NW5:NY9,"D"))*1))/(COUNTA(NW5:NY9)),"")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>3</v>
      </c>
      <c r="OC4" s="130" t="str">
        <f t="shared" ref="OC4:OC21" si="91">IF(OB4="","",IF(OB4&gt;3.7,"A",IF(OB4&gt;2.8,"B",IF(OB4&gt;1.5,"C",IF(OB4&gt;0,"D",IF(OB4=0,""))))))</f>
        <v>B</v>
      </c>
      <c r="OD4" s="152"/>
      <c r="OE4" s="185"/>
      <c r="OF4" s="185"/>
      <c r="OG4" s="106">
        <f>IFERROR((((COUNTIF('Elève (5ème1)'!OD5:OF9,"A"))*4)+((COUNTIF('Elève (5ème1)'!OD5:OF9,"B"))*3)+((COUNTIF('Elève (5ème1)'!OD5:OF9,"C"))*2)+((COUNTIF('Elève (5ème1)'!OD5:OF9,"D"))*1))/(COUNTA(OD5:OF9)),"")</f>
        <v>3</v>
      </c>
      <c r="OH4" s="107" t="str">
        <f t="shared" ref="OH4:OH21" si="92">IF(OG4="","",IF(OG4&gt;3.7,"A",IF(OG4&gt;2.8,"B",IF(OG4&gt;1.5,"C",IF(OG4&gt;0,"D",IF(OG4=0,""))))))</f>
        <v>B</v>
      </c>
      <c r="OI4" s="145"/>
      <c r="OJ4" s="186"/>
      <c r="OK4" s="146"/>
      <c r="OL4" s="106" t="str">
        <f>IFERROR((((COUNTIF('Elève (5ème1)'!OI5:OK9,"A"))*4)+((COUNTIF('Elève (5ème1)'!OI5:OK9,"B"))*3)+((COUNTIF('Elève (5ème1)'!OI5:OK9,"C"))*2)+((COUNTIF('Elève (5ème1)'!OI5:OK9,"D"))*1))/(COUNTA(OI5:OK9)),"")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(5ème1)'!ON5:OP9,"A"))*4)+((COUNTIF('Elève (5ème1)'!ON5:OP9,"B"))*3)+((COUNTIF('Elève (5ème1)'!ON5:OP9,"C"))*2)+((COUNTIF('Elève (5ème1)'!ON5:OP9,"D"))*1))/(COUNTA(ON5:OP9)),"")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>3</v>
      </c>
      <c r="OT4" s="130" t="str">
        <f t="shared" ref="OT4:OT21" si="95">IF(OS4="","",IF(OS4&gt;3.7,"A",IF(OS4&gt;2.8,"B",IF(OS4&gt;1.5,"C",IF(OS4&gt;0,"D",IF(OS4=0,""))))))</f>
        <v>B</v>
      </c>
      <c r="OU4" s="152"/>
      <c r="OV4" s="185"/>
      <c r="OW4" s="185"/>
      <c r="OX4" s="106">
        <f>IFERROR((((COUNTIF('Elève (5ème1)'!OU5:OW9,"A"))*4)+((COUNTIF('Elève (5ème1)'!OU5:OW9,"B"))*3)+((COUNTIF('Elève (5ème1)'!OU5:OW9,"C"))*2)+((COUNTIF('Elève (5ème1)'!OU5:OW9,"D"))*1))/(COUNTA(OU5:OW9)),"")</f>
        <v>3</v>
      </c>
      <c r="OY4" s="107" t="str">
        <f t="shared" ref="OY4:OY21" si="96">IF(OX4="","",IF(OX4&gt;3.7,"A",IF(OX4&gt;2.8,"B",IF(OX4&gt;1.5,"C",IF(OX4&gt;0,"D",IF(OX4=0,""))))))</f>
        <v>B</v>
      </c>
      <c r="OZ4" s="145"/>
      <c r="PA4" s="186"/>
      <c r="PB4" s="146"/>
      <c r="PC4" s="106" t="str">
        <f>IFERROR((((COUNTIF('Elève (5ème1)'!OZ5:PB9,"A"))*4)+((COUNTIF('Elève (5ème1)'!OZ5:PB9,"B"))*3)+((COUNTIF('Elève (5ème1)'!OZ5:PB9,"C"))*2)+((COUNTIF('Elève (5ème1)'!OZ5:PB9,"D"))*1))/(COUNTA(OZ5:PB9)),"")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(5ème1)'!PE5:PG9,"A"))*4)+((COUNTIF('Elève (5ème1)'!PE5:PG9,"B"))*3)+((COUNTIF('Elève (5ème1)'!PE5:PG9,"C"))*2)+((COUNTIF('Elève (5ème1)'!PE5:PG9,"D"))*1))/(COUNTA(PE5:PG9)),"")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>3</v>
      </c>
      <c r="PK4" s="130" t="str">
        <f t="shared" ref="PK4:PK21" si="99">IF(PJ4="","",IF(PJ4&gt;3.7,"A",IF(PJ4&gt;2.8,"B",IF(PJ4&gt;1.5,"C",IF(PJ4&gt;0,"D",IF(PJ4=0,""))))))</f>
        <v>B</v>
      </c>
      <c r="PL4" s="152"/>
      <c r="PM4" s="185"/>
      <c r="PN4" s="185"/>
      <c r="PO4" s="106">
        <f>IFERROR((((COUNTIF('Elève (5ème1)'!PL5:PN9,"A"))*4)+((COUNTIF('Elève (5ème1)'!PL5:PN9,"B"))*3)+((COUNTIF('Elève (5ème1)'!PL5:PN9,"C"))*2)+((COUNTIF('Elève (5ème1)'!PL5:PN9,"D"))*1))/(COUNTA(PL5:PN9)),"")</f>
        <v>3</v>
      </c>
      <c r="PP4" s="107" t="str">
        <f t="shared" ref="PP4:PP21" si="100">IF(PO4="","",IF(PO4&gt;3.7,"A",IF(PO4&gt;2.8,"B",IF(PO4&gt;1.5,"C",IF(PO4&gt;0,"D",IF(PO4=0,""))))))</f>
        <v>B</v>
      </c>
      <c r="PQ4" s="145"/>
      <c r="PR4" s="186"/>
      <c r="PS4" s="146"/>
      <c r="PT4" s="106" t="str">
        <f>IFERROR((((COUNTIF('Elève (5ème1)'!PQ5:PS9,"A"))*4)+((COUNTIF('Elève (5ème1)'!PQ5:PS9,"B"))*3)+((COUNTIF('Elève (5ème1)'!PQ5:PS9,"C"))*2)+((COUNTIF('Elève (5ème1)'!PQ5:PS9,"D"))*1))/(COUNTA(PQ5:PS9)),"")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(5ème1)'!PV5:PX9,"A"))*4)+((COUNTIF('Elève (5ème1)'!PV5:PX9,"B"))*3)+((COUNTIF('Elève (5ème1)'!PV5:PX9,"C"))*2)+((COUNTIF('Elève (5ème1)'!PV5:PX9,"D"))*1))/(COUNTA(PV5:PX9)),"")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>3</v>
      </c>
      <c r="QB4" s="130" t="str">
        <f t="shared" ref="QB4:QB21" si="103">IF(QA4="","",IF(QA4&gt;3.7,"A",IF(QA4&gt;2.8,"B",IF(QA4&gt;1.5,"C",IF(QA4&gt;0,"D",IF(QA4=0,""))))))</f>
        <v>B</v>
      </c>
      <c r="QC4" s="152"/>
      <c r="QD4" s="185"/>
      <c r="QE4" s="185"/>
      <c r="QF4" s="106">
        <f>IFERROR((((COUNTIF('Elève (5ème1)'!QC5:QE9,"A"))*4)+((COUNTIF('Elève (5ème1)'!QC5:QE9,"B"))*3)+((COUNTIF('Elève (5ème1)'!QC5:QE9,"C"))*2)+((COUNTIF('Elève (5ème1)'!QC5:QE9,"D"))*1))/(COUNTA(QC5:QE9)),"")</f>
        <v>3</v>
      </c>
      <c r="QG4" s="107" t="str">
        <f t="shared" ref="QG4:QG21" si="104">IF(QF4="","",IF(QF4&gt;3.7,"A",IF(QF4&gt;2.8,"B",IF(QF4&gt;1.5,"C",IF(QF4&gt;0,"D",IF(QF4=0,""))))))</f>
        <v>B</v>
      </c>
      <c r="QH4" s="145"/>
      <c r="QI4" s="186"/>
      <c r="QJ4" s="146"/>
      <c r="QK4" s="106" t="str">
        <f>IFERROR((((COUNTIF('Elève (5ème1)'!QH5:QJ9,"A"))*4)+((COUNTIF('Elève (5ème1)'!QH5:QJ9,"B"))*3)+((COUNTIF('Elève (5ème1)'!QH5:QJ9,"C"))*2)+((COUNTIF('Elève (5ème1)'!QH5:QJ9,"D"))*1))/(COUNTA(QH5:QJ9)),"")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(5ème1)'!QM5:QO9,"A"))*4)+((COUNTIF('Elève (5ème1)'!QM5:QO9,"B"))*3)+((COUNTIF('Elève (5ème1)'!QM5:QO9,"C"))*2)+((COUNTIF('Elève (5ème1)'!QM5:QO9,"D"))*1))/(COUNTA(QM5:QO9)),"")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>3</v>
      </c>
      <c r="QS4" s="130" t="str">
        <f t="shared" ref="QS4:QS21" si="107">IF(QR4="","",IF(QR4&gt;3.7,"A",IF(QR4&gt;2.8,"B",IF(QR4&gt;1.5,"C",IF(QR4&gt;0,"D",IF(QR4=0,""))))))</f>
        <v>B</v>
      </c>
      <c r="QT4" s="152"/>
      <c r="QU4" s="185"/>
      <c r="QV4" s="185"/>
      <c r="QW4" s="106">
        <f>IFERROR((((COUNTIF('Elève (5ème1)'!QT5:QV9,"A"))*4)+((COUNTIF('Elève (5ème1)'!QT5:QV9,"B"))*3)+((COUNTIF('Elève (5ème1)'!QT5:QV9,"C"))*2)+((COUNTIF('Elève (5ème1)'!QT5:QV9,"D"))*1))/(COUNTA(QT5:QV9)),"")</f>
        <v>3</v>
      </c>
      <c r="QX4" s="107" t="str">
        <f t="shared" ref="QX4:QX21" si="108">IF(QW4="","",IF(QW4&gt;3.7,"A",IF(QW4&gt;2.8,"B",IF(QW4&gt;1.5,"C",IF(QW4&gt;0,"D",IF(QW4=0,""))))))</f>
        <v>B</v>
      </c>
      <c r="QY4" s="145"/>
      <c r="QZ4" s="186"/>
      <c r="RA4" s="146"/>
      <c r="RB4" s="106" t="str">
        <f>IFERROR((((COUNTIF('Elève (5ème1)'!QY5:RA9,"A"))*4)+((COUNTIF('Elève (5ème1)'!QY5:RA9,"B"))*3)+((COUNTIF('Elève (5ème1)'!QY5:RA9,"C"))*2)+((COUNTIF('Elève (5ème1)'!QY5:RA9,"D"))*1))/(COUNTA(QY5:RA9)),"")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(5ème1)'!RD5:RF9,"A"))*4)+((COUNTIF('Elève (5ème1)'!RD5:RF9,"B"))*3)+((COUNTIF('Elève (5ème1)'!RD5:RF9,"C"))*2)+((COUNTIF('Elève (5ème1)'!RD5:RF9,"D"))*1))/(COUNTA(RD5:RF9)),"")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>3</v>
      </c>
      <c r="RJ4" s="130" t="str">
        <f t="shared" ref="RJ4:RJ21" si="111">IF(RI4="","",IF(RI4&gt;3.7,"A",IF(RI4&gt;2.8,"B",IF(RI4&gt;1.5,"C",IF(RI4&gt;0,"D",IF(RI4=0,""))))))</f>
        <v>B</v>
      </c>
      <c r="RK4" s="152"/>
      <c r="RL4" s="185"/>
      <c r="RM4" s="185"/>
      <c r="RN4" s="106">
        <f>IFERROR((((COUNTIF('Elève (5ème1)'!RK5:RM9,"A"))*4)+((COUNTIF('Elève (5ème1)'!RK5:RM9,"B"))*3)+((COUNTIF('Elève (5ème1)'!RK5:RM9,"C"))*2)+((COUNTIF('Elève (5ème1)'!RK5:RM9,"D"))*1))/(COUNTA(RK5:RM9)),"")</f>
        <v>3</v>
      </c>
      <c r="RO4" s="107" t="str">
        <f t="shared" ref="RO4:RO21" si="112">IF(RN4="","",IF(RN4&gt;3.7,"A",IF(RN4&gt;2.8,"B",IF(RN4&gt;1.5,"C",IF(RN4&gt;0,"D",IF(RN4=0,""))))))</f>
        <v>B</v>
      </c>
      <c r="RP4" s="145"/>
      <c r="RQ4" s="186"/>
      <c r="RR4" s="146"/>
      <c r="RS4" s="106" t="str">
        <f>IFERROR((((COUNTIF('Elève (5ème1)'!RP5:RR9,"A"))*4)+((COUNTIF('Elève (5ème1)'!RP5:RR9,"B"))*3)+((COUNTIF('Elève (5ème1)'!RP5:RR9,"C"))*2)+((COUNTIF('Elève (5ème1)'!RP5:RR9,"D"))*1))/(COUNTA(RP5:RR9)),"")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(5ème1)'!RU5:RW9,"A"))*4)+((COUNTIF('Elève (5ème1)'!RU5:RW9,"B"))*3)+((COUNTIF('Elève (5ème1)'!RU5:RW9,"C"))*2)+((COUNTIF('Elève (5ème1)'!RU5:RW9,"D"))*1))/(COUNTA(RU5:RW9)),"")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>3</v>
      </c>
      <c r="SA4" s="130" t="str">
        <f t="shared" ref="SA4:SA21" si="115">IF(RZ4="","",IF(RZ4&gt;3.7,"A",IF(RZ4&gt;2.8,"B",IF(RZ4&gt;1.5,"C",IF(RZ4&gt;0,"D",IF(RZ4=0,""))))))</f>
        <v>B</v>
      </c>
      <c r="SB4" s="152"/>
      <c r="SC4" s="185"/>
      <c r="SD4" s="185"/>
      <c r="SE4" s="106">
        <f>IFERROR((((COUNTIF('Elève (5ème1)'!SB5:SD9,"A"))*4)+((COUNTIF('Elève (5ème1)'!SB5:SD9,"B"))*3)+((COUNTIF('Elève (5ème1)'!SB5:SD9,"C"))*2)+((COUNTIF('Elève (5ème1)'!SB5:SD9,"D"))*1))/(COUNTA(SB5:SD9)),"")</f>
        <v>3</v>
      </c>
      <c r="SF4" s="107" t="str">
        <f t="shared" ref="SF4:SF21" si="116">IF(SE4="","",IF(SE4&gt;3.7,"A",IF(SE4&gt;2.8,"B",IF(SE4&gt;1.5,"C",IF(SE4&gt;0,"D",IF(SE4=0,""))))))</f>
        <v>B</v>
      </c>
      <c r="SG4" s="145"/>
      <c r="SH4" s="186"/>
      <c r="SI4" s="146"/>
      <c r="SJ4" s="106" t="str">
        <f>IFERROR((((COUNTIF('Elève (5ème1)'!SG5:SI9,"A"))*4)+((COUNTIF('Elève (5ème1)'!SG5:SI9,"B"))*3)+((COUNTIF('Elève (5ème1)'!SG5:SI9,"C"))*2)+((COUNTIF('Elève (5ème1)'!SG5:SI9,"D"))*1))/(COUNTA(SG5:SI9)),"")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(5ème1)'!SL5:SN9,"A"))*4)+((COUNTIF('Elève (5ème1)'!SL5:SN9,"B"))*3)+((COUNTIF('Elève (5ème1)'!SL5:SN9,"C"))*2)+((COUNTIF('Elève (5ème1)'!SL5:SN9,"D"))*1))/(COUNTA(SL5:SN9)),"")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>3</v>
      </c>
      <c r="SR4" s="130" t="str">
        <f t="shared" ref="SR4:SR21" si="119">IF(SQ4="","",IF(SQ4&gt;3.7,"A",IF(SQ4&gt;2.8,"B",IF(SQ4&gt;1.5,"C",IF(SQ4&gt;0,"D",IF(SQ4=0,""))))))</f>
        <v>B</v>
      </c>
    </row>
    <row r="5" spans="1:512" s="72" customFormat="1" ht="18" customHeight="1" x14ac:dyDescent="0.25">
      <c r="A5" s="221" t="s">
        <v>12</v>
      </c>
      <c r="B5" s="222"/>
      <c r="C5" s="153" t="s">
        <v>27</v>
      </c>
      <c r="D5" s="154"/>
      <c r="E5" s="155"/>
      <c r="F5" s="108">
        <f>IFERROR((((COUNTIF('Elève (5ème1)'!C5:E5,"A"))*4)+((COUNTIF('Elève (5ème1)'!C5:E5,"B"))*3)+((COUNTIF('Elève (5ème1)'!C5:E5,"C"))*2)+((COUNTIF('Elève (5ème1)'!C5:E5,"D"))*1))/(COUNTA(C5:E5)),"")</f>
        <v>4</v>
      </c>
      <c r="G5" s="109" t="str">
        <f t="shared" si="0"/>
        <v>A</v>
      </c>
      <c r="H5" s="78"/>
      <c r="I5" s="79"/>
      <c r="J5" s="80"/>
      <c r="K5" s="108" t="str">
        <f>IFERROR((((COUNTIF('Elève (5ème1)'!H5:J5,"A"))*4)+((COUNTIF('Elève (5ème1)'!H5:J5,"B"))*3)+((COUNTIF('Elève (5ème1)'!H5:J5,"C"))*2)+((COUNTIF('Elève (5ème1)'!H5:J5,"D"))*1))/(COUNTA(H5:J5)),"")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(5ème1)'!M5:O5,"A"))*4)+((COUNTIF('Elève (5ème1)'!M5:O5,"B"))*3)+((COUNTIF('Elève (5ème1)'!M5:O5,"C"))*2)+((COUNTIF('Elève (5ème1)'!M5:O5,"D"))*1))/(COUNTA(M5:O5)),"")</f>
        <v/>
      </c>
      <c r="Q5" s="109" t="str">
        <f t="shared" si="2"/>
        <v/>
      </c>
      <c r="R5" s="178">
        <f>IF(COUNT(F5,K5,P5)=0,"",SUM(F5,K5,P5)/COUNT(F5,K5,P5))</f>
        <v>4</v>
      </c>
      <c r="S5" s="131" t="str">
        <f t="shared" si="3"/>
        <v>A</v>
      </c>
      <c r="T5" s="153" t="s">
        <v>28</v>
      </c>
      <c r="U5" s="154"/>
      <c r="V5" s="155"/>
      <c r="W5" s="108">
        <f>IFERROR((((COUNTIF('Elève (5ème1)'!T5:V5,"A"))*4)+((COUNTIF('Elève (5ème1)'!T5:V5,"B"))*3)+((COUNTIF('Elève (5ème1)'!T5:V5,"C"))*2)+((COUNTIF('Elève (5ème1)'!T5:V5,"D"))*1))/(COUNTA(T5:V5)),"")</f>
        <v>3</v>
      </c>
      <c r="X5" s="109" t="str">
        <f t="shared" si="4"/>
        <v>B</v>
      </c>
      <c r="Y5" s="78"/>
      <c r="Z5" s="79"/>
      <c r="AA5" s="80"/>
      <c r="AB5" s="108" t="str">
        <f>IFERROR((((COUNTIF('Elève (5ème1)'!Y5:AA5,"A"))*4)+((COUNTIF('Elève (5ème1)'!Y5:AA5,"B"))*3)+((COUNTIF('Elève (5ème1)'!Y5:AA5,"C"))*2)+((COUNTIF('Elève (5ème1)'!Y5:AA5,"D"))*1))/(COUNTA(Y5:AA5)),"")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(5ème1)'!AD5:AF5,"A"))*4)+((COUNTIF('Elève (5ème1)'!AD5:AF5,"B"))*3)+((COUNTIF('Elève (5ème1)'!AD5:AF5,"C"))*2)+((COUNTIF('Elève (5ème1)'!AD5:AF5,"D"))*1))/(COUNTA(AD5:AF5)),"")</f>
        <v/>
      </c>
      <c r="AH5" s="109" t="str">
        <f t="shared" si="6"/>
        <v/>
      </c>
      <c r="AI5" s="178">
        <f>IF(COUNT(W5,AB5,AG5)=0,"",SUM(W5,AB5,AG5)/COUNT(W5,AB5,AG5))</f>
        <v>3</v>
      </c>
      <c r="AJ5" s="131" t="str">
        <f t="shared" si="7"/>
        <v>B</v>
      </c>
      <c r="AK5" s="153" t="s">
        <v>29</v>
      </c>
      <c r="AL5" s="154"/>
      <c r="AM5" s="155"/>
      <c r="AN5" s="108">
        <f>IFERROR((((COUNTIF('Elève (5ème1)'!AK5:AM5,"A"))*4)+((COUNTIF('Elève (5ème1)'!AK5:AM5,"B"))*3)+((COUNTIF('Elève (5ème1)'!AK5:AM5,"C"))*2)+((COUNTIF('Elève (5ème1)'!AK5:AM5,"D"))*1))/(COUNTA(AK5:AM5)),"")</f>
        <v>2</v>
      </c>
      <c r="AO5" s="109" t="str">
        <f t="shared" si="8"/>
        <v>C</v>
      </c>
      <c r="AP5" s="78"/>
      <c r="AQ5" s="79"/>
      <c r="AR5" s="80"/>
      <c r="AS5" s="108" t="str">
        <f>IFERROR((((COUNTIF('Elève (5ème1)'!AP5:AR5,"A"))*4)+((COUNTIF('Elève (5ème1)'!AP5:AR5,"B"))*3)+((COUNTIF('Elève (5ème1)'!AP5:AR5,"C"))*2)+((COUNTIF('Elève (5ème1)'!AP5:AR5,"D"))*1))/(COUNTA(AP5:AR5)),"")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(5ème1)'!AU5:AW5,"A"))*4)+((COUNTIF('Elève (5ème1)'!AU5:AW5,"B"))*3)+((COUNTIF('Elève (5ème1)'!AU5:AW5,"C"))*2)+((COUNTIF('Elève (5ème1)'!AU5:AW5,"D"))*1))/(COUNTA(AU5:AW5)),"")</f>
        <v/>
      </c>
      <c r="AY5" s="109" t="str">
        <f t="shared" si="10"/>
        <v/>
      </c>
      <c r="AZ5" s="178">
        <f>IF(COUNT(AN5,AS5,AX5)=0,"",SUM(AN5,AS5,AX5)/COUNT(AN5,AS5,AX5))</f>
        <v>2</v>
      </c>
      <c r="BA5" s="131" t="str">
        <f t="shared" si="11"/>
        <v>C</v>
      </c>
      <c r="BB5" s="153" t="s">
        <v>29</v>
      </c>
      <c r="BC5" s="154"/>
      <c r="BD5" s="155"/>
      <c r="BE5" s="108">
        <f>IFERROR((((COUNTIF('Elève (5ème1)'!BB5:BD5,"A"))*4)+((COUNTIF('Elève (5ème1)'!BB5:BD5,"B"))*3)+((COUNTIF('Elève (5ème1)'!BB5:BD5,"C"))*2)+((COUNTIF('Elève (5ème1)'!BB5:BD5,"D"))*1))/(COUNTA(BB5:BD5)),"")</f>
        <v>2</v>
      </c>
      <c r="BF5" s="109" t="str">
        <f t="shared" si="12"/>
        <v>C</v>
      </c>
      <c r="BG5" s="78"/>
      <c r="BH5" s="79"/>
      <c r="BI5" s="80"/>
      <c r="BJ5" s="108" t="str">
        <f>IFERROR((((COUNTIF('Elève (5ème1)'!BG5:BI5,"A"))*4)+((COUNTIF('Elève (5ème1)'!BG5:BI5,"B"))*3)+((COUNTIF('Elève (5ème1)'!BG5:BI5,"C"))*2)+((COUNTIF('Elève (5ème1)'!BG5:BI5,"D"))*1))/(COUNTA(BG5:BI5)),"")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(5ème1)'!BL5:BN5,"A"))*4)+((COUNTIF('Elève (5ème1)'!BL5:BN5,"B"))*3)+((COUNTIF('Elève (5ème1)'!BL5:BN5,"C"))*2)+((COUNTIF('Elève (5ème1)'!BL5:BN5,"D"))*1))/(COUNTA(BL5:BN5)),"")</f>
        <v/>
      </c>
      <c r="BP5" s="109" t="str">
        <f t="shared" si="14"/>
        <v/>
      </c>
      <c r="BQ5" s="178">
        <f>IF(COUNT(BE5,BJ5,BO5)=0,"",SUM(BE5,BJ5,BO5)/COUNT(BE5,BJ5,BO5))</f>
        <v>2</v>
      </c>
      <c r="BR5" s="131" t="str">
        <f t="shared" si="15"/>
        <v>C</v>
      </c>
      <c r="BS5" s="153" t="s">
        <v>28</v>
      </c>
      <c r="BT5" s="154"/>
      <c r="BU5" s="155"/>
      <c r="BV5" s="108">
        <f>IFERROR((((COUNTIF('Elève (5ème1)'!BS5:BU5,"A"))*4)+((COUNTIF('Elève (5ème1)'!BS5:BU5,"B"))*3)+((COUNTIF('Elève (5ème1)'!BS5:BU5,"C"))*2)+((COUNTIF('Elève (5ème1)'!BS5:BU5,"D"))*1))/(COUNTA(BS5:BU5)),"")</f>
        <v>3</v>
      </c>
      <c r="BW5" s="109" t="str">
        <f t="shared" si="16"/>
        <v>B</v>
      </c>
      <c r="BX5" s="78"/>
      <c r="BY5" s="79"/>
      <c r="BZ5" s="80"/>
      <c r="CA5" s="108" t="str">
        <f>IFERROR((((COUNTIF('Elève (5ème1)'!BX5:BZ5,"A"))*4)+((COUNTIF('Elève (5ème1)'!BX5:BZ5,"B"))*3)+((COUNTIF('Elève (5ème1)'!BX5:BZ5,"C"))*2)+((COUNTIF('Elève (5ème1)'!BX5:BZ5,"D"))*1))/(COUNTA(BX5:BZ5)),"")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(5ème1)'!CC5:CE5,"A"))*4)+((COUNTIF('Elève (5ème1)'!CC5:CE5,"B"))*3)+((COUNTIF('Elève (5ème1)'!CC5:CE5,"C"))*2)+((COUNTIF('Elève (5ème1)'!CC5:CE5,"D"))*1))/(COUNTA(CC5:CE5)),"")</f>
        <v/>
      </c>
      <c r="CG5" s="109" t="str">
        <f t="shared" si="18"/>
        <v/>
      </c>
      <c r="CH5" s="178">
        <f>IF(COUNT(BV5,CA5,CF5)=0,"",SUM(BV5,CA5,CF5)/COUNT(BV5,CA5,CF5))</f>
        <v>3</v>
      </c>
      <c r="CI5" s="131" t="str">
        <f t="shared" si="19"/>
        <v>B</v>
      </c>
      <c r="CJ5" s="153" t="s">
        <v>28</v>
      </c>
      <c r="CK5" s="154"/>
      <c r="CL5" s="155"/>
      <c r="CM5" s="108">
        <f>IFERROR((((COUNTIF('Elève (5ème1)'!CJ5:CL5,"A"))*4)+((COUNTIF('Elève (5ème1)'!CJ5:CL5,"B"))*3)+((COUNTIF('Elève (5ème1)'!CJ5:CL5,"C"))*2)+((COUNTIF('Elève (5ème1)'!CJ5:CL5,"D"))*1))/(COUNTA(CJ5:CL5)),"")</f>
        <v>3</v>
      </c>
      <c r="CN5" s="109" t="str">
        <f t="shared" si="20"/>
        <v>B</v>
      </c>
      <c r="CO5" s="78"/>
      <c r="CP5" s="79"/>
      <c r="CQ5" s="80"/>
      <c r="CR5" s="108" t="str">
        <f>IFERROR((((COUNTIF('Elève (5ème1)'!CO5:CQ5,"A"))*4)+((COUNTIF('Elève (5ème1)'!CO5:CQ5,"B"))*3)+((COUNTIF('Elève (5ème1)'!CO5:CQ5,"C"))*2)+((COUNTIF('Elève (5ème1)'!CO5:CQ5,"D"))*1))/(COUNTA(CO5:CQ5)),"")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(5ème1)'!CT5:CV5,"A"))*4)+((COUNTIF('Elève (5ème1)'!CT5:CV5,"B"))*3)+((COUNTIF('Elève (5ème1)'!CT5:CV5,"C"))*2)+((COUNTIF('Elève (5ème1)'!CT5:CV5,"D"))*1))/(COUNTA(CT5:CV5)),"")</f>
        <v/>
      </c>
      <c r="CX5" s="109" t="str">
        <f t="shared" si="22"/>
        <v/>
      </c>
      <c r="CY5" s="178">
        <f>IF(COUNT(CM5,CR5,CW5)=0,"",SUM(CM5,CR5,CW5)/COUNT(CM5,CR5,CW5))</f>
        <v>3</v>
      </c>
      <c r="CZ5" s="131" t="str">
        <f t="shared" si="23"/>
        <v>B</v>
      </c>
      <c r="DA5" s="153" t="s">
        <v>28</v>
      </c>
      <c r="DB5" s="154"/>
      <c r="DC5" s="155"/>
      <c r="DD5" s="108">
        <f>IFERROR((((COUNTIF('Elève (5ème1)'!DA5:DC5,"A"))*4)+((COUNTIF('Elève (5ème1)'!DA5:DC5,"B"))*3)+((COUNTIF('Elève (5ème1)'!DA5:DC5,"C"))*2)+((COUNTIF('Elève (5ème1)'!DA5:DC5,"D"))*1))/(COUNTA(DA5:DC5)),"")</f>
        <v>3</v>
      </c>
      <c r="DE5" s="109" t="str">
        <f t="shared" si="24"/>
        <v>B</v>
      </c>
      <c r="DF5" s="78"/>
      <c r="DG5" s="79"/>
      <c r="DH5" s="80"/>
      <c r="DI5" s="108" t="str">
        <f>IFERROR((((COUNTIF('Elève (5ème1)'!DF5:DH5,"A"))*4)+((COUNTIF('Elève (5ème1)'!DF5:DH5,"B"))*3)+((COUNTIF('Elève (5ème1)'!DF5:DH5,"C"))*2)+((COUNTIF('Elève (5ème1)'!DF5:DH5,"D"))*1))/(COUNTA(DF5:DH5)),"")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(5ème1)'!DK5:DM5,"A"))*4)+((COUNTIF('Elève (5ème1)'!DK5:DM5,"B"))*3)+((COUNTIF('Elève (5ème1)'!DK5:DM5,"C"))*2)+((COUNTIF('Elève (5ème1)'!DK5:DM5,"D"))*1))/(COUNTA(DK5:DM5)),"")</f>
        <v/>
      </c>
      <c r="DO5" s="109" t="str">
        <f t="shared" si="26"/>
        <v/>
      </c>
      <c r="DP5" s="178">
        <f>IF(COUNT(DD5,DI5,DN5)=0,"",SUM(DD5,DI5,DN5)/COUNT(DD5,DI5,DN5))</f>
        <v>3</v>
      </c>
      <c r="DQ5" s="131" t="str">
        <f t="shared" si="27"/>
        <v>B</v>
      </c>
      <c r="DR5" s="153" t="s">
        <v>28</v>
      </c>
      <c r="DS5" s="154"/>
      <c r="DT5" s="155"/>
      <c r="DU5" s="108">
        <f>IFERROR((((COUNTIF('Elève (5ème1)'!DR5:DT5,"A"))*4)+((COUNTIF('Elève (5ème1)'!DR5:DT5,"B"))*3)+((COUNTIF('Elève (5ème1)'!DR5:DT5,"C"))*2)+((COUNTIF('Elève (5ème1)'!DR5:DT5,"D"))*1))/(COUNTA(DR5:DT5)),"")</f>
        <v>3</v>
      </c>
      <c r="DV5" s="109" t="str">
        <f t="shared" si="28"/>
        <v>B</v>
      </c>
      <c r="DW5" s="78"/>
      <c r="DX5" s="79"/>
      <c r="DY5" s="80"/>
      <c r="DZ5" s="108" t="str">
        <f>IFERROR((((COUNTIF('Elève (5ème1)'!DW5:DY5,"A"))*4)+((COUNTIF('Elève (5ème1)'!DW5:DY5,"B"))*3)+((COUNTIF('Elève (5ème1)'!DW5:DY5,"C"))*2)+((COUNTIF('Elève (5ème1)'!DW5:DY5,"D"))*1))/(COUNTA(DW5:DY5)),"")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(5ème1)'!EB5:ED5,"A"))*4)+((COUNTIF('Elève (5ème1)'!EB5:ED5,"B"))*3)+((COUNTIF('Elève (5ème1)'!EB5:ED5,"C"))*2)+((COUNTIF('Elève (5ème1)'!EB5:ED5,"D"))*1))/(COUNTA(EB5:ED5)),"")</f>
        <v/>
      </c>
      <c r="EF5" s="109" t="str">
        <f t="shared" si="30"/>
        <v/>
      </c>
      <c r="EG5" s="178">
        <f>IF(COUNT(DU5,DZ5,EE5)=0,"",SUM(DU5,DZ5,EE5)/COUNT(DU5,DZ5,EE5))</f>
        <v>3</v>
      </c>
      <c r="EH5" s="131" t="str">
        <f t="shared" si="31"/>
        <v>B</v>
      </c>
      <c r="EI5" s="153" t="s">
        <v>28</v>
      </c>
      <c r="EJ5" s="154"/>
      <c r="EK5" s="155"/>
      <c r="EL5" s="108">
        <f>IFERROR((((COUNTIF('Elève (5ème1)'!EI5:EK5,"A"))*4)+((COUNTIF('Elève (5ème1)'!EI5:EK5,"B"))*3)+((COUNTIF('Elève (5ème1)'!EI5:EK5,"C"))*2)+((COUNTIF('Elève (5ème1)'!EI5:EK5,"D"))*1))/(COUNTA(EI5:EK5)),"")</f>
        <v>3</v>
      </c>
      <c r="EM5" s="109" t="str">
        <f t="shared" si="32"/>
        <v>B</v>
      </c>
      <c r="EN5" s="78"/>
      <c r="EO5" s="79"/>
      <c r="EP5" s="80"/>
      <c r="EQ5" s="108" t="str">
        <f>IFERROR((((COUNTIF('Elève (5ème1)'!EN5:EP5,"A"))*4)+((COUNTIF('Elève (5ème1)'!EN5:EP5,"B"))*3)+((COUNTIF('Elève (5ème1)'!EN5:EP5,"C"))*2)+((COUNTIF('Elève (5ème1)'!EN5:EP5,"D"))*1))/(COUNTA(EN5:EP5)),"")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(5ème1)'!ES5:EU5,"A"))*4)+((COUNTIF('Elève (5ème1)'!ES5:EU5,"B"))*3)+((COUNTIF('Elève (5ème1)'!ES5:EU5,"C"))*2)+((COUNTIF('Elève (5ème1)'!ES5:EU5,"D"))*1))/(COUNTA(ES5:EU5)),"")</f>
        <v/>
      </c>
      <c r="EW5" s="109" t="str">
        <f t="shared" si="34"/>
        <v/>
      </c>
      <c r="EX5" s="178">
        <f>IF(COUNT(EL5,EQ5,EV5)=0,"",SUM(EL5,EQ5,EV5)/COUNT(EL5,EQ5,EV5))</f>
        <v>3</v>
      </c>
      <c r="EY5" s="131" t="str">
        <f t="shared" si="35"/>
        <v>B</v>
      </c>
      <c r="EZ5" s="153" t="s">
        <v>28</v>
      </c>
      <c r="FA5" s="154"/>
      <c r="FB5" s="155"/>
      <c r="FC5" s="108">
        <f>IFERROR((((COUNTIF('Elève (5ème1)'!EZ5:FB5,"A"))*4)+((COUNTIF('Elève (5ème1)'!EZ5:FB5,"B"))*3)+((COUNTIF('Elève (5ème1)'!EZ5:FB5,"C"))*2)+((COUNTIF('Elève (5ème1)'!EZ5:FB5,"D"))*1))/(COUNTA(EZ5:FB5)),"")</f>
        <v>3</v>
      </c>
      <c r="FD5" s="109" t="str">
        <f t="shared" si="36"/>
        <v>B</v>
      </c>
      <c r="FE5" s="78"/>
      <c r="FF5" s="79"/>
      <c r="FG5" s="80"/>
      <c r="FH5" s="108" t="str">
        <f>IFERROR((((COUNTIF('Elève (5ème1)'!FE5:FG5,"A"))*4)+((COUNTIF('Elève (5ème1)'!FE5:FG5,"B"))*3)+((COUNTIF('Elève (5ème1)'!FE5:FG5,"C"))*2)+((COUNTIF('Elève (5ème1)'!FE5:FG5,"D"))*1))/(COUNTA(FE5:FG5)),"")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(5ème1)'!FJ5:FL5,"A"))*4)+((COUNTIF('Elève (5ème1)'!FJ5:FL5,"B"))*3)+((COUNTIF('Elève (5ème1)'!FJ5:FL5,"C"))*2)+((COUNTIF('Elève (5ème1)'!FJ5:FL5,"D"))*1))/(COUNTA(FJ5:FL5)),"")</f>
        <v/>
      </c>
      <c r="FN5" s="109" t="str">
        <f t="shared" si="38"/>
        <v/>
      </c>
      <c r="FO5" s="178">
        <f>IF(COUNT(FC5,FH5,FM5)=0,"",SUM(FC5,FH5,FM5)/COUNT(FC5,FH5,FM5))</f>
        <v>3</v>
      </c>
      <c r="FP5" s="131" t="str">
        <f t="shared" si="39"/>
        <v>B</v>
      </c>
      <c r="FQ5" s="153" t="s">
        <v>28</v>
      </c>
      <c r="FR5" s="154"/>
      <c r="FS5" s="155"/>
      <c r="FT5" s="108">
        <f>IFERROR((((COUNTIF('Elève (5ème1)'!FQ5:FS5,"A"))*4)+((COUNTIF('Elève (5ème1)'!FQ5:FS5,"B"))*3)+((COUNTIF('Elève (5ème1)'!FQ5:FS5,"C"))*2)+((COUNTIF('Elève (5ème1)'!FQ5:FS5,"D"))*1))/(COUNTA(FQ5:FS5)),"")</f>
        <v>3</v>
      </c>
      <c r="FU5" s="109" t="str">
        <f t="shared" si="40"/>
        <v>B</v>
      </c>
      <c r="FV5" s="78"/>
      <c r="FW5" s="79"/>
      <c r="FX5" s="80"/>
      <c r="FY5" s="108" t="str">
        <f>IFERROR((((COUNTIF('Elève (5ème1)'!FV5:FX5,"A"))*4)+((COUNTIF('Elève (5ème1)'!FV5:FX5,"B"))*3)+((COUNTIF('Elève (5ème1)'!FV5:FX5,"C"))*2)+((COUNTIF('Elève (5ème1)'!FV5:FX5,"D"))*1))/(COUNTA(FV5:FX5)),"")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(5ème1)'!GA5:GC5,"A"))*4)+((COUNTIF('Elève (5ème1)'!GA5:GC5,"B"))*3)+((COUNTIF('Elève (5ème1)'!GA5:GC5,"C"))*2)+((COUNTIF('Elève (5ème1)'!GA5:GC5,"D"))*1))/(COUNTA(GA5:GC5)),"")</f>
        <v/>
      </c>
      <c r="GE5" s="109" t="str">
        <f t="shared" si="42"/>
        <v/>
      </c>
      <c r="GF5" s="178">
        <f>IF(COUNT(FT5,FY5,GD5)=0,"",SUM(FT5,FY5,GD5)/COUNT(FT5,FY5,GD5))</f>
        <v>3</v>
      </c>
      <c r="GG5" s="131" t="str">
        <f t="shared" si="43"/>
        <v>B</v>
      </c>
      <c r="GH5" s="153" t="s">
        <v>28</v>
      </c>
      <c r="GI5" s="154"/>
      <c r="GJ5" s="155"/>
      <c r="GK5" s="108">
        <f>IFERROR((((COUNTIF('Elève (5ème1)'!GH5:GJ5,"A"))*4)+((COUNTIF('Elève (5ème1)'!GH5:GJ5,"B"))*3)+((COUNTIF('Elève (5ème1)'!GH5:GJ5,"C"))*2)+((COUNTIF('Elève (5ème1)'!GH5:GJ5,"D"))*1))/(COUNTA(GH5:GJ5)),"")</f>
        <v>3</v>
      </c>
      <c r="GL5" s="109" t="str">
        <f t="shared" si="44"/>
        <v>B</v>
      </c>
      <c r="GM5" s="78"/>
      <c r="GN5" s="79"/>
      <c r="GO5" s="80"/>
      <c r="GP5" s="108" t="str">
        <f>IFERROR((((COUNTIF('Elève (5ème1)'!GM5:GO5,"A"))*4)+((COUNTIF('Elève (5ème1)'!GM5:GO5,"B"))*3)+((COUNTIF('Elève (5ème1)'!GM5:GO5,"C"))*2)+((COUNTIF('Elève (5ème1)'!GM5:GO5,"D"))*1))/(COUNTA(GM5:GO5)),"")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(5ème1)'!GR5:GT5,"A"))*4)+((COUNTIF('Elève (5ème1)'!GR5:GT5,"B"))*3)+((COUNTIF('Elève (5ème1)'!GR5:GT5,"C"))*2)+((COUNTIF('Elève (5ème1)'!GR5:GT5,"D"))*1))/(COUNTA(GR5:GT5)),"")</f>
        <v/>
      </c>
      <c r="GV5" s="109" t="str">
        <f t="shared" si="46"/>
        <v/>
      </c>
      <c r="GW5" s="178">
        <f>IF(COUNT(GK5,GP5,GU5)=0,"",SUM(GK5,GP5,GU5)/COUNT(GK5,GP5,GU5))</f>
        <v>3</v>
      </c>
      <c r="GX5" s="131" t="str">
        <f t="shared" si="47"/>
        <v>B</v>
      </c>
      <c r="GY5" s="153" t="s">
        <v>28</v>
      </c>
      <c r="GZ5" s="154"/>
      <c r="HA5" s="155"/>
      <c r="HB5" s="108">
        <f>IFERROR((((COUNTIF('Elève (5ème1)'!GY5:HA5,"A"))*4)+((COUNTIF('Elève (5ème1)'!GY5:HA5,"B"))*3)+((COUNTIF('Elève (5ème1)'!GY5:HA5,"C"))*2)+((COUNTIF('Elève (5ème1)'!GY5:HA5,"D"))*1))/(COUNTA(GY5:HA5)),"")</f>
        <v>3</v>
      </c>
      <c r="HC5" s="109" t="str">
        <f t="shared" si="48"/>
        <v>B</v>
      </c>
      <c r="HD5" s="78"/>
      <c r="HE5" s="79"/>
      <c r="HF5" s="80"/>
      <c r="HG5" s="108" t="str">
        <f>IFERROR((((COUNTIF('Elève (5ème1)'!HD5:HF5,"A"))*4)+((COUNTIF('Elève (5ème1)'!HD5:HF5,"B"))*3)+((COUNTIF('Elève (5ème1)'!HD5:HF5,"C"))*2)+((COUNTIF('Elève (5ème1)'!HD5:HF5,"D"))*1))/(COUNTA(HD5:HF5)),"")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(5ème1)'!HI5:HK5,"A"))*4)+((COUNTIF('Elève (5ème1)'!HI5:HK5,"B"))*3)+((COUNTIF('Elève (5ème1)'!HI5:HK5,"C"))*2)+((COUNTIF('Elève (5ème1)'!HI5:HK5,"D"))*1))/(COUNTA(HI5:HK5)),"")</f>
        <v/>
      </c>
      <c r="HM5" s="109" t="str">
        <f t="shared" si="50"/>
        <v/>
      </c>
      <c r="HN5" s="178">
        <f>IF(COUNT(HB5,HG5,HL5)=0,"",SUM(HB5,HG5,HL5)/COUNT(HB5,HG5,HL5))</f>
        <v>3</v>
      </c>
      <c r="HO5" s="131" t="str">
        <f t="shared" si="51"/>
        <v>B</v>
      </c>
      <c r="HP5" s="153" t="s">
        <v>28</v>
      </c>
      <c r="HQ5" s="154"/>
      <c r="HR5" s="155"/>
      <c r="HS5" s="108">
        <f>IFERROR((((COUNTIF('Elève (5ème1)'!HP5:HR5,"A"))*4)+((COUNTIF('Elève (5ème1)'!HP5:HR5,"B"))*3)+((COUNTIF('Elève (5ème1)'!HP5:HR5,"C"))*2)+((COUNTIF('Elève (5ème1)'!HP5:HR5,"D"))*1))/(COUNTA(HP5:HR5)),"")</f>
        <v>3</v>
      </c>
      <c r="HT5" s="109" t="str">
        <f t="shared" si="52"/>
        <v>B</v>
      </c>
      <c r="HU5" s="78"/>
      <c r="HV5" s="79"/>
      <c r="HW5" s="80"/>
      <c r="HX5" s="108" t="str">
        <f>IFERROR((((COUNTIF('Elève (5ème1)'!HU5:HW5,"A"))*4)+((COUNTIF('Elève (5ème1)'!HU5:HW5,"B"))*3)+((COUNTIF('Elève (5ème1)'!HU5:HW5,"C"))*2)+((COUNTIF('Elève (5ème1)'!HU5:HW5,"D"))*1))/(COUNTA(HU5:HW5)),"")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(5ème1)'!HZ5:IB5,"A"))*4)+((COUNTIF('Elève (5ème1)'!HZ5:IB5,"B"))*3)+((COUNTIF('Elève (5ème1)'!HZ5:IB5,"C"))*2)+((COUNTIF('Elève (5ème1)'!HZ5:IB5,"D"))*1))/(COUNTA(HZ5:IB5)),"")</f>
        <v/>
      </c>
      <c r="ID5" s="109" t="str">
        <f t="shared" si="54"/>
        <v/>
      </c>
      <c r="IE5" s="178">
        <f>IF(COUNT(HS5,HX5,IC5)=0,"",SUM(HS5,HX5,IC5)/COUNT(HS5,HX5,IC5))</f>
        <v>3</v>
      </c>
      <c r="IF5" s="131" t="str">
        <f t="shared" si="55"/>
        <v>B</v>
      </c>
      <c r="IG5" s="153" t="s">
        <v>28</v>
      </c>
      <c r="IH5" s="154"/>
      <c r="II5" s="155"/>
      <c r="IJ5" s="108">
        <f>IFERROR((((COUNTIF('Elève (5ème1)'!IG5:II5,"A"))*4)+((COUNTIF('Elève (5ème1)'!IG5:II5,"B"))*3)+((COUNTIF('Elève (5ème1)'!IG5:II5,"C"))*2)+((COUNTIF('Elève (5ème1)'!IG5:II5,"D"))*1))/(COUNTA(IG5:II5)),"")</f>
        <v>3</v>
      </c>
      <c r="IK5" s="109" t="str">
        <f t="shared" si="56"/>
        <v>B</v>
      </c>
      <c r="IL5" s="78"/>
      <c r="IM5" s="79"/>
      <c r="IN5" s="80"/>
      <c r="IO5" s="108" t="str">
        <f>IFERROR((((COUNTIF('Elève (5ème1)'!IL5:IN5,"A"))*4)+((COUNTIF('Elève (5ème1)'!IL5:IN5,"B"))*3)+((COUNTIF('Elève (5ème1)'!IL5:IN5,"C"))*2)+((COUNTIF('Elève (5ème1)'!IL5:IN5,"D"))*1))/(COUNTA(IL5:IN5)),"")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(5ème1)'!IQ5:IS5,"A"))*4)+((COUNTIF('Elève (5ème1)'!IQ5:IS5,"B"))*3)+((COUNTIF('Elève (5ème1)'!IQ5:IS5,"C"))*2)+((COUNTIF('Elève (5ème1)'!IQ5:IS5,"D"))*1))/(COUNTA(IQ5:IS5)),"")</f>
        <v/>
      </c>
      <c r="IU5" s="109" t="str">
        <f t="shared" si="58"/>
        <v/>
      </c>
      <c r="IV5" s="178">
        <f>IF(COUNT(IJ5,IO5,IT5)=0,"",SUM(IJ5,IO5,IT5)/COUNT(IJ5,IO5,IT5))</f>
        <v>3</v>
      </c>
      <c r="IW5" s="131" t="str">
        <f t="shared" si="59"/>
        <v>B</v>
      </c>
      <c r="IX5" s="153" t="s">
        <v>28</v>
      </c>
      <c r="IY5" s="154"/>
      <c r="IZ5" s="155"/>
      <c r="JA5" s="108">
        <f>IFERROR((((COUNTIF('Elève (5ème1)'!IX5:IZ5,"A"))*4)+((COUNTIF('Elève (5ème1)'!IX5:IZ5,"B"))*3)+((COUNTIF('Elève (5ème1)'!IX5:IZ5,"C"))*2)+((COUNTIF('Elève (5ème1)'!IX5:IZ5,"D"))*1))/(COUNTA(IX5:IZ5)),"")</f>
        <v>3</v>
      </c>
      <c r="JB5" s="109" t="str">
        <f t="shared" si="60"/>
        <v>B</v>
      </c>
      <c r="JC5" s="78"/>
      <c r="JD5" s="79"/>
      <c r="JE5" s="80"/>
      <c r="JF5" s="108" t="str">
        <f>IFERROR((((COUNTIF('Elève (5ème1)'!JC5:JE5,"A"))*4)+((COUNTIF('Elève (5ème1)'!JC5:JE5,"B"))*3)+((COUNTIF('Elève (5ème1)'!JC5:JE5,"C"))*2)+((COUNTIF('Elève (5ème1)'!JC5:JE5,"D"))*1))/(COUNTA(JC5:JE5)),"")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(5ème1)'!JH5:JJ5,"A"))*4)+((COUNTIF('Elève (5ème1)'!JH5:JJ5,"B"))*3)+((COUNTIF('Elève (5ème1)'!JH5:JJ5,"C"))*2)+((COUNTIF('Elève (5ème1)'!JH5:JJ5,"D"))*1))/(COUNTA(JH5:JJ5)),"")</f>
        <v/>
      </c>
      <c r="JL5" s="109" t="str">
        <f t="shared" si="62"/>
        <v/>
      </c>
      <c r="JM5" s="178">
        <f>IF(COUNT(JA5,JF5,JK5)=0,"",SUM(JA5,JF5,JK5)/COUNT(JA5,JF5,JK5))</f>
        <v>3</v>
      </c>
      <c r="JN5" s="131" t="str">
        <f t="shared" si="63"/>
        <v>B</v>
      </c>
      <c r="JO5" s="153" t="s">
        <v>27</v>
      </c>
      <c r="JP5" s="154"/>
      <c r="JQ5" s="155"/>
      <c r="JR5" s="108">
        <f>IFERROR((((COUNTIF('Elève (5ème1)'!JO5:JQ5,"A"))*4)+((COUNTIF('Elève (5ème1)'!JO5:JQ5,"B"))*3)+((COUNTIF('Elève (5ème1)'!JO5:JQ5,"C"))*2)+((COUNTIF('Elève (5ème1)'!JO5:JQ5,"D"))*1))/(COUNTA(JO5:JQ5)),"")</f>
        <v>4</v>
      </c>
      <c r="JS5" s="109" t="str">
        <f t="shared" si="64"/>
        <v>A</v>
      </c>
      <c r="JT5" s="78"/>
      <c r="JU5" s="79"/>
      <c r="JV5" s="80"/>
      <c r="JW5" s="108" t="str">
        <f>IFERROR((((COUNTIF('Elève (5ème1)'!JT5:JV5,"A"))*4)+((COUNTIF('Elève (5ème1)'!JT5:JV5,"B"))*3)+((COUNTIF('Elève (5ème1)'!JT5:JV5,"C"))*2)+((COUNTIF('Elève (5ème1)'!JT5:JV5,"D"))*1))/(COUNTA(JT5:JV5)),"")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(5ème1)'!JY5:KA5,"A"))*4)+((COUNTIF('Elève (5ème1)'!JY5:KA5,"B"))*3)+((COUNTIF('Elève (5ème1)'!JY5:KA5,"C"))*2)+((COUNTIF('Elève (5ème1)'!JY5:KA5,"D"))*1))/(COUNTA(JY5:KA5)),"")</f>
        <v/>
      </c>
      <c r="KC5" s="109" t="str">
        <f t="shared" si="66"/>
        <v/>
      </c>
      <c r="KD5" s="178">
        <f>IF(COUNT(JR5,JW5,KB5)=0,"",SUM(JR5,JW5,KB5)/COUNT(JR5,JW5,KB5))</f>
        <v>4</v>
      </c>
      <c r="KE5" s="131" t="str">
        <f t="shared" si="67"/>
        <v>A</v>
      </c>
      <c r="KF5" s="153" t="s">
        <v>28</v>
      </c>
      <c r="KG5" s="154"/>
      <c r="KH5" s="155"/>
      <c r="KI5" s="108">
        <f>IFERROR((((COUNTIF('Elève (5ème1)'!KF5:KH5,"A"))*4)+((COUNTIF('Elève (5ème1)'!KF5:KH5,"B"))*3)+((COUNTIF('Elève (5ème1)'!KF5:KH5,"C"))*2)+((COUNTIF('Elève (5ème1)'!KF5:KH5,"D"))*1))/(COUNTA(KF5:KH5)),"")</f>
        <v>3</v>
      </c>
      <c r="KJ5" s="109" t="str">
        <f t="shared" si="68"/>
        <v>B</v>
      </c>
      <c r="KK5" s="78"/>
      <c r="KL5" s="79"/>
      <c r="KM5" s="80"/>
      <c r="KN5" s="108" t="str">
        <f>IFERROR((((COUNTIF('Elève (5ème1)'!KK5:KM5,"A"))*4)+((COUNTIF('Elève (5ème1)'!KK5:KM5,"B"))*3)+((COUNTIF('Elève (5ème1)'!KK5:KM5,"C"))*2)+((COUNTIF('Elève (5ème1)'!KK5:KM5,"D"))*1))/(COUNTA(KK5:KM5)),"")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(5ème1)'!KP5:KR5,"A"))*4)+((COUNTIF('Elève (5ème1)'!KP5:KR5,"B"))*3)+((COUNTIF('Elève (5ème1)'!KP5:KR5,"C"))*2)+((COUNTIF('Elève (5ème1)'!KP5:KR5,"D"))*1))/(COUNTA(KP5:KR5)),"")</f>
        <v/>
      </c>
      <c r="KT5" s="109" t="str">
        <f t="shared" si="70"/>
        <v/>
      </c>
      <c r="KU5" s="178">
        <f>IF(COUNT(KI5,KN5,KS5)=0,"",SUM(KI5,KN5,KS5)/COUNT(KI5,KN5,KS5))</f>
        <v>3</v>
      </c>
      <c r="KV5" s="131" t="str">
        <f t="shared" si="71"/>
        <v>B</v>
      </c>
      <c r="KW5" s="153" t="s">
        <v>29</v>
      </c>
      <c r="KX5" s="154"/>
      <c r="KY5" s="155"/>
      <c r="KZ5" s="108">
        <f>IFERROR((((COUNTIF('Elève (5ème1)'!KW5:KY5,"A"))*4)+((COUNTIF('Elève (5ème1)'!KW5:KY5,"B"))*3)+((COUNTIF('Elève (5ème1)'!KW5:KY5,"C"))*2)+((COUNTIF('Elève (5ème1)'!KW5:KY5,"D"))*1))/(COUNTA(KW5:KY5)),"")</f>
        <v>2</v>
      </c>
      <c r="LA5" s="109" t="str">
        <f t="shared" si="72"/>
        <v>C</v>
      </c>
      <c r="LB5" s="78"/>
      <c r="LC5" s="79"/>
      <c r="LD5" s="80"/>
      <c r="LE5" s="108" t="str">
        <f>IFERROR((((COUNTIF('Elève (5ème1)'!LB5:LD5,"A"))*4)+((COUNTIF('Elève (5ème1)'!LB5:LD5,"B"))*3)+((COUNTIF('Elève (5ème1)'!LB5:LD5,"C"))*2)+((COUNTIF('Elève (5ème1)'!LB5:LD5,"D"))*1))/(COUNTA(LB5:LD5)),"")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(5ème1)'!LG5:LI5,"A"))*4)+((COUNTIF('Elève (5ème1)'!LG5:LI5,"B"))*3)+((COUNTIF('Elève (5ème1)'!LG5:LI5,"C"))*2)+((COUNTIF('Elève (5ème1)'!LG5:LI5,"D"))*1))/(COUNTA(LG5:LI5)),"")</f>
        <v/>
      </c>
      <c r="LK5" s="109" t="str">
        <f t="shared" si="74"/>
        <v/>
      </c>
      <c r="LL5" s="178">
        <f>IF(COUNT(KZ5,LE5,LJ5)=0,"",SUM(KZ5,LE5,LJ5)/COUNT(KZ5,LE5,LJ5))</f>
        <v>2</v>
      </c>
      <c r="LM5" s="131" t="str">
        <f t="shared" si="75"/>
        <v>C</v>
      </c>
      <c r="LN5" s="153" t="s">
        <v>28</v>
      </c>
      <c r="LO5" s="154"/>
      <c r="LP5" s="155"/>
      <c r="LQ5" s="108">
        <f>IFERROR((((COUNTIF('Elève (5ème1)'!LN5:LP5,"A"))*4)+((COUNTIF('Elève (5ème1)'!LN5:LP5,"B"))*3)+((COUNTIF('Elève (5ème1)'!LN5:LP5,"C"))*2)+((COUNTIF('Elève (5ème1)'!LN5:LP5,"D"))*1))/(COUNTA(LN5:LP5)),"")</f>
        <v>3</v>
      </c>
      <c r="LR5" s="109" t="str">
        <f t="shared" si="76"/>
        <v>B</v>
      </c>
      <c r="LS5" s="78"/>
      <c r="LT5" s="79"/>
      <c r="LU5" s="80"/>
      <c r="LV5" s="108" t="str">
        <f>IFERROR((((COUNTIF('Elève (5ème1)'!LS5:LU5,"A"))*4)+((COUNTIF('Elève (5ème1)'!LS5:LU5,"B"))*3)+((COUNTIF('Elève (5ème1)'!LS5:LU5,"C"))*2)+((COUNTIF('Elève (5ème1)'!LS5:LU5,"D"))*1))/(COUNTA(LS5:LU5)),"")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(5ème1)'!LX5:LZ5,"A"))*4)+((COUNTIF('Elève (5ème1)'!LX5:LZ5,"B"))*3)+((COUNTIF('Elève (5ème1)'!LX5:LZ5,"C"))*2)+((COUNTIF('Elève (5ème1)'!LX5:LZ5,"D"))*1))/(COUNTA(LX5:LZ5)),"")</f>
        <v/>
      </c>
      <c r="MB5" s="109" t="str">
        <f t="shared" si="78"/>
        <v/>
      </c>
      <c r="MC5" s="178">
        <f>IF(COUNT(LQ5,LV5,MA5)=0,"",SUM(LQ5,LV5,MA5)/COUNT(LQ5,LV5,MA5))</f>
        <v>3</v>
      </c>
      <c r="MD5" s="131" t="str">
        <f t="shared" si="79"/>
        <v>B</v>
      </c>
      <c r="ME5" s="153" t="s">
        <v>28</v>
      </c>
      <c r="MF5" s="154"/>
      <c r="MG5" s="155"/>
      <c r="MH5" s="108">
        <f>IFERROR((((COUNTIF('Elève (5ème1)'!ME5:MG5,"A"))*4)+((COUNTIF('Elève (5ème1)'!ME5:MG5,"B"))*3)+((COUNTIF('Elève (5ème1)'!ME5:MG5,"C"))*2)+((COUNTIF('Elève (5ème1)'!ME5:MG5,"D"))*1))/(COUNTA(ME5:MG5)),"")</f>
        <v>3</v>
      </c>
      <c r="MI5" s="109" t="str">
        <f t="shared" si="80"/>
        <v>B</v>
      </c>
      <c r="MJ5" s="78"/>
      <c r="MK5" s="79"/>
      <c r="ML5" s="80"/>
      <c r="MM5" s="108" t="str">
        <f>IFERROR((((COUNTIF('Elève (5ème1)'!MJ5:ML5,"A"))*4)+((COUNTIF('Elève (5ème1)'!MJ5:ML5,"B"))*3)+((COUNTIF('Elève (5ème1)'!MJ5:ML5,"C"))*2)+((COUNTIF('Elève (5ème1)'!MJ5:ML5,"D"))*1))/(COUNTA(MJ5:ML5)),"")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(5ème1)'!MO5:MQ5,"A"))*4)+((COUNTIF('Elève (5ème1)'!MO5:MQ5,"B"))*3)+((COUNTIF('Elève (5ème1)'!MO5:MQ5,"C"))*2)+((COUNTIF('Elève (5ème1)'!MO5:MQ5,"D"))*1))/(COUNTA(MO5:MQ5)),"")</f>
        <v/>
      </c>
      <c r="MS5" s="109" t="str">
        <f t="shared" si="82"/>
        <v/>
      </c>
      <c r="MT5" s="178">
        <f>IF(COUNT(MH5,MM5,MR5)=0,"",SUM(MH5,MM5,MR5)/COUNT(MH5,MM5,MR5))</f>
        <v>3</v>
      </c>
      <c r="MU5" s="131" t="str">
        <f t="shared" si="83"/>
        <v>B</v>
      </c>
      <c r="MV5" s="153" t="s">
        <v>29</v>
      </c>
      <c r="MW5" s="154"/>
      <c r="MX5" s="155"/>
      <c r="MY5" s="108">
        <f>IFERROR((((COUNTIF('Elève (5ème1)'!MV5:MX5,"A"))*4)+((COUNTIF('Elève (5ème1)'!MV5:MX5,"B"))*3)+((COUNTIF('Elève (5ème1)'!MV5:MX5,"C"))*2)+((COUNTIF('Elève (5ème1)'!MV5:MX5,"D"))*1))/(COUNTA(MV5:MX5)),"")</f>
        <v>2</v>
      </c>
      <c r="MZ5" s="109" t="str">
        <f t="shared" si="84"/>
        <v>C</v>
      </c>
      <c r="NA5" s="78"/>
      <c r="NB5" s="79"/>
      <c r="NC5" s="80"/>
      <c r="ND5" s="108" t="str">
        <f>IFERROR((((COUNTIF('Elève (5ème1)'!NA5:NC5,"A"))*4)+((COUNTIF('Elève (5ème1)'!NA5:NC5,"B"))*3)+((COUNTIF('Elève (5ème1)'!NA5:NC5,"C"))*2)+((COUNTIF('Elève (5ème1)'!NA5:NC5,"D"))*1))/(COUNTA(NA5:NC5)),"")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(5ème1)'!NF5:NH5,"A"))*4)+((COUNTIF('Elève (5ème1)'!NF5:NH5,"B"))*3)+((COUNTIF('Elève (5ème1)'!NF5:NH5,"C"))*2)+((COUNTIF('Elève (5ème1)'!NF5:NH5,"D"))*1))/(COUNTA(NF5:NH5)),"")</f>
        <v/>
      </c>
      <c r="NJ5" s="109" t="str">
        <f t="shared" si="86"/>
        <v/>
      </c>
      <c r="NK5" s="178">
        <f>IF(COUNT(MY5,ND5,NI5)=0,"",SUM(MY5,ND5,NI5)/COUNT(MY5,ND5,NI5))</f>
        <v>2</v>
      </c>
      <c r="NL5" s="131" t="str">
        <f t="shared" si="87"/>
        <v>C</v>
      </c>
      <c r="NM5" s="153" t="s">
        <v>28</v>
      </c>
      <c r="NN5" s="154"/>
      <c r="NO5" s="155"/>
      <c r="NP5" s="108">
        <f>IFERROR((((COUNTIF('Elève (5ème1)'!NM5:NO5,"A"))*4)+((COUNTIF('Elève (5ème1)'!NM5:NO5,"B"))*3)+((COUNTIF('Elève (5ème1)'!NM5:NO5,"C"))*2)+((COUNTIF('Elève (5ème1)'!NM5:NO5,"D"))*1))/(COUNTA(NM5:NO5)),"")</f>
        <v>3</v>
      </c>
      <c r="NQ5" s="109" t="str">
        <f t="shared" si="88"/>
        <v>B</v>
      </c>
      <c r="NR5" s="78"/>
      <c r="NS5" s="79"/>
      <c r="NT5" s="80"/>
      <c r="NU5" s="108" t="str">
        <f>IFERROR((((COUNTIF('Elève (5ème1)'!NR5:NT5,"A"))*4)+((COUNTIF('Elève (5ème1)'!NR5:NT5,"B"))*3)+((COUNTIF('Elève (5ème1)'!NR5:NT5,"C"))*2)+((COUNTIF('Elève (5ème1)'!NR5:NT5,"D"))*1))/(COUNTA(NR5:NT5)),"")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(5ème1)'!NW5:NY5,"A"))*4)+((COUNTIF('Elève (5ème1)'!NW5:NY5,"B"))*3)+((COUNTIF('Elève (5ème1)'!NW5:NY5,"C"))*2)+((COUNTIF('Elève (5ème1)'!NW5:NY5,"D"))*1))/(COUNTA(NW5:NY5)),"")</f>
        <v/>
      </c>
      <c r="OA5" s="109" t="str">
        <f t="shared" si="90"/>
        <v/>
      </c>
      <c r="OB5" s="178">
        <f>IF(COUNT(NP5,NU5,NZ5)=0,"",SUM(NP5,NU5,NZ5)/COUNT(NP5,NU5,NZ5))</f>
        <v>3</v>
      </c>
      <c r="OC5" s="131" t="str">
        <f t="shared" si="91"/>
        <v>B</v>
      </c>
      <c r="OD5" s="153" t="s">
        <v>28</v>
      </c>
      <c r="OE5" s="154"/>
      <c r="OF5" s="155"/>
      <c r="OG5" s="108">
        <f>IFERROR((((COUNTIF('Elève (5ème1)'!OD5:OF5,"A"))*4)+((COUNTIF('Elève (5ème1)'!OD5:OF5,"B"))*3)+((COUNTIF('Elève (5ème1)'!OD5:OF5,"C"))*2)+((COUNTIF('Elève (5ème1)'!OD5:OF5,"D"))*1))/(COUNTA(OD5:OF5)),"")</f>
        <v>3</v>
      </c>
      <c r="OH5" s="109" t="str">
        <f t="shared" si="92"/>
        <v>B</v>
      </c>
      <c r="OI5" s="78"/>
      <c r="OJ5" s="79"/>
      <c r="OK5" s="80"/>
      <c r="OL5" s="108" t="str">
        <f>IFERROR((((COUNTIF('Elève (5ème1)'!OI5:OK5,"A"))*4)+((COUNTIF('Elève (5ème1)'!OI5:OK5,"B"))*3)+((COUNTIF('Elève (5ème1)'!OI5:OK5,"C"))*2)+((COUNTIF('Elève (5ème1)'!OI5:OK5,"D"))*1))/(COUNTA(OI5:OK5)),"")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(5ème1)'!ON5:OP5,"A"))*4)+((COUNTIF('Elève (5ème1)'!ON5:OP5,"B"))*3)+((COUNTIF('Elève (5ème1)'!ON5:OP5,"C"))*2)+((COUNTIF('Elève (5ème1)'!ON5:OP5,"D"))*1))/(COUNTA(ON5:OP5)),"")</f>
        <v/>
      </c>
      <c r="OR5" s="109" t="str">
        <f t="shared" si="94"/>
        <v/>
      </c>
      <c r="OS5" s="178">
        <f>IF(COUNT(OG5,OL5,OQ5)=0,"",SUM(OG5,OL5,OQ5)/COUNT(OG5,OL5,OQ5))</f>
        <v>3</v>
      </c>
      <c r="OT5" s="131" t="str">
        <f t="shared" si="95"/>
        <v>B</v>
      </c>
      <c r="OU5" s="153" t="s">
        <v>28</v>
      </c>
      <c r="OV5" s="154"/>
      <c r="OW5" s="155"/>
      <c r="OX5" s="108">
        <f>IFERROR((((COUNTIF('Elève (5ème1)'!OU5:OW5,"A"))*4)+((COUNTIF('Elève (5ème1)'!OU5:OW5,"B"))*3)+((COUNTIF('Elève (5ème1)'!OU5:OW5,"C"))*2)+((COUNTIF('Elève (5ème1)'!OU5:OW5,"D"))*1))/(COUNTA(OU5:OW5)),"")</f>
        <v>3</v>
      </c>
      <c r="OY5" s="109" t="str">
        <f t="shared" si="96"/>
        <v>B</v>
      </c>
      <c r="OZ5" s="78"/>
      <c r="PA5" s="79"/>
      <c r="PB5" s="80"/>
      <c r="PC5" s="108" t="str">
        <f>IFERROR((((COUNTIF('Elève (5ème1)'!OZ5:PB5,"A"))*4)+((COUNTIF('Elève (5ème1)'!OZ5:PB5,"B"))*3)+((COUNTIF('Elève (5ème1)'!OZ5:PB5,"C"))*2)+((COUNTIF('Elève (5ème1)'!OZ5:PB5,"D"))*1))/(COUNTA(OZ5:PB5)),"")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(5ème1)'!PE5:PG5,"A"))*4)+((COUNTIF('Elève (5ème1)'!PE5:PG5,"B"))*3)+((COUNTIF('Elève (5ème1)'!PE5:PG5,"C"))*2)+((COUNTIF('Elève (5ème1)'!PE5:PG5,"D"))*1))/(COUNTA(PE5:PG5)),"")</f>
        <v/>
      </c>
      <c r="PI5" s="109" t="str">
        <f t="shared" si="98"/>
        <v/>
      </c>
      <c r="PJ5" s="178">
        <f>IF(COUNT(OX5,PC5,PH5)=0,"",SUM(OX5,PC5,PH5)/COUNT(OX5,PC5,PH5))</f>
        <v>3</v>
      </c>
      <c r="PK5" s="131" t="str">
        <f t="shared" si="99"/>
        <v>B</v>
      </c>
      <c r="PL5" s="153" t="s">
        <v>28</v>
      </c>
      <c r="PM5" s="154"/>
      <c r="PN5" s="155"/>
      <c r="PO5" s="108">
        <f>IFERROR((((COUNTIF('Elève (5ème1)'!PL5:PN5,"A"))*4)+((COUNTIF('Elève (5ème1)'!PL5:PN5,"B"))*3)+((COUNTIF('Elève (5ème1)'!PL5:PN5,"C"))*2)+((COUNTIF('Elève (5ème1)'!PL5:PN5,"D"))*1))/(COUNTA(PL5:PN5)),"")</f>
        <v>3</v>
      </c>
      <c r="PP5" s="109" t="str">
        <f t="shared" si="100"/>
        <v>B</v>
      </c>
      <c r="PQ5" s="78"/>
      <c r="PR5" s="79"/>
      <c r="PS5" s="80"/>
      <c r="PT5" s="108" t="str">
        <f>IFERROR((((COUNTIF('Elève (5ème1)'!PQ5:PS5,"A"))*4)+((COUNTIF('Elève (5ème1)'!PQ5:PS5,"B"))*3)+((COUNTIF('Elève (5ème1)'!PQ5:PS5,"C"))*2)+((COUNTIF('Elève (5ème1)'!PQ5:PS5,"D"))*1))/(COUNTA(PQ5:PS5)),"")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(5ème1)'!PV5:PX5,"A"))*4)+((COUNTIF('Elève (5ème1)'!PV5:PX5,"B"))*3)+((COUNTIF('Elève (5ème1)'!PV5:PX5,"C"))*2)+((COUNTIF('Elève (5ème1)'!PV5:PX5,"D"))*1))/(COUNTA(PV5:PX5)),"")</f>
        <v/>
      </c>
      <c r="PZ5" s="109" t="str">
        <f t="shared" si="102"/>
        <v/>
      </c>
      <c r="QA5" s="178">
        <f>IF(COUNT(PO5,PT5,PY5)=0,"",SUM(PO5,PT5,PY5)/COUNT(PO5,PT5,PY5))</f>
        <v>3</v>
      </c>
      <c r="QB5" s="131" t="str">
        <f t="shared" si="103"/>
        <v>B</v>
      </c>
      <c r="QC5" s="153" t="s">
        <v>28</v>
      </c>
      <c r="QD5" s="154"/>
      <c r="QE5" s="155"/>
      <c r="QF5" s="108">
        <f>IFERROR((((COUNTIF('Elève (5ème1)'!QC5:QE5,"A"))*4)+((COUNTIF('Elève (5ème1)'!QC5:QE5,"B"))*3)+((COUNTIF('Elève (5ème1)'!QC5:QE5,"C"))*2)+((COUNTIF('Elève (5ème1)'!QC5:QE5,"D"))*1))/(COUNTA(QC5:QE5)),"")</f>
        <v>3</v>
      </c>
      <c r="QG5" s="109" t="str">
        <f t="shared" si="104"/>
        <v>B</v>
      </c>
      <c r="QH5" s="78"/>
      <c r="QI5" s="79"/>
      <c r="QJ5" s="80"/>
      <c r="QK5" s="108" t="str">
        <f>IFERROR((((COUNTIF('Elève (5ème1)'!QH5:QJ5,"A"))*4)+((COUNTIF('Elève (5ème1)'!QH5:QJ5,"B"))*3)+((COUNTIF('Elève (5ème1)'!QH5:QJ5,"C"))*2)+((COUNTIF('Elève (5ème1)'!QH5:QJ5,"D"))*1))/(COUNTA(QH5:QJ5)),"")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(5ème1)'!QM5:QO5,"A"))*4)+((COUNTIF('Elève (5ème1)'!QM5:QO5,"B"))*3)+((COUNTIF('Elève (5ème1)'!QM5:QO5,"C"))*2)+((COUNTIF('Elève (5ème1)'!QM5:QO5,"D"))*1))/(COUNTA(QM5:QO5)),"")</f>
        <v/>
      </c>
      <c r="QQ5" s="109" t="str">
        <f t="shared" si="106"/>
        <v/>
      </c>
      <c r="QR5" s="178">
        <f>IF(COUNT(QF5,QK5,QP5)=0,"",SUM(QF5,QK5,QP5)/COUNT(QF5,QK5,QP5))</f>
        <v>3</v>
      </c>
      <c r="QS5" s="131" t="str">
        <f t="shared" si="107"/>
        <v>B</v>
      </c>
      <c r="QT5" s="153" t="s">
        <v>28</v>
      </c>
      <c r="QU5" s="154"/>
      <c r="QV5" s="155"/>
      <c r="QW5" s="108">
        <f>IFERROR((((COUNTIF('Elève (5ème1)'!QT5:QV5,"A"))*4)+((COUNTIF('Elève (5ème1)'!QT5:QV5,"B"))*3)+((COUNTIF('Elève (5ème1)'!QT5:QV5,"C"))*2)+((COUNTIF('Elève (5ème1)'!QT5:QV5,"D"))*1))/(COUNTA(QT5:QV5)),"")</f>
        <v>3</v>
      </c>
      <c r="QX5" s="109" t="str">
        <f t="shared" si="108"/>
        <v>B</v>
      </c>
      <c r="QY5" s="78"/>
      <c r="QZ5" s="79"/>
      <c r="RA5" s="80"/>
      <c r="RB5" s="108" t="str">
        <f>IFERROR((((COUNTIF('Elève (5ème1)'!QY5:RA5,"A"))*4)+((COUNTIF('Elève (5ème1)'!QY5:RA5,"B"))*3)+((COUNTIF('Elève (5ème1)'!QY5:RA5,"C"))*2)+((COUNTIF('Elève (5ème1)'!QY5:RA5,"D"))*1))/(COUNTA(QY5:RA5)),"")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(5ème1)'!RD5:RF5,"A"))*4)+((COUNTIF('Elève (5ème1)'!RD5:RF5,"B"))*3)+((COUNTIF('Elève (5ème1)'!RD5:RF5,"C"))*2)+((COUNTIF('Elève (5ème1)'!RD5:RF5,"D"))*1))/(COUNTA(RD5:RF5)),"")</f>
        <v/>
      </c>
      <c r="RH5" s="109" t="str">
        <f t="shared" si="110"/>
        <v/>
      </c>
      <c r="RI5" s="178">
        <f>IF(COUNT(QW5,RB5,RG5)=0,"",SUM(QW5,RB5,RG5)/COUNT(QW5,RB5,RG5))</f>
        <v>3</v>
      </c>
      <c r="RJ5" s="131" t="str">
        <f t="shared" si="111"/>
        <v>B</v>
      </c>
      <c r="RK5" s="153" t="s">
        <v>28</v>
      </c>
      <c r="RL5" s="154"/>
      <c r="RM5" s="155"/>
      <c r="RN5" s="108">
        <f>IFERROR((((COUNTIF('Elève (5ème1)'!RK5:RM5,"A"))*4)+((COUNTIF('Elève (5ème1)'!RK5:RM5,"B"))*3)+((COUNTIF('Elève (5ème1)'!RK5:RM5,"C"))*2)+((COUNTIF('Elève (5ème1)'!RK5:RM5,"D"))*1))/(COUNTA(RK5:RM5)),"")</f>
        <v>3</v>
      </c>
      <c r="RO5" s="109" t="str">
        <f t="shared" si="112"/>
        <v>B</v>
      </c>
      <c r="RP5" s="78"/>
      <c r="RQ5" s="79"/>
      <c r="RR5" s="80"/>
      <c r="RS5" s="108" t="str">
        <f>IFERROR((((COUNTIF('Elève (5ème1)'!RP5:RR5,"A"))*4)+((COUNTIF('Elève (5ème1)'!RP5:RR5,"B"))*3)+((COUNTIF('Elève (5ème1)'!RP5:RR5,"C"))*2)+((COUNTIF('Elève (5ème1)'!RP5:RR5,"D"))*1))/(COUNTA(RP5:RR5)),"")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(5ème1)'!RU5:RW5,"A"))*4)+((COUNTIF('Elève (5ème1)'!RU5:RW5,"B"))*3)+((COUNTIF('Elève (5ème1)'!RU5:RW5,"C"))*2)+((COUNTIF('Elève (5ème1)'!RU5:RW5,"D"))*1))/(COUNTA(RU5:RW5)),"")</f>
        <v/>
      </c>
      <c r="RY5" s="109" t="str">
        <f t="shared" si="114"/>
        <v/>
      </c>
      <c r="RZ5" s="178">
        <f>IF(COUNT(RN5,RS5,RX5)=0,"",SUM(RN5,RS5,RX5)/COUNT(RN5,RS5,RX5))</f>
        <v>3</v>
      </c>
      <c r="SA5" s="131" t="str">
        <f t="shared" si="115"/>
        <v>B</v>
      </c>
      <c r="SB5" s="153" t="s">
        <v>28</v>
      </c>
      <c r="SC5" s="154"/>
      <c r="SD5" s="155"/>
      <c r="SE5" s="108">
        <f>IFERROR((((COUNTIF('Elève (5ème1)'!SB5:SD5,"A"))*4)+((COUNTIF('Elève (5ème1)'!SB5:SD5,"B"))*3)+((COUNTIF('Elève (5ème1)'!SB5:SD5,"C"))*2)+((COUNTIF('Elève (5ème1)'!SB5:SD5,"D"))*1))/(COUNTA(SB5:SD5)),"")</f>
        <v>3</v>
      </c>
      <c r="SF5" s="109" t="str">
        <f t="shared" si="116"/>
        <v>B</v>
      </c>
      <c r="SG5" s="78"/>
      <c r="SH5" s="79"/>
      <c r="SI5" s="80"/>
      <c r="SJ5" s="108" t="str">
        <f>IFERROR((((COUNTIF('Elève (5ème1)'!SG5:SI5,"A"))*4)+((COUNTIF('Elève (5ème1)'!SG5:SI5,"B"))*3)+((COUNTIF('Elève (5ème1)'!SG5:SI5,"C"))*2)+((COUNTIF('Elève (5ème1)'!SG5:SI5,"D"))*1))/(COUNTA(SG5:SI5)),"")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(5ème1)'!SL5:SN5,"A"))*4)+((COUNTIF('Elève (5ème1)'!SL5:SN5,"B"))*3)+((COUNTIF('Elève (5ème1)'!SL5:SN5,"C"))*2)+((COUNTIF('Elève (5ème1)'!SL5:SN5,"D"))*1))/(COUNTA(SL5:SN5)),"")</f>
        <v/>
      </c>
      <c r="SP5" s="109" t="str">
        <f t="shared" si="118"/>
        <v/>
      </c>
      <c r="SQ5" s="178">
        <f>IF(COUNT(SE5,SJ5,SO5)=0,"",SUM(SE5,SJ5,SO5)/COUNT(SE5,SJ5,SO5))</f>
        <v>3</v>
      </c>
      <c r="SR5" s="131" t="str">
        <f t="shared" si="119"/>
        <v>B</v>
      </c>
    </row>
    <row r="6" spans="1:512" s="72" customFormat="1" ht="18" customHeight="1" x14ac:dyDescent="0.25">
      <c r="A6" s="227" t="s">
        <v>13</v>
      </c>
      <c r="B6" s="228"/>
      <c r="C6" s="156"/>
      <c r="D6" s="157"/>
      <c r="E6" s="158"/>
      <c r="F6" s="110" t="str">
        <f>IFERROR((((COUNTIF('Elève (5ème1)'!C6:E6,"A"))*4)+((COUNTIF('Elève (5ème1)'!C6:E6,"B"))*3)+((COUNTIF('Elève (5ème1)'!C6:E6,"C"))*2)+((COUNTIF('Elève (5ème1)'!C6:E6,"D"))*1))/(COUNTA(C6:E6)),"")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(5ème1)'!H6:J6,"A"))*4)+((COUNTIF('Elève (5ème1)'!H6:J6,"B"))*3)+((COUNTIF('Elève (5ème1)'!H6:J6,"C"))*2)+((COUNTIF('Elève (5ème1)'!H6:J6,"D"))*1))/(COUNTA(H6:J6)),"")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(5ème1)'!M6:O6,"A"))*4)+((COUNTIF('Elève (5ème1)'!M6:O6,"B"))*3)+((COUNTIF('Elève (5ème1)'!M6:O6,"C"))*2)+((COUNTIF('Elève (5ème1)'!M6:O6,"D"))*1))/(COUNTA(M6:O6)),"")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(5ème1)'!T6:V6,"A"))*4)+((COUNTIF('Elève (5ème1)'!T6:V6,"B"))*3)+((COUNTIF('Elève (5ème1)'!T6:V6,"C"))*2)+((COUNTIF('Elève (5ème1)'!T6:V6,"D"))*1))/(COUNTA(T6:V6)),"")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(5ème1)'!Y6:AA6,"A"))*4)+((COUNTIF('Elève (5ème1)'!Y6:AA6,"B"))*3)+((COUNTIF('Elève (5ème1)'!Y6:AA6,"C"))*2)+((COUNTIF('Elève (5ème1)'!Y6:AA6,"D"))*1))/(COUNTA(Y6:AA6)),"")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(5ème1)'!AD6:AF6,"A"))*4)+((COUNTIF('Elève (5ème1)'!AD6:AF6,"B"))*3)+((COUNTIF('Elève (5ème1)'!AD6:AF6,"C"))*2)+((COUNTIF('Elève (5ème1)'!AD6:AF6,"D"))*1))/(COUNTA(AD6:AF6)),"")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(5ème1)'!AK6:AM6,"A"))*4)+((COUNTIF('Elève (5ème1)'!AK6:AM6,"B"))*3)+((COUNTIF('Elève (5ème1)'!AK6:AM6,"C"))*2)+((COUNTIF('Elève (5ème1)'!AK6:AM6,"D"))*1))/(COUNTA(AK6:AM6)),"")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(5ème1)'!AP6:AR6,"A"))*4)+((COUNTIF('Elève (5ème1)'!AP6:AR6,"B"))*3)+((COUNTIF('Elève (5ème1)'!AP6:AR6,"C"))*2)+((COUNTIF('Elève (5ème1)'!AP6:AR6,"D"))*1))/(COUNTA(AP6:AR6)),"")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(5ème1)'!AU6:AW6,"A"))*4)+((COUNTIF('Elève (5ème1)'!AU6:AW6,"B"))*3)+((COUNTIF('Elève (5ème1)'!AU6:AW6,"C"))*2)+((COUNTIF('Elève (5ème1)'!AU6:AW6,"D"))*1))/(COUNTA(AU6:AW6)),"")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(5ème1)'!BB6:BD6,"A"))*4)+((COUNTIF('Elève (5ème1)'!BB6:BD6,"B"))*3)+((COUNTIF('Elève (5ème1)'!BB6:BD6,"C"))*2)+((COUNTIF('Elève (5ème1)'!BB6:BD6,"D"))*1))/(COUNTA(BB6:BD6)),"")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(5ème1)'!BG6:BI6,"A"))*4)+((COUNTIF('Elève (5ème1)'!BG6:BI6,"B"))*3)+((COUNTIF('Elève (5ème1)'!BG6:BI6,"C"))*2)+((COUNTIF('Elève (5ème1)'!BG6:BI6,"D"))*1))/(COUNTA(BG6:BI6)),"")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(5ème1)'!BL6:BN6,"A"))*4)+((COUNTIF('Elève (5ème1)'!BL6:BN6,"B"))*3)+((COUNTIF('Elève (5ème1)'!BL6:BN6,"C"))*2)+((COUNTIF('Elève (5ème1)'!BL6:BN6,"D"))*1))/(COUNTA(BL6:BN6)),"")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(5ème1)'!BS6:BU6,"A"))*4)+((COUNTIF('Elève (5ème1)'!BS6:BU6,"B"))*3)+((COUNTIF('Elève (5ème1)'!BS6:BU6,"C"))*2)+((COUNTIF('Elève (5ème1)'!BS6:BU6,"D"))*1))/(COUNTA(BS6:BU6)),"")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(5ème1)'!BX6:BZ6,"A"))*4)+((COUNTIF('Elève (5ème1)'!BX6:BZ6,"B"))*3)+((COUNTIF('Elève (5ème1)'!BX6:BZ6,"C"))*2)+((COUNTIF('Elève (5ème1)'!BX6:BZ6,"D"))*1))/(COUNTA(BX6:BZ6)),"")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(5ème1)'!CC6:CE6,"A"))*4)+((COUNTIF('Elève (5ème1)'!CC6:CE6,"B"))*3)+((COUNTIF('Elève (5ème1)'!CC6:CE6,"C"))*2)+((COUNTIF('Elève (5ème1)'!CC6:CE6,"D"))*1))/(COUNTA(CC6:CE6)),"")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(5ème1)'!CJ6:CL6,"A"))*4)+((COUNTIF('Elève (5ème1)'!CJ6:CL6,"B"))*3)+((COUNTIF('Elève (5ème1)'!CJ6:CL6,"C"))*2)+((COUNTIF('Elève (5ème1)'!CJ6:CL6,"D"))*1))/(COUNTA(CJ6:CL6)),"")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(5ème1)'!CO6:CQ6,"A"))*4)+((COUNTIF('Elève (5ème1)'!CO6:CQ6,"B"))*3)+((COUNTIF('Elève (5ème1)'!CO6:CQ6,"C"))*2)+((COUNTIF('Elève (5ème1)'!CO6:CQ6,"D"))*1))/(COUNTA(CO6:CQ6)),"")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(5ème1)'!CT6:CV6,"A"))*4)+((COUNTIF('Elève (5ème1)'!CT6:CV6,"B"))*3)+((COUNTIF('Elève (5ème1)'!CT6:CV6,"C"))*2)+((COUNTIF('Elève (5ème1)'!CT6:CV6,"D"))*1))/(COUNTA(CT6:CV6)),"")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(5ème1)'!DA6:DC6,"A"))*4)+((COUNTIF('Elève (5ème1)'!DA6:DC6,"B"))*3)+((COUNTIF('Elève (5ème1)'!DA6:DC6,"C"))*2)+((COUNTIF('Elève (5ème1)'!DA6:DC6,"D"))*1))/(COUNTA(DA6:DC6)),"")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(5ème1)'!DF6:DH6,"A"))*4)+((COUNTIF('Elève (5ème1)'!DF6:DH6,"B"))*3)+((COUNTIF('Elève (5ème1)'!DF6:DH6,"C"))*2)+((COUNTIF('Elève (5ème1)'!DF6:DH6,"D"))*1))/(COUNTA(DF6:DH6)),"")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(5ème1)'!DK6:DM6,"A"))*4)+((COUNTIF('Elève (5ème1)'!DK6:DM6,"B"))*3)+((COUNTIF('Elève (5ème1)'!DK6:DM6,"C"))*2)+((COUNTIF('Elève (5ème1)'!DK6:DM6,"D"))*1))/(COUNTA(DK6:DM6)),"")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(5ème1)'!DR6:DT6,"A"))*4)+((COUNTIF('Elève (5ème1)'!DR6:DT6,"B"))*3)+((COUNTIF('Elève (5ème1)'!DR6:DT6,"C"))*2)+((COUNTIF('Elève (5ème1)'!DR6:DT6,"D"))*1))/(COUNTA(DR6:DT6)),"")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(5ème1)'!DW6:DY6,"A"))*4)+((COUNTIF('Elève (5ème1)'!DW6:DY6,"B"))*3)+((COUNTIF('Elève (5ème1)'!DW6:DY6,"C"))*2)+((COUNTIF('Elève (5ème1)'!DW6:DY6,"D"))*1))/(COUNTA(DW6:DY6)),"")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(5ème1)'!EB6:ED6,"A"))*4)+((COUNTIF('Elève (5ème1)'!EB6:ED6,"B"))*3)+((COUNTIF('Elève (5ème1)'!EB6:ED6,"C"))*2)+((COUNTIF('Elève (5ème1)'!EB6:ED6,"D"))*1))/(COUNTA(EB6:ED6)),"")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(5ème1)'!EI6:EK6,"A"))*4)+((COUNTIF('Elève (5ème1)'!EI6:EK6,"B"))*3)+((COUNTIF('Elève (5ème1)'!EI6:EK6,"C"))*2)+((COUNTIF('Elève (5ème1)'!EI6:EK6,"D"))*1))/(COUNTA(EI6:EK6)),"")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(5ème1)'!EN6:EP6,"A"))*4)+((COUNTIF('Elève (5ème1)'!EN6:EP6,"B"))*3)+((COUNTIF('Elève (5ème1)'!EN6:EP6,"C"))*2)+((COUNTIF('Elève (5ème1)'!EN6:EP6,"D"))*1))/(COUNTA(EN6:EP6)),"")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(5ème1)'!ES6:EU6,"A"))*4)+((COUNTIF('Elève (5ème1)'!ES6:EU6,"B"))*3)+((COUNTIF('Elève (5ème1)'!ES6:EU6,"C"))*2)+((COUNTIF('Elève (5ème1)'!ES6:EU6,"D"))*1))/(COUNTA(ES6:EU6)),"")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(5ème1)'!EZ6:FB6,"A"))*4)+((COUNTIF('Elève (5ème1)'!EZ6:FB6,"B"))*3)+((COUNTIF('Elève (5ème1)'!EZ6:FB6,"C"))*2)+((COUNTIF('Elève (5ème1)'!EZ6:FB6,"D"))*1))/(COUNTA(EZ6:FB6)),"")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(5ème1)'!FE6:FG6,"A"))*4)+((COUNTIF('Elève (5ème1)'!FE6:FG6,"B"))*3)+((COUNTIF('Elève (5ème1)'!FE6:FG6,"C"))*2)+((COUNTIF('Elève (5ème1)'!FE6:FG6,"D"))*1))/(COUNTA(FE6:FG6)),"")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(5ème1)'!FJ6:FL6,"A"))*4)+((COUNTIF('Elève (5ème1)'!FJ6:FL6,"B"))*3)+((COUNTIF('Elève (5ème1)'!FJ6:FL6,"C"))*2)+((COUNTIF('Elève (5ème1)'!FJ6:FL6,"D"))*1))/(COUNTA(FJ6:FL6)),"")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(5ème1)'!FQ6:FS6,"A"))*4)+((COUNTIF('Elève (5ème1)'!FQ6:FS6,"B"))*3)+((COUNTIF('Elève (5ème1)'!FQ6:FS6,"C"))*2)+((COUNTIF('Elève (5ème1)'!FQ6:FS6,"D"))*1))/(COUNTA(FQ6:FS6)),"")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(5ème1)'!FV6:FX6,"A"))*4)+((COUNTIF('Elève (5ème1)'!FV6:FX6,"B"))*3)+((COUNTIF('Elève (5ème1)'!FV6:FX6,"C"))*2)+((COUNTIF('Elève (5ème1)'!FV6:FX6,"D"))*1))/(COUNTA(FV6:FX6)),"")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(5ème1)'!GA6:GC6,"A"))*4)+((COUNTIF('Elève (5ème1)'!GA6:GC6,"B"))*3)+((COUNTIF('Elève (5ème1)'!GA6:GC6,"C"))*2)+((COUNTIF('Elève (5ème1)'!GA6:GC6,"D"))*1))/(COUNTA(GA6:GC6)),"")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(5ème1)'!GH6:GJ6,"A"))*4)+((COUNTIF('Elève (5ème1)'!GH6:GJ6,"B"))*3)+((COUNTIF('Elève (5ème1)'!GH6:GJ6,"C"))*2)+((COUNTIF('Elève (5ème1)'!GH6:GJ6,"D"))*1))/(COUNTA(GH6:GJ6)),"")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(5ème1)'!GM6:GO6,"A"))*4)+((COUNTIF('Elève (5ème1)'!GM6:GO6,"B"))*3)+((COUNTIF('Elève (5ème1)'!GM6:GO6,"C"))*2)+((COUNTIF('Elève (5ème1)'!GM6:GO6,"D"))*1))/(COUNTA(GM6:GO6)),"")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(5ème1)'!GR6:GT6,"A"))*4)+((COUNTIF('Elève (5ème1)'!GR6:GT6,"B"))*3)+((COUNTIF('Elève (5ème1)'!GR6:GT6,"C"))*2)+((COUNTIF('Elève (5ème1)'!GR6:GT6,"D"))*1))/(COUNTA(GR6:GT6)),"")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(5ème1)'!GY6:HA6,"A"))*4)+((COUNTIF('Elève (5ème1)'!GY6:HA6,"B"))*3)+((COUNTIF('Elève (5ème1)'!GY6:HA6,"C"))*2)+((COUNTIF('Elève (5ème1)'!GY6:HA6,"D"))*1))/(COUNTA(GY6:HA6)),"")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(5ème1)'!HD6:HF6,"A"))*4)+((COUNTIF('Elève (5ème1)'!HD6:HF6,"B"))*3)+((COUNTIF('Elève (5ème1)'!HD6:HF6,"C"))*2)+((COUNTIF('Elève (5ème1)'!HD6:HF6,"D"))*1))/(COUNTA(HD6:HF6)),"")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(5ème1)'!HI6:HK6,"A"))*4)+((COUNTIF('Elève (5ème1)'!HI6:HK6,"B"))*3)+((COUNTIF('Elève (5ème1)'!HI6:HK6,"C"))*2)+((COUNTIF('Elève (5ème1)'!HI6:HK6,"D"))*1))/(COUNTA(HI6:HK6)),"")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(5ème1)'!HP6:HR6,"A"))*4)+((COUNTIF('Elève (5ème1)'!HP6:HR6,"B"))*3)+((COUNTIF('Elève (5ème1)'!HP6:HR6,"C"))*2)+((COUNTIF('Elève (5ème1)'!HP6:HR6,"D"))*1))/(COUNTA(HP6:HR6)),"")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(5ème1)'!HU6:HW6,"A"))*4)+((COUNTIF('Elève (5ème1)'!HU6:HW6,"B"))*3)+((COUNTIF('Elève (5ème1)'!HU6:HW6,"C"))*2)+((COUNTIF('Elève (5ème1)'!HU6:HW6,"D"))*1))/(COUNTA(HU6:HW6)),"")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(5ème1)'!HZ6:IB6,"A"))*4)+((COUNTIF('Elève (5ème1)'!HZ6:IB6,"B"))*3)+((COUNTIF('Elève (5ème1)'!HZ6:IB6,"C"))*2)+((COUNTIF('Elève (5ème1)'!HZ6:IB6,"D"))*1))/(COUNTA(HZ6:IB6)),"")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(5ème1)'!IG6:II6,"A"))*4)+((COUNTIF('Elève (5ème1)'!IG6:II6,"B"))*3)+((COUNTIF('Elève (5ème1)'!IG6:II6,"C"))*2)+((COUNTIF('Elève (5ème1)'!IG6:II6,"D"))*1))/(COUNTA(IG6:II6)),"")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(5ème1)'!IL6:IN6,"A"))*4)+((COUNTIF('Elève (5ème1)'!IL6:IN6,"B"))*3)+((COUNTIF('Elève (5ème1)'!IL6:IN6,"C"))*2)+((COUNTIF('Elève (5ème1)'!IL6:IN6,"D"))*1))/(COUNTA(IL6:IN6)),"")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(5ème1)'!IQ6:IS6,"A"))*4)+((COUNTIF('Elève (5ème1)'!IQ6:IS6,"B"))*3)+((COUNTIF('Elève (5ème1)'!IQ6:IS6,"C"))*2)+((COUNTIF('Elève (5ème1)'!IQ6:IS6,"D"))*1))/(COUNTA(IQ6:IS6)),"")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(5ème1)'!IX6:IZ6,"A"))*4)+((COUNTIF('Elève (5ème1)'!IX6:IZ6,"B"))*3)+((COUNTIF('Elève (5ème1)'!IX6:IZ6,"C"))*2)+((COUNTIF('Elève (5ème1)'!IX6:IZ6,"D"))*1))/(COUNTA(IX6:IZ6)),"")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(5ème1)'!JC6:JE6,"A"))*4)+((COUNTIF('Elève (5ème1)'!JC6:JE6,"B"))*3)+((COUNTIF('Elève (5ème1)'!JC6:JE6,"C"))*2)+((COUNTIF('Elève (5ème1)'!JC6:JE6,"D"))*1))/(COUNTA(JC6:JE6)),"")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(5ème1)'!JH6:JJ6,"A"))*4)+((COUNTIF('Elève (5ème1)'!JH6:JJ6,"B"))*3)+((COUNTIF('Elève (5ème1)'!JH6:JJ6,"C"))*2)+((COUNTIF('Elève (5ème1)'!JH6:JJ6,"D"))*1))/(COUNTA(JH6:JJ6)),"")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(5ème1)'!JO6:JQ6,"A"))*4)+((COUNTIF('Elève (5ème1)'!JO6:JQ6,"B"))*3)+((COUNTIF('Elève (5ème1)'!JO6:JQ6,"C"))*2)+((COUNTIF('Elève (5ème1)'!JO6:JQ6,"D"))*1))/(COUNTA(JO6:JQ6)),"")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(5ème1)'!JT6:JV6,"A"))*4)+((COUNTIF('Elève (5ème1)'!JT6:JV6,"B"))*3)+((COUNTIF('Elève (5ème1)'!JT6:JV6,"C"))*2)+((COUNTIF('Elève (5ème1)'!JT6:JV6,"D"))*1))/(COUNTA(JT6:JV6)),"")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(5ème1)'!JY6:KA6,"A"))*4)+((COUNTIF('Elève (5ème1)'!JY6:KA6,"B"))*3)+((COUNTIF('Elève (5ème1)'!JY6:KA6,"C"))*2)+((COUNTIF('Elève (5ème1)'!JY6:KA6,"D"))*1))/(COUNTA(JY6:KA6)),"")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(5ème1)'!KF6:KH6,"A"))*4)+((COUNTIF('Elève (5ème1)'!KF6:KH6,"B"))*3)+((COUNTIF('Elève (5ème1)'!KF6:KH6,"C"))*2)+((COUNTIF('Elève (5ème1)'!KF6:KH6,"D"))*1))/(COUNTA(KF6:KH6)),"")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(5ème1)'!KK6:KM6,"A"))*4)+((COUNTIF('Elève (5ème1)'!KK6:KM6,"B"))*3)+((COUNTIF('Elève (5ème1)'!KK6:KM6,"C"))*2)+((COUNTIF('Elève (5ème1)'!KK6:KM6,"D"))*1))/(COUNTA(KK6:KM6)),"")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(5ème1)'!KP6:KR6,"A"))*4)+((COUNTIF('Elève (5ème1)'!KP6:KR6,"B"))*3)+((COUNTIF('Elève (5ème1)'!KP6:KR6,"C"))*2)+((COUNTIF('Elève (5ème1)'!KP6:KR6,"D"))*1))/(COUNTA(KP6:KR6)),"")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(5ème1)'!KW6:KY6,"A"))*4)+((COUNTIF('Elève (5ème1)'!KW6:KY6,"B"))*3)+((COUNTIF('Elève (5ème1)'!KW6:KY6,"C"))*2)+((COUNTIF('Elève (5ème1)'!KW6:KY6,"D"))*1))/(COUNTA(KW6:KY6)),"")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(5ème1)'!LB6:LD6,"A"))*4)+((COUNTIF('Elève (5ème1)'!LB6:LD6,"B"))*3)+((COUNTIF('Elève (5ème1)'!LB6:LD6,"C"))*2)+((COUNTIF('Elève (5ème1)'!LB6:LD6,"D"))*1))/(COUNTA(LB6:LD6)),"")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(5ème1)'!LG6:LI6,"A"))*4)+((COUNTIF('Elève (5ème1)'!LG6:LI6,"B"))*3)+((COUNTIF('Elève (5ème1)'!LG6:LI6,"C"))*2)+((COUNTIF('Elève (5ème1)'!LG6:LI6,"D"))*1))/(COUNTA(LG6:LI6)),"")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(5ème1)'!LN6:LP6,"A"))*4)+((COUNTIF('Elève (5ème1)'!LN6:LP6,"B"))*3)+((COUNTIF('Elève (5ème1)'!LN6:LP6,"C"))*2)+((COUNTIF('Elève (5ème1)'!LN6:LP6,"D"))*1))/(COUNTA(LN6:LP6)),"")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(5ème1)'!LS6:LU6,"A"))*4)+((COUNTIF('Elève (5ème1)'!LS6:LU6,"B"))*3)+((COUNTIF('Elève (5ème1)'!LS6:LU6,"C"))*2)+((COUNTIF('Elève (5ème1)'!LS6:LU6,"D"))*1))/(COUNTA(LS6:LU6)),"")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(5ème1)'!LX6:LZ6,"A"))*4)+((COUNTIF('Elève (5ème1)'!LX6:LZ6,"B"))*3)+((COUNTIF('Elève (5ème1)'!LX6:LZ6,"C"))*2)+((COUNTIF('Elève (5ème1)'!LX6:LZ6,"D"))*1))/(COUNTA(LX6:LZ6)),"")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(5ème1)'!ME6:MG6,"A"))*4)+((COUNTIF('Elève (5ème1)'!ME6:MG6,"B"))*3)+((COUNTIF('Elève (5ème1)'!ME6:MG6,"C"))*2)+((COUNTIF('Elève (5ème1)'!ME6:MG6,"D"))*1))/(COUNTA(ME6:MG6)),"")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(5ème1)'!MJ6:ML6,"A"))*4)+((COUNTIF('Elève (5ème1)'!MJ6:ML6,"B"))*3)+((COUNTIF('Elève (5ème1)'!MJ6:ML6,"C"))*2)+((COUNTIF('Elève (5ème1)'!MJ6:ML6,"D"))*1))/(COUNTA(MJ6:ML6)),"")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(5ème1)'!MO6:MQ6,"A"))*4)+((COUNTIF('Elève (5ème1)'!MO6:MQ6,"B"))*3)+((COUNTIF('Elève (5ème1)'!MO6:MQ6,"C"))*2)+((COUNTIF('Elève (5ème1)'!MO6:MQ6,"D"))*1))/(COUNTA(MO6:MQ6)),"")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(5ème1)'!MV6:MX6,"A"))*4)+((COUNTIF('Elève (5ème1)'!MV6:MX6,"B"))*3)+((COUNTIF('Elève (5ème1)'!MV6:MX6,"C"))*2)+((COUNTIF('Elève (5ème1)'!MV6:MX6,"D"))*1))/(COUNTA(MV6:MX6)),"")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(5ème1)'!NA6:NC6,"A"))*4)+((COUNTIF('Elève (5ème1)'!NA6:NC6,"B"))*3)+((COUNTIF('Elève (5ème1)'!NA6:NC6,"C"))*2)+((COUNTIF('Elève (5ème1)'!NA6:NC6,"D"))*1))/(COUNTA(NA6:NC6)),"")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(5ème1)'!NF6:NH6,"A"))*4)+((COUNTIF('Elève (5ème1)'!NF6:NH6,"B"))*3)+((COUNTIF('Elève (5ème1)'!NF6:NH6,"C"))*2)+((COUNTIF('Elève (5ème1)'!NF6:NH6,"D"))*1))/(COUNTA(NF6:NH6)),"")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(5ème1)'!NM6:NO6,"A"))*4)+((COUNTIF('Elève (5ème1)'!NM6:NO6,"B"))*3)+((COUNTIF('Elève (5ème1)'!NM6:NO6,"C"))*2)+((COUNTIF('Elève (5ème1)'!NM6:NO6,"D"))*1))/(COUNTA(NM6:NO6)),"")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(5ème1)'!NR6:NT6,"A"))*4)+((COUNTIF('Elève (5ème1)'!NR6:NT6,"B"))*3)+((COUNTIF('Elève (5ème1)'!NR6:NT6,"C"))*2)+((COUNTIF('Elève (5ème1)'!NR6:NT6,"D"))*1))/(COUNTA(NR6:NT6)),"")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(5ème1)'!NW6:NY6,"A"))*4)+((COUNTIF('Elève (5ème1)'!NW6:NY6,"B"))*3)+((COUNTIF('Elève (5ème1)'!NW6:NY6,"C"))*2)+((COUNTIF('Elève (5ème1)'!NW6:NY6,"D"))*1))/(COUNTA(NW6:NY6)),"")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(5ème1)'!OD6:OF6,"A"))*4)+((COUNTIF('Elève (5ème1)'!OD6:OF6,"B"))*3)+((COUNTIF('Elève (5ème1)'!OD6:OF6,"C"))*2)+((COUNTIF('Elève (5ème1)'!OD6:OF6,"D"))*1))/(COUNTA(OD6:OF6)),"")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(5ème1)'!OI6:OK6,"A"))*4)+((COUNTIF('Elève (5ème1)'!OI6:OK6,"B"))*3)+((COUNTIF('Elève (5ème1)'!OI6:OK6,"C"))*2)+((COUNTIF('Elève (5ème1)'!OI6:OK6,"D"))*1))/(COUNTA(OI6:OK6)),"")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(5ème1)'!ON6:OP6,"A"))*4)+((COUNTIF('Elève (5ème1)'!ON6:OP6,"B"))*3)+((COUNTIF('Elève (5ème1)'!ON6:OP6,"C"))*2)+((COUNTIF('Elève (5ème1)'!ON6:OP6,"D"))*1))/(COUNTA(ON6:OP6)),"")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(5ème1)'!OU6:OW6,"A"))*4)+((COUNTIF('Elève (5ème1)'!OU6:OW6,"B"))*3)+((COUNTIF('Elève (5ème1)'!OU6:OW6,"C"))*2)+((COUNTIF('Elève (5ème1)'!OU6:OW6,"D"))*1))/(COUNTA(OU6:OW6)),"")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(5ème1)'!OZ6:PB6,"A"))*4)+((COUNTIF('Elève (5ème1)'!OZ6:PB6,"B"))*3)+((COUNTIF('Elève (5ème1)'!OZ6:PB6,"C"))*2)+((COUNTIF('Elève (5ème1)'!OZ6:PB6,"D"))*1))/(COUNTA(OZ6:PB6)),"")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(5ème1)'!PE6:PG6,"A"))*4)+((COUNTIF('Elève (5ème1)'!PE6:PG6,"B"))*3)+((COUNTIF('Elève (5ème1)'!PE6:PG6,"C"))*2)+((COUNTIF('Elève (5ème1)'!PE6:PG6,"D"))*1))/(COUNTA(PE6:PG6)),"")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(5ème1)'!PL6:PN6,"A"))*4)+((COUNTIF('Elève (5ème1)'!PL6:PN6,"B"))*3)+((COUNTIF('Elève (5ème1)'!PL6:PN6,"C"))*2)+((COUNTIF('Elève (5ème1)'!PL6:PN6,"D"))*1))/(COUNTA(PL6:PN6)),"")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(5ème1)'!PQ6:PS6,"A"))*4)+((COUNTIF('Elève (5ème1)'!PQ6:PS6,"B"))*3)+((COUNTIF('Elève (5ème1)'!PQ6:PS6,"C"))*2)+((COUNTIF('Elève (5ème1)'!PQ6:PS6,"D"))*1))/(COUNTA(PQ6:PS6)),"")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(5ème1)'!PV6:PX6,"A"))*4)+((COUNTIF('Elève (5ème1)'!PV6:PX6,"B"))*3)+((COUNTIF('Elève (5ème1)'!PV6:PX6,"C"))*2)+((COUNTIF('Elève (5ème1)'!PV6:PX6,"D"))*1))/(COUNTA(PV6:PX6)),"")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(5ème1)'!QC6:QE6,"A"))*4)+((COUNTIF('Elève (5ème1)'!QC6:QE6,"B"))*3)+((COUNTIF('Elève (5ème1)'!QC6:QE6,"C"))*2)+((COUNTIF('Elève (5ème1)'!QC6:QE6,"D"))*1))/(COUNTA(QC6:QE6)),"")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(5ème1)'!QH6:QJ6,"A"))*4)+((COUNTIF('Elève (5ème1)'!QH6:QJ6,"B"))*3)+((COUNTIF('Elève (5ème1)'!QH6:QJ6,"C"))*2)+((COUNTIF('Elève (5ème1)'!QH6:QJ6,"D"))*1))/(COUNTA(QH6:QJ6)),"")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(5ème1)'!QM6:QO6,"A"))*4)+((COUNTIF('Elève (5ème1)'!QM6:QO6,"B"))*3)+((COUNTIF('Elève (5ème1)'!QM6:QO6,"C"))*2)+((COUNTIF('Elève (5ème1)'!QM6:QO6,"D"))*1))/(COUNTA(QM6:QO6)),"")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(5ème1)'!QT6:QV6,"A"))*4)+((COUNTIF('Elève (5ème1)'!QT6:QV6,"B"))*3)+((COUNTIF('Elève (5ème1)'!QT6:QV6,"C"))*2)+((COUNTIF('Elève (5ème1)'!QT6:QV6,"D"))*1))/(COUNTA(QT6:QV6)),"")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(5ème1)'!QY6:RA6,"A"))*4)+((COUNTIF('Elève (5ème1)'!QY6:RA6,"B"))*3)+((COUNTIF('Elève (5ème1)'!QY6:RA6,"C"))*2)+((COUNTIF('Elève (5ème1)'!QY6:RA6,"D"))*1))/(COUNTA(QY6:RA6)),"")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(5ème1)'!RD6:RF6,"A"))*4)+((COUNTIF('Elève (5ème1)'!RD6:RF6,"B"))*3)+((COUNTIF('Elève (5ème1)'!RD6:RF6,"C"))*2)+((COUNTIF('Elève (5ème1)'!RD6:RF6,"D"))*1))/(COUNTA(RD6:RF6)),"")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(5ème1)'!RK6:RM6,"A"))*4)+((COUNTIF('Elève (5ème1)'!RK6:RM6,"B"))*3)+((COUNTIF('Elève (5ème1)'!RK6:RM6,"C"))*2)+((COUNTIF('Elève (5ème1)'!RK6:RM6,"D"))*1))/(COUNTA(RK6:RM6)),"")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(5ème1)'!RP6:RR6,"A"))*4)+((COUNTIF('Elève (5ème1)'!RP6:RR6,"B"))*3)+((COUNTIF('Elève (5ème1)'!RP6:RR6,"C"))*2)+((COUNTIF('Elève (5ème1)'!RP6:RR6,"D"))*1))/(COUNTA(RP6:RR6)),"")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(5ème1)'!RU6:RW6,"A"))*4)+((COUNTIF('Elève (5ème1)'!RU6:RW6,"B"))*3)+((COUNTIF('Elève (5ème1)'!RU6:RW6,"C"))*2)+((COUNTIF('Elève (5ème1)'!RU6:RW6,"D"))*1))/(COUNTA(RU6:RW6)),"")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(5ème1)'!SB6:SD6,"A"))*4)+((COUNTIF('Elève (5ème1)'!SB6:SD6,"B"))*3)+((COUNTIF('Elève (5ème1)'!SB6:SD6,"C"))*2)+((COUNTIF('Elève (5ème1)'!SB6:SD6,"D"))*1))/(COUNTA(SB6:SD6)),"")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(5ème1)'!SG6:SI6,"A"))*4)+((COUNTIF('Elève (5ème1)'!SG6:SI6,"B"))*3)+((COUNTIF('Elève (5ème1)'!SG6:SI6,"C"))*2)+((COUNTIF('Elève (5ème1)'!SG6:SI6,"D"))*1))/(COUNTA(SG6:SI6)),"")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(5ème1)'!SL6:SN6,"A"))*4)+((COUNTIF('Elève (5ème1)'!SL6:SN6,"B"))*3)+((COUNTIF('Elève (5ème1)'!SL6:SN6,"C"))*2)+((COUNTIF('Elève (5ème1)'!SL6:SN6,"D"))*1))/(COUNTA(SL6:SN6)),"")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7" t="s">
        <v>14</v>
      </c>
      <c r="B7" s="228"/>
      <c r="C7" s="156"/>
      <c r="D7" s="157"/>
      <c r="E7" s="158"/>
      <c r="F7" s="110" t="str">
        <f>IFERROR((((COUNTIF('Elève (5ème1)'!C7:E7,"A"))*4)+((COUNTIF('Elève (5ème1)'!C7:E7,"B"))*3)+((COUNTIF('Elève (5ème1)'!C7:E7,"C"))*2)+((COUNTIF('Elève (5ème1)'!C7:E7,"D"))*1))/(COUNTA(C7:E7)),"")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(5ème1)'!H7:J7,"A"))*4)+((COUNTIF('Elève (5ème1)'!H7:J7,"B"))*3)+((COUNTIF('Elève (5ème1)'!H7:J7,"C"))*2)+((COUNTIF('Elève (5ème1)'!H7:J7,"D"))*1))/(COUNTA(H7:J7)),"")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(5ème1)'!M7:O7,"A"))*4)+((COUNTIF('Elève (5ème1)'!M7:O7,"B"))*3)+((COUNTIF('Elève (5ème1)'!M7:O7,"C"))*2)+((COUNTIF('Elève (5ème1)'!M7:O7,"D"))*1))/(COUNTA(M7:O7)),"")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(5ème1)'!T7:V7,"A"))*4)+((COUNTIF('Elève (5ème1)'!T7:V7,"B"))*3)+((COUNTIF('Elève (5ème1)'!T7:V7,"C"))*2)+((COUNTIF('Elève (5ème1)'!T7:V7,"D"))*1))/(COUNTA(T7:V7)),"")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(5ème1)'!Y7:AA7,"A"))*4)+((COUNTIF('Elève (5ème1)'!Y7:AA7,"B"))*3)+((COUNTIF('Elève (5ème1)'!Y7:AA7,"C"))*2)+((COUNTIF('Elève (5ème1)'!Y7:AA7,"D"))*1))/(COUNTA(Y7:AA7)),"")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(5ème1)'!AD7:AF7,"A"))*4)+((COUNTIF('Elève (5ème1)'!AD7:AF7,"B"))*3)+((COUNTIF('Elève (5ème1)'!AD7:AF7,"C"))*2)+((COUNTIF('Elève (5ème1)'!AD7:AF7,"D"))*1))/(COUNTA(AD7:AF7)),"")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(5ème1)'!AK7:AM7,"A"))*4)+((COUNTIF('Elève (5ème1)'!AK7:AM7,"B"))*3)+((COUNTIF('Elève (5ème1)'!AK7:AM7,"C"))*2)+((COUNTIF('Elève (5ème1)'!AK7:AM7,"D"))*1))/(COUNTA(AK7:AM7)),"")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(5ème1)'!AP7:AR7,"A"))*4)+((COUNTIF('Elève (5ème1)'!AP7:AR7,"B"))*3)+((COUNTIF('Elève (5ème1)'!AP7:AR7,"C"))*2)+((COUNTIF('Elève (5ème1)'!AP7:AR7,"D"))*1))/(COUNTA(AP7:AR7)),"")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(5ème1)'!AU7:AW7,"A"))*4)+((COUNTIF('Elève (5ème1)'!AU7:AW7,"B"))*3)+((COUNTIF('Elève (5ème1)'!AU7:AW7,"C"))*2)+((COUNTIF('Elève (5ème1)'!AU7:AW7,"D"))*1))/(COUNTA(AU7:AW7)),"")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(5ème1)'!BB7:BD7,"A"))*4)+((COUNTIF('Elève (5ème1)'!BB7:BD7,"B"))*3)+((COUNTIF('Elève (5ème1)'!BB7:BD7,"C"))*2)+((COUNTIF('Elève (5ème1)'!BB7:BD7,"D"))*1))/(COUNTA(BB7:BD7)),"")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(5ème1)'!BG7:BI7,"A"))*4)+((COUNTIF('Elève (5ème1)'!BG7:BI7,"B"))*3)+((COUNTIF('Elève (5ème1)'!BG7:BI7,"C"))*2)+((COUNTIF('Elève (5ème1)'!BG7:BI7,"D"))*1))/(COUNTA(BG7:BI7)),"")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(5ème1)'!BL7:BN7,"A"))*4)+((COUNTIF('Elève (5ème1)'!BL7:BN7,"B"))*3)+((COUNTIF('Elève (5ème1)'!BL7:BN7,"C"))*2)+((COUNTIF('Elève (5ème1)'!BL7:BN7,"D"))*1))/(COUNTA(BL7:BN7)),"")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(5ème1)'!BS7:BU7,"A"))*4)+((COUNTIF('Elève (5ème1)'!BS7:BU7,"B"))*3)+((COUNTIF('Elève (5ème1)'!BS7:BU7,"C"))*2)+((COUNTIF('Elève (5ème1)'!BS7:BU7,"D"))*1))/(COUNTA(BS7:BU7)),"")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(5ème1)'!BX7:BZ7,"A"))*4)+((COUNTIF('Elève (5ème1)'!BX7:BZ7,"B"))*3)+((COUNTIF('Elève (5ème1)'!BX7:BZ7,"C"))*2)+((COUNTIF('Elève (5ème1)'!BX7:BZ7,"D"))*1))/(COUNTA(BX7:BZ7)),"")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(5ème1)'!CC7:CE7,"A"))*4)+((COUNTIF('Elève (5ème1)'!CC7:CE7,"B"))*3)+((COUNTIF('Elève (5ème1)'!CC7:CE7,"C"))*2)+((COUNTIF('Elève (5ème1)'!CC7:CE7,"D"))*1))/(COUNTA(CC7:CE7)),"")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(5ème1)'!CJ7:CL7,"A"))*4)+((COUNTIF('Elève (5ème1)'!CJ7:CL7,"B"))*3)+((COUNTIF('Elève (5ème1)'!CJ7:CL7,"C"))*2)+((COUNTIF('Elève (5ème1)'!CJ7:CL7,"D"))*1))/(COUNTA(CJ7:CL7)),"")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(5ème1)'!CO7:CQ7,"A"))*4)+((COUNTIF('Elève (5ème1)'!CO7:CQ7,"B"))*3)+((COUNTIF('Elève (5ème1)'!CO7:CQ7,"C"))*2)+((COUNTIF('Elève (5ème1)'!CO7:CQ7,"D"))*1))/(COUNTA(CO7:CQ7)),"")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(5ème1)'!CT7:CV7,"A"))*4)+((COUNTIF('Elève (5ème1)'!CT7:CV7,"B"))*3)+((COUNTIF('Elève (5ème1)'!CT7:CV7,"C"))*2)+((COUNTIF('Elève (5ème1)'!CT7:CV7,"D"))*1))/(COUNTA(CT7:CV7)),"")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(5ème1)'!DA7:DC7,"A"))*4)+((COUNTIF('Elève (5ème1)'!DA7:DC7,"B"))*3)+((COUNTIF('Elève (5ème1)'!DA7:DC7,"C"))*2)+((COUNTIF('Elève (5ème1)'!DA7:DC7,"D"))*1))/(COUNTA(DA7:DC7)),"")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(5ème1)'!DF7:DH7,"A"))*4)+((COUNTIF('Elève (5ème1)'!DF7:DH7,"B"))*3)+((COUNTIF('Elève (5ème1)'!DF7:DH7,"C"))*2)+((COUNTIF('Elève (5ème1)'!DF7:DH7,"D"))*1))/(COUNTA(DF7:DH7)),"")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(5ème1)'!DK7:DM7,"A"))*4)+((COUNTIF('Elève (5ème1)'!DK7:DM7,"B"))*3)+((COUNTIF('Elève (5ème1)'!DK7:DM7,"C"))*2)+((COUNTIF('Elève (5ème1)'!DK7:DM7,"D"))*1))/(COUNTA(DK7:DM7)),"")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(5ème1)'!DR7:DT7,"A"))*4)+((COUNTIF('Elève (5ème1)'!DR7:DT7,"B"))*3)+((COUNTIF('Elève (5ème1)'!DR7:DT7,"C"))*2)+((COUNTIF('Elève (5ème1)'!DR7:DT7,"D"))*1))/(COUNTA(DR7:DT7)),"")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(5ème1)'!DW7:DY7,"A"))*4)+((COUNTIF('Elève (5ème1)'!DW7:DY7,"B"))*3)+((COUNTIF('Elève (5ème1)'!DW7:DY7,"C"))*2)+((COUNTIF('Elève (5ème1)'!DW7:DY7,"D"))*1))/(COUNTA(DW7:DY7)),"")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(5ème1)'!EB7:ED7,"A"))*4)+((COUNTIF('Elève (5ème1)'!EB7:ED7,"B"))*3)+((COUNTIF('Elève (5ème1)'!EB7:ED7,"C"))*2)+((COUNTIF('Elève (5ème1)'!EB7:ED7,"D"))*1))/(COUNTA(EB7:ED7)),"")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(5ème1)'!EI7:EK7,"A"))*4)+((COUNTIF('Elève (5ème1)'!EI7:EK7,"B"))*3)+((COUNTIF('Elève (5ème1)'!EI7:EK7,"C"))*2)+((COUNTIF('Elève (5ème1)'!EI7:EK7,"D"))*1))/(COUNTA(EI7:EK7)),"")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(5ème1)'!EN7:EP7,"A"))*4)+((COUNTIF('Elève (5ème1)'!EN7:EP7,"B"))*3)+((COUNTIF('Elève (5ème1)'!EN7:EP7,"C"))*2)+((COUNTIF('Elève (5ème1)'!EN7:EP7,"D"))*1))/(COUNTA(EN7:EP7)),"")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(5ème1)'!ES7:EU7,"A"))*4)+((COUNTIF('Elève (5ème1)'!ES7:EU7,"B"))*3)+((COUNTIF('Elève (5ème1)'!ES7:EU7,"C"))*2)+((COUNTIF('Elève (5ème1)'!ES7:EU7,"D"))*1))/(COUNTA(ES7:EU7)),"")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(5ème1)'!EZ7:FB7,"A"))*4)+((COUNTIF('Elève (5ème1)'!EZ7:FB7,"B"))*3)+((COUNTIF('Elève (5ème1)'!EZ7:FB7,"C"))*2)+((COUNTIF('Elève (5ème1)'!EZ7:FB7,"D"))*1))/(COUNTA(EZ7:FB7)),"")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(5ème1)'!FE7:FG7,"A"))*4)+((COUNTIF('Elève (5ème1)'!FE7:FG7,"B"))*3)+((COUNTIF('Elève (5ème1)'!FE7:FG7,"C"))*2)+((COUNTIF('Elève (5ème1)'!FE7:FG7,"D"))*1))/(COUNTA(FE7:FG7)),"")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(5ème1)'!FJ7:FL7,"A"))*4)+((COUNTIF('Elève (5ème1)'!FJ7:FL7,"B"))*3)+((COUNTIF('Elève (5ème1)'!FJ7:FL7,"C"))*2)+((COUNTIF('Elève (5ème1)'!FJ7:FL7,"D"))*1))/(COUNTA(FJ7:FL7)),"")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(5ème1)'!FQ7:FS7,"A"))*4)+((COUNTIF('Elève (5ème1)'!FQ7:FS7,"B"))*3)+((COUNTIF('Elève (5ème1)'!FQ7:FS7,"C"))*2)+((COUNTIF('Elève (5ème1)'!FQ7:FS7,"D"))*1))/(COUNTA(FQ7:FS7)),"")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(5ème1)'!FV7:FX7,"A"))*4)+((COUNTIF('Elève (5ème1)'!FV7:FX7,"B"))*3)+((COUNTIF('Elève (5ème1)'!FV7:FX7,"C"))*2)+((COUNTIF('Elève (5ème1)'!FV7:FX7,"D"))*1))/(COUNTA(FV7:FX7)),"")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(5ème1)'!GA7:GC7,"A"))*4)+((COUNTIF('Elève (5ème1)'!GA7:GC7,"B"))*3)+((COUNTIF('Elève (5ème1)'!GA7:GC7,"C"))*2)+((COUNTIF('Elève (5ème1)'!GA7:GC7,"D"))*1))/(COUNTA(GA7:GC7)),"")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(5ème1)'!GH7:GJ7,"A"))*4)+((COUNTIF('Elève (5ème1)'!GH7:GJ7,"B"))*3)+((COUNTIF('Elève (5ème1)'!GH7:GJ7,"C"))*2)+((COUNTIF('Elève (5ème1)'!GH7:GJ7,"D"))*1))/(COUNTA(GH7:GJ7)),"")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(5ème1)'!GM7:GO7,"A"))*4)+((COUNTIF('Elève (5ème1)'!GM7:GO7,"B"))*3)+((COUNTIF('Elève (5ème1)'!GM7:GO7,"C"))*2)+((COUNTIF('Elève (5ème1)'!GM7:GO7,"D"))*1))/(COUNTA(GM7:GO7)),"")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(5ème1)'!GR7:GT7,"A"))*4)+((COUNTIF('Elève (5ème1)'!GR7:GT7,"B"))*3)+((COUNTIF('Elève (5ème1)'!GR7:GT7,"C"))*2)+((COUNTIF('Elève (5ème1)'!GR7:GT7,"D"))*1))/(COUNTA(GR7:GT7)),"")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(5ème1)'!GY7:HA7,"A"))*4)+((COUNTIF('Elève (5ème1)'!GY7:HA7,"B"))*3)+((COUNTIF('Elève (5ème1)'!GY7:HA7,"C"))*2)+((COUNTIF('Elève (5ème1)'!GY7:HA7,"D"))*1))/(COUNTA(GY7:HA7)),"")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(5ème1)'!HD7:HF7,"A"))*4)+((COUNTIF('Elève (5ème1)'!HD7:HF7,"B"))*3)+((COUNTIF('Elève (5ème1)'!HD7:HF7,"C"))*2)+((COUNTIF('Elève (5ème1)'!HD7:HF7,"D"))*1))/(COUNTA(HD7:HF7)),"")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(5ème1)'!HI7:HK7,"A"))*4)+((COUNTIF('Elève (5ème1)'!HI7:HK7,"B"))*3)+((COUNTIF('Elève (5ème1)'!HI7:HK7,"C"))*2)+((COUNTIF('Elève (5ème1)'!HI7:HK7,"D"))*1))/(COUNTA(HI7:HK7)),"")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(5ème1)'!HP7:HR7,"A"))*4)+((COUNTIF('Elève (5ème1)'!HP7:HR7,"B"))*3)+((COUNTIF('Elève (5ème1)'!HP7:HR7,"C"))*2)+((COUNTIF('Elève (5ème1)'!HP7:HR7,"D"))*1))/(COUNTA(HP7:HR7)),"")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(5ème1)'!HU7:HW7,"A"))*4)+((COUNTIF('Elève (5ème1)'!HU7:HW7,"B"))*3)+((COUNTIF('Elève (5ème1)'!HU7:HW7,"C"))*2)+((COUNTIF('Elève (5ème1)'!HU7:HW7,"D"))*1))/(COUNTA(HU7:HW7)),"")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(5ème1)'!HZ7:IB7,"A"))*4)+((COUNTIF('Elève (5ème1)'!HZ7:IB7,"B"))*3)+((COUNTIF('Elève (5ème1)'!HZ7:IB7,"C"))*2)+((COUNTIF('Elève (5ème1)'!HZ7:IB7,"D"))*1))/(COUNTA(HZ7:IB7)),"")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(5ème1)'!IG7:II7,"A"))*4)+((COUNTIF('Elève (5ème1)'!IG7:II7,"B"))*3)+((COUNTIF('Elève (5ème1)'!IG7:II7,"C"))*2)+((COUNTIF('Elève (5ème1)'!IG7:II7,"D"))*1))/(COUNTA(IG7:II7)),"")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(5ème1)'!IL7:IN7,"A"))*4)+((COUNTIF('Elève (5ème1)'!IL7:IN7,"B"))*3)+((COUNTIF('Elève (5ème1)'!IL7:IN7,"C"))*2)+((COUNTIF('Elève (5ème1)'!IL7:IN7,"D"))*1))/(COUNTA(IL7:IN7)),"")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(5ème1)'!IQ7:IS7,"A"))*4)+((COUNTIF('Elève (5ème1)'!IQ7:IS7,"B"))*3)+((COUNTIF('Elève (5ème1)'!IQ7:IS7,"C"))*2)+((COUNTIF('Elève (5ème1)'!IQ7:IS7,"D"))*1))/(COUNTA(IQ7:IS7)),"")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(5ème1)'!IX7:IZ7,"A"))*4)+((COUNTIF('Elève (5ème1)'!IX7:IZ7,"B"))*3)+((COUNTIF('Elève (5ème1)'!IX7:IZ7,"C"))*2)+((COUNTIF('Elève (5ème1)'!IX7:IZ7,"D"))*1))/(COUNTA(IX7:IZ7)),"")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(5ème1)'!JC7:JE7,"A"))*4)+((COUNTIF('Elève (5ème1)'!JC7:JE7,"B"))*3)+((COUNTIF('Elève (5ème1)'!JC7:JE7,"C"))*2)+((COUNTIF('Elève (5ème1)'!JC7:JE7,"D"))*1))/(COUNTA(JC7:JE7)),"")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(5ème1)'!JH7:JJ7,"A"))*4)+((COUNTIF('Elève (5ème1)'!JH7:JJ7,"B"))*3)+((COUNTIF('Elève (5ème1)'!JH7:JJ7,"C"))*2)+((COUNTIF('Elève (5ème1)'!JH7:JJ7,"D"))*1))/(COUNTA(JH7:JJ7)),"")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(5ème1)'!JO7:JQ7,"A"))*4)+((COUNTIF('Elève (5ème1)'!JO7:JQ7,"B"))*3)+((COUNTIF('Elève (5ème1)'!JO7:JQ7,"C"))*2)+((COUNTIF('Elève (5ème1)'!JO7:JQ7,"D"))*1))/(COUNTA(JO7:JQ7)),"")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(5ème1)'!JT7:JV7,"A"))*4)+((COUNTIF('Elève (5ème1)'!JT7:JV7,"B"))*3)+((COUNTIF('Elève (5ème1)'!JT7:JV7,"C"))*2)+((COUNTIF('Elève (5ème1)'!JT7:JV7,"D"))*1))/(COUNTA(JT7:JV7)),"")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(5ème1)'!JY7:KA7,"A"))*4)+((COUNTIF('Elève (5ème1)'!JY7:KA7,"B"))*3)+((COUNTIF('Elève (5ème1)'!JY7:KA7,"C"))*2)+((COUNTIF('Elève (5ème1)'!JY7:KA7,"D"))*1))/(COUNTA(JY7:KA7)),"")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(5ème1)'!KF7:KH7,"A"))*4)+((COUNTIF('Elève (5ème1)'!KF7:KH7,"B"))*3)+((COUNTIF('Elève (5ème1)'!KF7:KH7,"C"))*2)+((COUNTIF('Elève (5ème1)'!KF7:KH7,"D"))*1))/(COUNTA(KF7:KH7)),"")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(5ème1)'!KK7:KM7,"A"))*4)+((COUNTIF('Elève (5ème1)'!KK7:KM7,"B"))*3)+((COUNTIF('Elève (5ème1)'!KK7:KM7,"C"))*2)+((COUNTIF('Elève (5ème1)'!KK7:KM7,"D"))*1))/(COUNTA(KK7:KM7)),"")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(5ème1)'!KP7:KR7,"A"))*4)+((COUNTIF('Elève (5ème1)'!KP7:KR7,"B"))*3)+((COUNTIF('Elève (5ème1)'!KP7:KR7,"C"))*2)+((COUNTIF('Elève (5ème1)'!KP7:KR7,"D"))*1))/(COUNTA(KP7:KR7)),"")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(5ème1)'!KW7:KY7,"A"))*4)+((COUNTIF('Elève (5ème1)'!KW7:KY7,"B"))*3)+((COUNTIF('Elève (5ème1)'!KW7:KY7,"C"))*2)+((COUNTIF('Elève (5ème1)'!KW7:KY7,"D"))*1))/(COUNTA(KW7:KY7)),"")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(5ème1)'!LB7:LD7,"A"))*4)+((COUNTIF('Elève (5ème1)'!LB7:LD7,"B"))*3)+((COUNTIF('Elève (5ème1)'!LB7:LD7,"C"))*2)+((COUNTIF('Elève (5ème1)'!LB7:LD7,"D"))*1))/(COUNTA(LB7:LD7)),"")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(5ème1)'!LG7:LI7,"A"))*4)+((COUNTIF('Elève (5ème1)'!LG7:LI7,"B"))*3)+((COUNTIF('Elève (5ème1)'!LG7:LI7,"C"))*2)+((COUNTIF('Elève (5ème1)'!LG7:LI7,"D"))*1))/(COUNTA(LG7:LI7)),"")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(5ème1)'!LN7:LP7,"A"))*4)+((COUNTIF('Elève (5ème1)'!LN7:LP7,"B"))*3)+((COUNTIF('Elève (5ème1)'!LN7:LP7,"C"))*2)+((COUNTIF('Elève (5ème1)'!LN7:LP7,"D"))*1))/(COUNTA(LN7:LP7)),"")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(5ème1)'!LS7:LU7,"A"))*4)+((COUNTIF('Elève (5ème1)'!LS7:LU7,"B"))*3)+((COUNTIF('Elève (5ème1)'!LS7:LU7,"C"))*2)+((COUNTIF('Elève (5ème1)'!LS7:LU7,"D"))*1))/(COUNTA(LS7:LU7)),"")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(5ème1)'!LX7:LZ7,"A"))*4)+((COUNTIF('Elève (5ème1)'!LX7:LZ7,"B"))*3)+((COUNTIF('Elève (5ème1)'!LX7:LZ7,"C"))*2)+((COUNTIF('Elève (5ème1)'!LX7:LZ7,"D"))*1))/(COUNTA(LX7:LZ7)),"")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(5ème1)'!ME7:MG7,"A"))*4)+((COUNTIF('Elève (5ème1)'!ME7:MG7,"B"))*3)+((COUNTIF('Elève (5ème1)'!ME7:MG7,"C"))*2)+((COUNTIF('Elève (5ème1)'!ME7:MG7,"D"))*1))/(COUNTA(ME7:MG7)),"")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(5ème1)'!MJ7:ML7,"A"))*4)+((COUNTIF('Elève (5ème1)'!MJ7:ML7,"B"))*3)+((COUNTIF('Elève (5ème1)'!MJ7:ML7,"C"))*2)+((COUNTIF('Elève (5ème1)'!MJ7:ML7,"D"))*1))/(COUNTA(MJ7:ML7)),"")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(5ème1)'!MO7:MQ7,"A"))*4)+((COUNTIF('Elève (5ème1)'!MO7:MQ7,"B"))*3)+((COUNTIF('Elève (5ème1)'!MO7:MQ7,"C"))*2)+((COUNTIF('Elève (5ème1)'!MO7:MQ7,"D"))*1))/(COUNTA(MO7:MQ7)),"")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(5ème1)'!MV7:MX7,"A"))*4)+((COUNTIF('Elève (5ème1)'!MV7:MX7,"B"))*3)+((COUNTIF('Elève (5ème1)'!MV7:MX7,"C"))*2)+((COUNTIF('Elève (5ème1)'!MV7:MX7,"D"))*1))/(COUNTA(MV7:MX7)),"")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(5ème1)'!NA7:NC7,"A"))*4)+((COUNTIF('Elève (5ème1)'!NA7:NC7,"B"))*3)+((COUNTIF('Elève (5ème1)'!NA7:NC7,"C"))*2)+((COUNTIF('Elève (5ème1)'!NA7:NC7,"D"))*1))/(COUNTA(NA7:NC7)),"")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(5ème1)'!NF7:NH7,"A"))*4)+((COUNTIF('Elève (5ème1)'!NF7:NH7,"B"))*3)+((COUNTIF('Elève (5ème1)'!NF7:NH7,"C"))*2)+((COUNTIF('Elève (5ème1)'!NF7:NH7,"D"))*1))/(COUNTA(NF7:NH7)),"")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(5ème1)'!NM7:NO7,"A"))*4)+((COUNTIF('Elève (5ème1)'!NM7:NO7,"B"))*3)+((COUNTIF('Elève (5ème1)'!NM7:NO7,"C"))*2)+((COUNTIF('Elève (5ème1)'!NM7:NO7,"D"))*1))/(COUNTA(NM7:NO7)),"")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(5ème1)'!NR7:NT7,"A"))*4)+((COUNTIF('Elève (5ème1)'!NR7:NT7,"B"))*3)+((COUNTIF('Elève (5ème1)'!NR7:NT7,"C"))*2)+((COUNTIF('Elève (5ème1)'!NR7:NT7,"D"))*1))/(COUNTA(NR7:NT7)),"")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(5ème1)'!NW7:NY7,"A"))*4)+((COUNTIF('Elève (5ème1)'!NW7:NY7,"B"))*3)+((COUNTIF('Elève (5ème1)'!NW7:NY7,"C"))*2)+((COUNTIF('Elève (5ème1)'!NW7:NY7,"D"))*1))/(COUNTA(NW7:NY7)),"")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(5ème1)'!OD7:OF7,"A"))*4)+((COUNTIF('Elève (5ème1)'!OD7:OF7,"B"))*3)+((COUNTIF('Elève (5ème1)'!OD7:OF7,"C"))*2)+((COUNTIF('Elève (5ème1)'!OD7:OF7,"D"))*1))/(COUNTA(OD7:OF7)),"")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(5ème1)'!OI7:OK7,"A"))*4)+((COUNTIF('Elève (5ème1)'!OI7:OK7,"B"))*3)+((COUNTIF('Elève (5ème1)'!OI7:OK7,"C"))*2)+((COUNTIF('Elève (5ème1)'!OI7:OK7,"D"))*1))/(COUNTA(OI7:OK7)),"")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(5ème1)'!ON7:OP7,"A"))*4)+((COUNTIF('Elève (5ème1)'!ON7:OP7,"B"))*3)+((COUNTIF('Elève (5ème1)'!ON7:OP7,"C"))*2)+((COUNTIF('Elève (5ème1)'!ON7:OP7,"D"))*1))/(COUNTA(ON7:OP7)),"")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(5ème1)'!OU7:OW7,"A"))*4)+((COUNTIF('Elève (5ème1)'!OU7:OW7,"B"))*3)+((COUNTIF('Elève (5ème1)'!OU7:OW7,"C"))*2)+((COUNTIF('Elève (5ème1)'!OU7:OW7,"D"))*1))/(COUNTA(OU7:OW7)),"")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(5ème1)'!OZ7:PB7,"A"))*4)+((COUNTIF('Elève (5ème1)'!OZ7:PB7,"B"))*3)+((COUNTIF('Elève (5ème1)'!OZ7:PB7,"C"))*2)+((COUNTIF('Elève (5ème1)'!OZ7:PB7,"D"))*1))/(COUNTA(OZ7:PB7)),"")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(5ème1)'!PE7:PG7,"A"))*4)+((COUNTIF('Elève (5ème1)'!PE7:PG7,"B"))*3)+((COUNTIF('Elève (5ème1)'!PE7:PG7,"C"))*2)+((COUNTIF('Elève (5ème1)'!PE7:PG7,"D"))*1))/(COUNTA(PE7:PG7)),"")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(5ème1)'!PL7:PN7,"A"))*4)+((COUNTIF('Elève (5ème1)'!PL7:PN7,"B"))*3)+((COUNTIF('Elève (5ème1)'!PL7:PN7,"C"))*2)+((COUNTIF('Elève (5ème1)'!PL7:PN7,"D"))*1))/(COUNTA(PL7:PN7)),"")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(5ème1)'!PQ7:PS7,"A"))*4)+((COUNTIF('Elève (5ème1)'!PQ7:PS7,"B"))*3)+((COUNTIF('Elève (5ème1)'!PQ7:PS7,"C"))*2)+((COUNTIF('Elève (5ème1)'!PQ7:PS7,"D"))*1))/(COUNTA(PQ7:PS7)),"")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(5ème1)'!PV7:PX7,"A"))*4)+((COUNTIF('Elève (5ème1)'!PV7:PX7,"B"))*3)+((COUNTIF('Elève (5ème1)'!PV7:PX7,"C"))*2)+((COUNTIF('Elève (5ème1)'!PV7:PX7,"D"))*1))/(COUNTA(PV7:PX7)),"")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(5ème1)'!QC7:QE7,"A"))*4)+((COUNTIF('Elève (5ème1)'!QC7:QE7,"B"))*3)+((COUNTIF('Elève (5ème1)'!QC7:QE7,"C"))*2)+((COUNTIF('Elève (5ème1)'!QC7:QE7,"D"))*1))/(COUNTA(QC7:QE7)),"")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(5ème1)'!QH7:QJ7,"A"))*4)+((COUNTIF('Elève (5ème1)'!QH7:QJ7,"B"))*3)+((COUNTIF('Elève (5ème1)'!QH7:QJ7,"C"))*2)+((COUNTIF('Elève (5ème1)'!QH7:QJ7,"D"))*1))/(COUNTA(QH7:QJ7)),"")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(5ème1)'!QM7:QO7,"A"))*4)+((COUNTIF('Elève (5ème1)'!QM7:QO7,"B"))*3)+((COUNTIF('Elève (5ème1)'!QM7:QO7,"C"))*2)+((COUNTIF('Elève (5ème1)'!QM7:QO7,"D"))*1))/(COUNTA(QM7:QO7)),"")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(5ème1)'!QT7:QV7,"A"))*4)+((COUNTIF('Elève (5ème1)'!QT7:QV7,"B"))*3)+((COUNTIF('Elève (5ème1)'!QT7:QV7,"C"))*2)+((COUNTIF('Elève (5ème1)'!QT7:QV7,"D"))*1))/(COUNTA(QT7:QV7)),"")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(5ème1)'!QY7:RA7,"A"))*4)+((COUNTIF('Elève (5ème1)'!QY7:RA7,"B"))*3)+((COUNTIF('Elève (5ème1)'!QY7:RA7,"C"))*2)+((COUNTIF('Elève (5ème1)'!QY7:RA7,"D"))*1))/(COUNTA(QY7:RA7)),"")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(5ème1)'!RD7:RF7,"A"))*4)+((COUNTIF('Elève (5ème1)'!RD7:RF7,"B"))*3)+((COUNTIF('Elève (5ème1)'!RD7:RF7,"C"))*2)+((COUNTIF('Elève (5ème1)'!RD7:RF7,"D"))*1))/(COUNTA(RD7:RF7)),"")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(5ème1)'!RK7:RM7,"A"))*4)+((COUNTIF('Elève (5ème1)'!RK7:RM7,"B"))*3)+((COUNTIF('Elève (5ème1)'!RK7:RM7,"C"))*2)+((COUNTIF('Elève (5ème1)'!RK7:RM7,"D"))*1))/(COUNTA(RK7:RM7)),"")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(5ème1)'!RP7:RR7,"A"))*4)+((COUNTIF('Elève (5ème1)'!RP7:RR7,"B"))*3)+((COUNTIF('Elève (5ème1)'!RP7:RR7,"C"))*2)+((COUNTIF('Elève (5ème1)'!RP7:RR7,"D"))*1))/(COUNTA(RP7:RR7)),"")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(5ème1)'!RU7:RW7,"A"))*4)+((COUNTIF('Elève (5ème1)'!RU7:RW7,"B"))*3)+((COUNTIF('Elève (5ème1)'!RU7:RW7,"C"))*2)+((COUNTIF('Elève (5ème1)'!RU7:RW7,"D"))*1))/(COUNTA(RU7:RW7)),"")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(5ème1)'!SB7:SD7,"A"))*4)+((COUNTIF('Elève (5ème1)'!SB7:SD7,"B"))*3)+((COUNTIF('Elève (5ème1)'!SB7:SD7,"C"))*2)+((COUNTIF('Elève (5ème1)'!SB7:SD7,"D"))*1))/(COUNTA(SB7:SD7)),"")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(5ème1)'!SG7:SI7,"A"))*4)+((COUNTIF('Elève (5ème1)'!SG7:SI7,"B"))*3)+((COUNTIF('Elève (5ème1)'!SG7:SI7,"C"))*2)+((COUNTIF('Elève (5ème1)'!SG7:SI7,"D"))*1))/(COUNTA(SG7:SI7)),"")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(5ème1)'!SL7:SN7,"A"))*4)+((COUNTIF('Elève (5ème1)'!SL7:SN7,"B"))*3)+((COUNTIF('Elève (5ème1)'!SL7:SN7,"C"))*2)+((COUNTIF('Elève (5ème1)'!SL7:SN7,"D"))*1))/(COUNTA(SL7:SN7)),"")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7" t="s">
        <v>15</v>
      </c>
      <c r="B8" s="228"/>
      <c r="C8" s="156"/>
      <c r="D8" s="157"/>
      <c r="E8" s="158"/>
      <c r="F8" s="110" t="str">
        <f>IFERROR((((COUNTIF('Elève (5ème1)'!C8:E8,"A"))*4)+((COUNTIF('Elève (5ème1)'!C8:E8,"B"))*3)+((COUNTIF('Elève (5ème1)'!C8:E8,"C"))*2)+((COUNTIF('Elève (5ème1)'!C8:E8,"D"))*1))/(COUNTA(C8:E8)),"")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(5ème1)'!H8:J8,"A"))*4)+((COUNTIF('Elève (5ème1)'!H8:J8,"B"))*3)+((COUNTIF('Elève (5ème1)'!H8:J8,"C"))*2)+((COUNTIF('Elève (5ème1)'!H8:J8,"D"))*1))/(COUNTA(H8:J8)),"")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(5ème1)'!M8:O8,"A"))*4)+((COUNTIF('Elève (5ème1)'!M8:O8,"B"))*3)+((COUNTIF('Elève (5ème1)'!M8:O8,"C"))*2)+((COUNTIF('Elève (5ème1)'!M8:O8,"D"))*1))/(COUNTA(M8:O8)),"")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(5ème1)'!T8:V8,"A"))*4)+((COUNTIF('Elève (5ème1)'!T8:V8,"B"))*3)+((COUNTIF('Elève (5ème1)'!T8:V8,"C"))*2)+((COUNTIF('Elève (5ème1)'!T8:V8,"D"))*1))/(COUNTA(T8:V8)),"")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(5ème1)'!Y8:AA8,"A"))*4)+((COUNTIF('Elève (5ème1)'!Y8:AA8,"B"))*3)+((COUNTIF('Elève (5ème1)'!Y8:AA8,"C"))*2)+((COUNTIF('Elève (5ème1)'!Y8:AA8,"D"))*1))/(COUNTA(Y8:AA8)),"")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(5ème1)'!AD8:AF8,"A"))*4)+((COUNTIF('Elève (5ème1)'!AD8:AF8,"B"))*3)+((COUNTIF('Elève (5ème1)'!AD8:AF8,"C"))*2)+((COUNTIF('Elève (5ème1)'!AD8:AF8,"D"))*1))/(COUNTA(AD8:AF8)),"")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(5ème1)'!AK8:AM8,"A"))*4)+((COUNTIF('Elève (5ème1)'!AK8:AM8,"B"))*3)+((COUNTIF('Elève (5ème1)'!AK8:AM8,"C"))*2)+((COUNTIF('Elève (5ème1)'!AK8:AM8,"D"))*1))/(COUNTA(AK8:AM8)),"")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(5ème1)'!AP8:AR8,"A"))*4)+((COUNTIF('Elève (5ème1)'!AP8:AR8,"B"))*3)+((COUNTIF('Elève (5ème1)'!AP8:AR8,"C"))*2)+((COUNTIF('Elève (5ème1)'!AP8:AR8,"D"))*1))/(COUNTA(AP8:AR8)),"")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(5ème1)'!AU8:AW8,"A"))*4)+((COUNTIF('Elève (5ème1)'!AU8:AW8,"B"))*3)+((COUNTIF('Elève (5ème1)'!AU8:AW8,"C"))*2)+((COUNTIF('Elève (5ème1)'!AU8:AW8,"D"))*1))/(COUNTA(AU8:AW8)),"")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(5ème1)'!BB8:BD8,"A"))*4)+((COUNTIF('Elève (5ème1)'!BB8:BD8,"B"))*3)+((COUNTIF('Elève (5ème1)'!BB8:BD8,"C"))*2)+((COUNTIF('Elève (5ème1)'!BB8:BD8,"D"))*1))/(COUNTA(BB8:BD8)),"")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(5ème1)'!BG8:BI8,"A"))*4)+((COUNTIF('Elève (5ème1)'!BG8:BI8,"B"))*3)+((COUNTIF('Elève (5ème1)'!BG8:BI8,"C"))*2)+((COUNTIF('Elève (5ème1)'!BG8:BI8,"D"))*1))/(COUNTA(BG8:BI8)),"")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(5ème1)'!BL8:BN8,"A"))*4)+((COUNTIF('Elève (5ème1)'!BL8:BN8,"B"))*3)+((COUNTIF('Elève (5ème1)'!BL8:BN8,"C"))*2)+((COUNTIF('Elève (5ème1)'!BL8:BN8,"D"))*1))/(COUNTA(BL8:BN8)),"")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(5ème1)'!BS8:BU8,"A"))*4)+((COUNTIF('Elève (5ème1)'!BS8:BU8,"B"))*3)+((COUNTIF('Elève (5ème1)'!BS8:BU8,"C"))*2)+((COUNTIF('Elève (5ème1)'!BS8:BU8,"D"))*1))/(COUNTA(BS8:BU8)),"")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(5ème1)'!BX8:BZ8,"A"))*4)+((COUNTIF('Elève (5ème1)'!BX8:BZ8,"B"))*3)+((COUNTIF('Elève (5ème1)'!BX8:BZ8,"C"))*2)+((COUNTIF('Elève (5ème1)'!BX8:BZ8,"D"))*1))/(COUNTA(BX8:BZ8)),"")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(5ème1)'!CC8:CE8,"A"))*4)+((COUNTIF('Elève (5ème1)'!CC8:CE8,"B"))*3)+((COUNTIF('Elève (5ème1)'!CC8:CE8,"C"))*2)+((COUNTIF('Elève (5ème1)'!CC8:CE8,"D"))*1))/(COUNTA(CC8:CE8)),"")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(5ème1)'!CJ8:CL8,"A"))*4)+((COUNTIF('Elève (5ème1)'!CJ8:CL8,"B"))*3)+((COUNTIF('Elève (5ème1)'!CJ8:CL8,"C"))*2)+((COUNTIF('Elève (5ème1)'!CJ8:CL8,"D"))*1))/(COUNTA(CJ8:CL8)),"")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(5ème1)'!CO8:CQ8,"A"))*4)+((COUNTIF('Elève (5ème1)'!CO8:CQ8,"B"))*3)+((COUNTIF('Elève (5ème1)'!CO8:CQ8,"C"))*2)+((COUNTIF('Elève (5ème1)'!CO8:CQ8,"D"))*1))/(COUNTA(CO8:CQ8)),"")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(5ème1)'!CT8:CV8,"A"))*4)+((COUNTIF('Elève (5ème1)'!CT8:CV8,"B"))*3)+((COUNTIF('Elève (5ème1)'!CT8:CV8,"C"))*2)+((COUNTIF('Elève (5ème1)'!CT8:CV8,"D"))*1))/(COUNTA(CT8:CV8)),"")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(5ème1)'!DA8:DC8,"A"))*4)+((COUNTIF('Elève (5ème1)'!DA8:DC8,"B"))*3)+((COUNTIF('Elève (5ème1)'!DA8:DC8,"C"))*2)+((COUNTIF('Elève (5ème1)'!DA8:DC8,"D"))*1))/(COUNTA(DA8:DC8)),"")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(5ème1)'!DF8:DH8,"A"))*4)+((COUNTIF('Elève (5ème1)'!DF8:DH8,"B"))*3)+((COUNTIF('Elève (5ème1)'!DF8:DH8,"C"))*2)+((COUNTIF('Elève (5ème1)'!DF8:DH8,"D"))*1))/(COUNTA(DF8:DH8)),"")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(5ème1)'!DK8:DM8,"A"))*4)+((COUNTIF('Elève (5ème1)'!DK8:DM8,"B"))*3)+((COUNTIF('Elève (5ème1)'!DK8:DM8,"C"))*2)+((COUNTIF('Elève (5ème1)'!DK8:DM8,"D"))*1))/(COUNTA(DK8:DM8)),"")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(5ème1)'!DR8:DT8,"A"))*4)+((COUNTIF('Elève (5ème1)'!DR8:DT8,"B"))*3)+((COUNTIF('Elève (5ème1)'!DR8:DT8,"C"))*2)+((COUNTIF('Elève (5ème1)'!DR8:DT8,"D"))*1))/(COUNTA(DR8:DT8)),"")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(5ème1)'!DW8:DY8,"A"))*4)+((COUNTIF('Elève (5ème1)'!DW8:DY8,"B"))*3)+((COUNTIF('Elève (5ème1)'!DW8:DY8,"C"))*2)+((COUNTIF('Elève (5ème1)'!DW8:DY8,"D"))*1))/(COUNTA(DW8:DY8)),"")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(5ème1)'!EB8:ED8,"A"))*4)+((COUNTIF('Elève (5ème1)'!EB8:ED8,"B"))*3)+((COUNTIF('Elève (5ème1)'!EB8:ED8,"C"))*2)+((COUNTIF('Elève (5ème1)'!EB8:ED8,"D"))*1))/(COUNTA(EB8:ED8)),"")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(5ème1)'!EI8:EK8,"A"))*4)+((COUNTIF('Elève (5ème1)'!EI8:EK8,"B"))*3)+((COUNTIF('Elève (5ème1)'!EI8:EK8,"C"))*2)+((COUNTIF('Elève (5ème1)'!EI8:EK8,"D"))*1))/(COUNTA(EI8:EK8)),"")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(5ème1)'!EN8:EP8,"A"))*4)+((COUNTIF('Elève (5ème1)'!EN8:EP8,"B"))*3)+((COUNTIF('Elève (5ème1)'!EN8:EP8,"C"))*2)+((COUNTIF('Elève (5ème1)'!EN8:EP8,"D"))*1))/(COUNTA(EN8:EP8)),"")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(5ème1)'!ES8:EU8,"A"))*4)+((COUNTIF('Elève (5ème1)'!ES8:EU8,"B"))*3)+((COUNTIF('Elève (5ème1)'!ES8:EU8,"C"))*2)+((COUNTIF('Elève (5ème1)'!ES8:EU8,"D"))*1))/(COUNTA(ES8:EU8)),"")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(5ème1)'!EZ8:FB8,"A"))*4)+((COUNTIF('Elève (5ème1)'!EZ8:FB8,"B"))*3)+((COUNTIF('Elève (5ème1)'!EZ8:FB8,"C"))*2)+((COUNTIF('Elève (5ème1)'!EZ8:FB8,"D"))*1))/(COUNTA(EZ8:FB8)),"")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(5ème1)'!FE8:FG8,"A"))*4)+((COUNTIF('Elève (5ème1)'!FE8:FG8,"B"))*3)+((COUNTIF('Elève (5ème1)'!FE8:FG8,"C"))*2)+((COUNTIF('Elève (5ème1)'!FE8:FG8,"D"))*1))/(COUNTA(FE8:FG8)),"")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(5ème1)'!FJ8:FL8,"A"))*4)+((COUNTIF('Elève (5ème1)'!FJ8:FL8,"B"))*3)+((COUNTIF('Elève (5ème1)'!FJ8:FL8,"C"))*2)+((COUNTIF('Elève (5ème1)'!FJ8:FL8,"D"))*1))/(COUNTA(FJ8:FL8)),"")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(5ème1)'!FQ8:FS8,"A"))*4)+((COUNTIF('Elève (5ème1)'!FQ8:FS8,"B"))*3)+((COUNTIF('Elève (5ème1)'!FQ8:FS8,"C"))*2)+((COUNTIF('Elève (5ème1)'!FQ8:FS8,"D"))*1))/(COUNTA(FQ8:FS8)),"")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(5ème1)'!FV8:FX8,"A"))*4)+((COUNTIF('Elève (5ème1)'!FV8:FX8,"B"))*3)+((COUNTIF('Elève (5ème1)'!FV8:FX8,"C"))*2)+((COUNTIF('Elève (5ème1)'!FV8:FX8,"D"))*1))/(COUNTA(FV8:FX8)),"")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(5ème1)'!GA8:GC8,"A"))*4)+((COUNTIF('Elève (5ème1)'!GA8:GC8,"B"))*3)+((COUNTIF('Elève (5ème1)'!GA8:GC8,"C"))*2)+((COUNTIF('Elève (5ème1)'!GA8:GC8,"D"))*1))/(COUNTA(GA8:GC8)),"")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(5ème1)'!GH8:GJ8,"A"))*4)+((COUNTIF('Elève (5ème1)'!GH8:GJ8,"B"))*3)+((COUNTIF('Elève (5ème1)'!GH8:GJ8,"C"))*2)+((COUNTIF('Elève (5ème1)'!GH8:GJ8,"D"))*1))/(COUNTA(GH8:GJ8)),"")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(5ème1)'!GM8:GO8,"A"))*4)+((COUNTIF('Elève (5ème1)'!GM8:GO8,"B"))*3)+((COUNTIF('Elève (5ème1)'!GM8:GO8,"C"))*2)+((COUNTIF('Elève (5ème1)'!GM8:GO8,"D"))*1))/(COUNTA(GM8:GO8)),"")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(5ème1)'!GR8:GT8,"A"))*4)+((COUNTIF('Elève (5ème1)'!GR8:GT8,"B"))*3)+((COUNTIF('Elève (5ème1)'!GR8:GT8,"C"))*2)+((COUNTIF('Elève (5ème1)'!GR8:GT8,"D"))*1))/(COUNTA(GR8:GT8)),"")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(5ème1)'!GY8:HA8,"A"))*4)+((COUNTIF('Elève (5ème1)'!GY8:HA8,"B"))*3)+((COUNTIF('Elève (5ème1)'!GY8:HA8,"C"))*2)+((COUNTIF('Elève (5ème1)'!GY8:HA8,"D"))*1))/(COUNTA(GY8:HA8)),"")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(5ème1)'!HD8:HF8,"A"))*4)+((COUNTIF('Elève (5ème1)'!HD8:HF8,"B"))*3)+((COUNTIF('Elève (5ème1)'!HD8:HF8,"C"))*2)+((COUNTIF('Elève (5ème1)'!HD8:HF8,"D"))*1))/(COUNTA(HD8:HF8)),"")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(5ème1)'!HI8:HK8,"A"))*4)+((COUNTIF('Elève (5ème1)'!HI8:HK8,"B"))*3)+((COUNTIF('Elève (5ème1)'!HI8:HK8,"C"))*2)+((COUNTIF('Elève (5ème1)'!HI8:HK8,"D"))*1))/(COUNTA(HI8:HK8)),"")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(5ème1)'!HP8:HR8,"A"))*4)+((COUNTIF('Elève (5ème1)'!HP8:HR8,"B"))*3)+((COUNTIF('Elève (5ème1)'!HP8:HR8,"C"))*2)+((COUNTIF('Elève (5ème1)'!HP8:HR8,"D"))*1))/(COUNTA(HP8:HR8)),"")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(5ème1)'!HU8:HW8,"A"))*4)+((COUNTIF('Elève (5ème1)'!HU8:HW8,"B"))*3)+((COUNTIF('Elève (5ème1)'!HU8:HW8,"C"))*2)+((COUNTIF('Elève (5ème1)'!HU8:HW8,"D"))*1))/(COUNTA(HU8:HW8)),"")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(5ème1)'!HZ8:IB8,"A"))*4)+((COUNTIF('Elève (5ème1)'!HZ8:IB8,"B"))*3)+((COUNTIF('Elève (5ème1)'!HZ8:IB8,"C"))*2)+((COUNTIF('Elève (5ème1)'!HZ8:IB8,"D"))*1))/(COUNTA(HZ8:IB8)),"")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(5ème1)'!IG8:II8,"A"))*4)+((COUNTIF('Elève (5ème1)'!IG8:II8,"B"))*3)+((COUNTIF('Elève (5ème1)'!IG8:II8,"C"))*2)+((COUNTIF('Elève (5ème1)'!IG8:II8,"D"))*1))/(COUNTA(IG8:II8)),"")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(5ème1)'!IL8:IN8,"A"))*4)+((COUNTIF('Elève (5ème1)'!IL8:IN8,"B"))*3)+((COUNTIF('Elève (5ème1)'!IL8:IN8,"C"))*2)+((COUNTIF('Elève (5ème1)'!IL8:IN8,"D"))*1))/(COUNTA(IL8:IN8)),"")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(5ème1)'!IQ8:IS8,"A"))*4)+((COUNTIF('Elève (5ème1)'!IQ8:IS8,"B"))*3)+((COUNTIF('Elève (5ème1)'!IQ8:IS8,"C"))*2)+((COUNTIF('Elève (5ème1)'!IQ8:IS8,"D"))*1))/(COUNTA(IQ8:IS8)),"")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(5ème1)'!IX8:IZ8,"A"))*4)+((COUNTIF('Elève (5ème1)'!IX8:IZ8,"B"))*3)+((COUNTIF('Elève (5ème1)'!IX8:IZ8,"C"))*2)+((COUNTIF('Elève (5ème1)'!IX8:IZ8,"D"))*1))/(COUNTA(IX8:IZ8)),"")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(5ème1)'!JC8:JE8,"A"))*4)+((COUNTIF('Elève (5ème1)'!JC8:JE8,"B"))*3)+((COUNTIF('Elève (5ème1)'!JC8:JE8,"C"))*2)+((COUNTIF('Elève (5ème1)'!JC8:JE8,"D"))*1))/(COUNTA(JC8:JE8)),"")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(5ème1)'!JH8:JJ8,"A"))*4)+((COUNTIF('Elève (5ème1)'!JH8:JJ8,"B"))*3)+((COUNTIF('Elève (5ème1)'!JH8:JJ8,"C"))*2)+((COUNTIF('Elève (5ème1)'!JH8:JJ8,"D"))*1))/(COUNTA(JH8:JJ8)),"")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(5ème1)'!JO8:JQ8,"A"))*4)+((COUNTIF('Elève (5ème1)'!JO8:JQ8,"B"))*3)+((COUNTIF('Elève (5ème1)'!JO8:JQ8,"C"))*2)+((COUNTIF('Elève (5ème1)'!JO8:JQ8,"D"))*1))/(COUNTA(JO8:JQ8)),"")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(5ème1)'!JT8:JV8,"A"))*4)+((COUNTIF('Elève (5ème1)'!JT8:JV8,"B"))*3)+((COUNTIF('Elève (5ème1)'!JT8:JV8,"C"))*2)+((COUNTIF('Elève (5ème1)'!JT8:JV8,"D"))*1))/(COUNTA(JT8:JV8)),"")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(5ème1)'!JY8:KA8,"A"))*4)+((COUNTIF('Elève (5ème1)'!JY8:KA8,"B"))*3)+((COUNTIF('Elève (5ème1)'!JY8:KA8,"C"))*2)+((COUNTIF('Elève (5ème1)'!JY8:KA8,"D"))*1))/(COUNTA(JY8:KA8)),"")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(5ème1)'!KF8:KH8,"A"))*4)+((COUNTIF('Elève (5ème1)'!KF8:KH8,"B"))*3)+((COUNTIF('Elève (5ème1)'!KF8:KH8,"C"))*2)+((COUNTIF('Elève (5ème1)'!KF8:KH8,"D"))*1))/(COUNTA(KF8:KH8)),"")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(5ème1)'!KK8:KM8,"A"))*4)+((COUNTIF('Elève (5ème1)'!KK8:KM8,"B"))*3)+((COUNTIF('Elève (5ème1)'!KK8:KM8,"C"))*2)+((COUNTIF('Elève (5ème1)'!KK8:KM8,"D"))*1))/(COUNTA(KK8:KM8)),"")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(5ème1)'!KP8:KR8,"A"))*4)+((COUNTIF('Elève (5ème1)'!KP8:KR8,"B"))*3)+((COUNTIF('Elève (5ème1)'!KP8:KR8,"C"))*2)+((COUNTIF('Elève (5ème1)'!KP8:KR8,"D"))*1))/(COUNTA(KP8:KR8)),"")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(5ème1)'!KW8:KY8,"A"))*4)+((COUNTIF('Elève (5ème1)'!KW8:KY8,"B"))*3)+((COUNTIF('Elève (5ème1)'!KW8:KY8,"C"))*2)+((COUNTIF('Elève (5ème1)'!KW8:KY8,"D"))*1))/(COUNTA(KW8:KY8)),"")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(5ème1)'!LB8:LD8,"A"))*4)+((COUNTIF('Elève (5ème1)'!LB8:LD8,"B"))*3)+((COUNTIF('Elève (5ème1)'!LB8:LD8,"C"))*2)+((COUNTIF('Elève (5ème1)'!LB8:LD8,"D"))*1))/(COUNTA(LB8:LD8)),"")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(5ème1)'!LG8:LI8,"A"))*4)+((COUNTIF('Elève (5ème1)'!LG8:LI8,"B"))*3)+((COUNTIF('Elève (5ème1)'!LG8:LI8,"C"))*2)+((COUNTIF('Elève (5ème1)'!LG8:LI8,"D"))*1))/(COUNTA(LG8:LI8)),"")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(5ème1)'!LN8:LP8,"A"))*4)+((COUNTIF('Elève (5ème1)'!LN8:LP8,"B"))*3)+((COUNTIF('Elève (5ème1)'!LN8:LP8,"C"))*2)+((COUNTIF('Elève (5ème1)'!LN8:LP8,"D"))*1))/(COUNTA(LN8:LP8)),"")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(5ème1)'!LS8:LU8,"A"))*4)+((COUNTIF('Elève (5ème1)'!LS8:LU8,"B"))*3)+((COUNTIF('Elève (5ème1)'!LS8:LU8,"C"))*2)+((COUNTIF('Elève (5ème1)'!LS8:LU8,"D"))*1))/(COUNTA(LS8:LU8)),"")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(5ème1)'!LX8:LZ8,"A"))*4)+((COUNTIF('Elève (5ème1)'!LX8:LZ8,"B"))*3)+((COUNTIF('Elève (5ème1)'!LX8:LZ8,"C"))*2)+((COUNTIF('Elève (5ème1)'!LX8:LZ8,"D"))*1))/(COUNTA(LX8:LZ8)),"")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(5ème1)'!ME8:MG8,"A"))*4)+((COUNTIF('Elève (5ème1)'!ME8:MG8,"B"))*3)+((COUNTIF('Elève (5ème1)'!ME8:MG8,"C"))*2)+((COUNTIF('Elève (5ème1)'!ME8:MG8,"D"))*1))/(COUNTA(ME8:MG8)),"")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(5ème1)'!MJ8:ML8,"A"))*4)+((COUNTIF('Elève (5ème1)'!MJ8:ML8,"B"))*3)+((COUNTIF('Elève (5ème1)'!MJ8:ML8,"C"))*2)+((COUNTIF('Elève (5ème1)'!MJ8:ML8,"D"))*1))/(COUNTA(MJ8:ML8)),"")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(5ème1)'!MO8:MQ8,"A"))*4)+((COUNTIF('Elève (5ème1)'!MO8:MQ8,"B"))*3)+((COUNTIF('Elève (5ème1)'!MO8:MQ8,"C"))*2)+((COUNTIF('Elève (5ème1)'!MO8:MQ8,"D"))*1))/(COUNTA(MO8:MQ8)),"")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(5ème1)'!MV8:MX8,"A"))*4)+((COUNTIF('Elève (5ème1)'!MV8:MX8,"B"))*3)+((COUNTIF('Elève (5ème1)'!MV8:MX8,"C"))*2)+((COUNTIF('Elève (5ème1)'!MV8:MX8,"D"))*1))/(COUNTA(MV8:MX8)),"")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(5ème1)'!NA8:NC8,"A"))*4)+((COUNTIF('Elève (5ème1)'!NA8:NC8,"B"))*3)+((COUNTIF('Elève (5ème1)'!NA8:NC8,"C"))*2)+((COUNTIF('Elève (5ème1)'!NA8:NC8,"D"))*1))/(COUNTA(NA8:NC8)),"")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(5ème1)'!NF8:NH8,"A"))*4)+((COUNTIF('Elève (5ème1)'!NF8:NH8,"B"))*3)+((COUNTIF('Elève (5ème1)'!NF8:NH8,"C"))*2)+((COUNTIF('Elève (5ème1)'!NF8:NH8,"D"))*1))/(COUNTA(NF8:NH8)),"")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(5ème1)'!NM8:NO8,"A"))*4)+((COUNTIF('Elève (5ème1)'!NM8:NO8,"B"))*3)+((COUNTIF('Elève (5ème1)'!NM8:NO8,"C"))*2)+((COUNTIF('Elève (5ème1)'!NM8:NO8,"D"))*1))/(COUNTA(NM8:NO8)),"")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(5ème1)'!NR8:NT8,"A"))*4)+((COUNTIF('Elève (5ème1)'!NR8:NT8,"B"))*3)+((COUNTIF('Elève (5ème1)'!NR8:NT8,"C"))*2)+((COUNTIF('Elève (5ème1)'!NR8:NT8,"D"))*1))/(COUNTA(NR8:NT8)),"")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(5ème1)'!NW8:NY8,"A"))*4)+((COUNTIF('Elève (5ème1)'!NW8:NY8,"B"))*3)+((COUNTIF('Elève (5ème1)'!NW8:NY8,"C"))*2)+((COUNTIF('Elève (5ème1)'!NW8:NY8,"D"))*1))/(COUNTA(NW8:NY8)),"")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(5ème1)'!OD8:OF8,"A"))*4)+((COUNTIF('Elève (5ème1)'!OD8:OF8,"B"))*3)+((COUNTIF('Elève (5ème1)'!OD8:OF8,"C"))*2)+((COUNTIF('Elève (5ème1)'!OD8:OF8,"D"))*1))/(COUNTA(OD8:OF8)),"")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(5ème1)'!OI8:OK8,"A"))*4)+((COUNTIF('Elève (5ème1)'!OI8:OK8,"B"))*3)+((COUNTIF('Elève (5ème1)'!OI8:OK8,"C"))*2)+((COUNTIF('Elève (5ème1)'!OI8:OK8,"D"))*1))/(COUNTA(OI8:OK8)),"")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(5ème1)'!ON8:OP8,"A"))*4)+((COUNTIF('Elève (5ème1)'!ON8:OP8,"B"))*3)+((COUNTIF('Elève (5ème1)'!ON8:OP8,"C"))*2)+((COUNTIF('Elève (5ème1)'!ON8:OP8,"D"))*1))/(COUNTA(ON8:OP8)),"")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(5ème1)'!OU8:OW8,"A"))*4)+((COUNTIF('Elève (5ème1)'!OU8:OW8,"B"))*3)+((COUNTIF('Elève (5ème1)'!OU8:OW8,"C"))*2)+((COUNTIF('Elève (5ème1)'!OU8:OW8,"D"))*1))/(COUNTA(OU8:OW8)),"")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(5ème1)'!OZ8:PB8,"A"))*4)+((COUNTIF('Elève (5ème1)'!OZ8:PB8,"B"))*3)+((COUNTIF('Elève (5ème1)'!OZ8:PB8,"C"))*2)+((COUNTIF('Elève (5ème1)'!OZ8:PB8,"D"))*1))/(COUNTA(OZ8:PB8)),"")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(5ème1)'!PE8:PG8,"A"))*4)+((COUNTIF('Elève (5ème1)'!PE8:PG8,"B"))*3)+((COUNTIF('Elève (5ème1)'!PE8:PG8,"C"))*2)+((COUNTIF('Elève (5ème1)'!PE8:PG8,"D"))*1))/(COUNTA(PE8:PG8)),"")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(5ème1)'!PL8:PN8,"A"))*4)+((COUNTIF('Elève (5ème1)'!PL8:PN8,"B"))*3)+((COUNTIF('Elève (5ème1)'!PL8:PN8,"C"))*2)+((COUNTIF('Elève (5ème1)'!PL8:PN8,"D"))*1))/(COUNTA(PL8:PN8)),"")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(5ème1)'!PQ8:PS8,"A"))*4)+((COUNTIF('Elève (5ème1)'!PQ8:PS8,"B"))*3)+((COUNTIF('Elève (5ème1)'!PQ8:PS8,"C"))*2)+((COUNTIF('Elève (5ème1)'!PQ8:PS8,"D"))*1))/(COUNTA(PQ8:PS8)),"")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(5ème1)'!PV8:PX8,"A"))*4)+((COUNTIF('Elève (5ème1)'!PV8:PX8,"B"))*3)+((COUNTIF('Elève (5ème1)'!PV8:PX8,"C"))*2)+((COUNTIF('Elève (5ème1)'!PV8:PX8,"D"))*1))/(COUNTA(PV8:PX8)),"")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(5ème1)'!QC8:QE8,"A"))*4)+((COUNTIF('Elève (5ème1)'!QC8:QE8,"B"))*3)+((COUNTIF('Elève (5ème1)'!QC8:QE8,"C"))*2)+((COUNTIF('Elève (5ème1)'!QC8:QE8,"D"))*1))/(COUNTA(QC8:QE8)),"")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(5ème1)'!QH8:QJ8,"A"))*4)+((COUNTIF('Elève (5ème1)'!QH8:QJ8,"B"))*3)+((COUNTIF('Elève (5ème1)'!QH8:QJ8,"C"))*2)+((COUNTIF('Elève (5ème1)'!QH8:QJ8,"D"))*1))/(COUNTA(QH8:QJ8)),"")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(5ème1)'!QM8:QO8,"A"))*4)+((COUNTIF('Elève (5ème1)'!QM8:QO8,"B"))*3)+((COUNTIF('Elève (5ème1)'!QM8:QO8,"C"))*2)+((COUNTIF('Elève (5ème1)'!QM8:QO8,"D"))*1))/(COUNTA(QM8:QO8)),"")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(5ème1)'!QT8:QV8,"A"))*4)+((COUNTIF('Elève (5ème1)'!QT8:QV8,"B"))*3)+((COUNTIF('Elève (5ème1)'!QT8:QV8,"C"))*2)+((COUNTIF('Elève (5ème1)'!QT8:QV8,"D"))*1))/(COUNTA(QT8:QV8)),"")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(5ème1)'!QY8:RA8,"A"))*4)+((COUNTIF('Elève (5ème1)'!QY8:RA8,"B"))*3)+((COUNTIF('Elève (5ème1)'!QY8:RA8,"C"))*2)+((COUNTIF('Elève (5ème1)'!QY8:RA8,"D"))*1))/(COUNTA(QY8:RA8)),"")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(5ème1)'!RD8:RF8,"A"))*4)+((COUNTIF('Elève (5ème1)'!RD8:RF8,"B"))*3)+((COUNTIF('Elève (5ème1)'!RD8:RF8,"C"))*2)+((COUNTIF('Elève (5ème1)'!RD8:RF8,"D"))*1))/(COUNTA(RD8:RF8)),"")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(5ème1)'!RK8:RM8,"A"))*4)+((COUNTIF('Elève (5ème1)'!RK8:RM8,"B"))*3)+((COUNTIF('Elève (5ème1)'!RK8:RM8,"C"))*2)+((COUNTIF('Elève (5ème1)'!RK8:RM8,"D"))*1))/(COUNTA(RK8:RM8)),"")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(5ème1)'!RP8:RR8,"A"))*4)+((COUNTIF('Elève (5ème1)'!RP8:RR8,"B"))*3)+((COUNTIF('Elève (5ème1)'!RP8:RR8,"C"))*2)+((COUNTIF('Elève (5ème1)'!RP8:RR8,"D"))*1))/(COUNTA(RP8:RR8)),"")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(5ème1)'!RU8:RW8,"A"))*4)+((COUNTIF('Elève (5ème1)'!RU8:RW8,"B"))*3)+((COUNTIF('Elève (5ème1)'!RU8:RW8,"C"))*2)+((COUNTIF('Elève (5ème1)'!RU8:RW8,"D"))*1))/(COUNTA(RU8:RW8)),"")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(5ème1)'!SB8:SD8,"A"))*4)+((COUNTIF('Elève (5ème1)'!SB8:SD8,"B"))*3)+((COUNTIF('Elève (5ème1)'!SB8:SD8,"C"))*2)+((COUNTIF('Elève (5ème1)'!SB8:SD8,"D"))*1))/(COUNTA(SB8:SD8)),"")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(5ème1)'!SG8:SI8,"A"))*4)+((COUNTIF('Elève (5ème1)'!SG8:SI8,"B"))*3)+((COUNTIF('Elève (5ème1)'!SG8:SI8,"C"))*2)+((COUNTIF('Elève (5ème1)'!SG8:SI8,"D"))*1))/(COUNTA(SG8:SI8)),"")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(5ème1)'!SL8:SN8,"A"))*4)+((COUNTIF('Elève (5ème1)'!SL8:SN8,"B"))*3)+((COUNTIF('Elève (5ème1)'!SL8:SN8,"C"))*2)+((COUNTIF('Elève (5ème1)'!SL8:SN8,"D"))*1))/(COUNTA(SL8:SN8)),"")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25" t="s">
        <v>16</v>
      </c>
      <c r="B9" s="226"/>
      <c r="C9" s="159"/>
      <c r="D9" s="160"/>
      <c r="E9" s="161"/>
      <c r="F9" s="112" t="str">
        <f>IFERROR((((COUNTIF('Elève (5ème1)'!C9:E9,"A"))*4)+((COUNTIF('Elève (5ème1)'!C9:E9,"B"))*3)+((COUNTIF('Elève (5ème1)'!C9:E9,"C"))*2)+((COUNTIF('Elève (5ème1)'!C9:E9,"D"))*1))/(COUNTA(C9:E9)),"")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(5ème1)'!H9:J9,"A"))*4)+((COUNTIF('Elève (5ème1)'!H9:J9,"B"))*3)+((COUNTIF('Elève (5ème1)'!H9:J9,"C"))*2)+((COUNTIF('Elève (5ème1)'!H9:J9,"D"))*1))/(COUNTA(H9:J9)),"")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(5ème1)'!M9:O9,"A"))*4)+((COUNTIF('Elève (5ème1)'!M9:O9,"B"))*3)+((COUNTIF('Elève (5ème1)'!M9:O9,"C"))*2)+((COUNTIF('Elève (5ème1)'!M9:O9,"D"))*1))/(COUNTA(M9:O9)),"")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(5ème1)'!T9:V9,"A"))*4)+((COUNTIF('Elève (5ème1)'!T9:V9,"B"))*3)+((COUNTIF('Elève (5ème1)'!T9:V9,"C"))*2)+((COUNTIF('Elève (5ème1)'!T9:V9,"D"))*1))/(COUNTA(T9:V9)),"")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(5ème1)'!Y9:AA9,"A"))*4)+((COUNTIF('Elève (5ème1)'!Y9:AA9,"B"))*3)+((COUNTIF('Elève (5ème1)'!Y9:AA9,"C"))*2)+((COUNTIF('Elève (5ème1)'!Y9:AA9,"D"))*1))/(COUNTA(Y9:AA9)),"")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(5ème1)'!AD9:AF9,"A"))*4)+((COUNTIF('Elève (5ème1)'!AD9:AF9,"B"))*3)+((COUNTIF('Elève (5ème1)'!AD9:AF9,"C"))*2)+((COUNTIF('Elève (5ème1)'!AD9:AF9,"D"))*1))/(COUNTA(AD9:AF9)),"")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(5ème1)'!AK9:AM9,"A"))*4)+((COUNTIF('Elève (5ème1)'!AK9:AM9,"B"))*3)+((COUNTIF('Elève (5ème1)'!AK9:AM9,"C"))*2)+((COUNTIF('Elève (5ème1)'!AK9:AM9,"D"))*1))/(COUNTA(AK9:AM9)),"")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(5ème1)'!AP9:AR9,"A"))*4)+((COUNTIF('Elève (5ème1)'!AP9:AR9,"B"))*3)+((COUNTIF('Elève (5ème1)'!AP9:AR9,"C"))*2)+((COUNTIF('Elève (5ème1)'!AP9:AR9,"D"))*1))/(COUNTA(AP9:AR9)),"")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(5ème1)'!AU9:AW9,"A"))*4)+((COUNTIF('Elève (5ème1)'!AU9:AW9,"B"))*3)+((COUNTIF('Elève (5ème1)'!AU9:AW9,"C"))*2)+((COUNTIF('Elève (5ème1)'!AU9:AW9,"D"))*1))/(COUNTA(AU9:AW9)),"")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(5ème1)'!BB9:BD9,"A"))*4)+((COUNTIF('Elève (5ème1)'!BB9:BD9,"B"))*3)+((COUNTIF('Elève (5ème1)'!BB9:BD9,"C"))*2)+((COUNTIF('Elève (5ème1)'!BB9:BD9,"D"))*1))/(COUNTA(BB9:BD9)),"")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(5ème1)'!BG9:BI9,"A"))*4)+((COUNTIF('Elève (5ème1)'!BG9:BI9,"B"))*3)+((COUNTIF('Elève (5ème1)'!BG9:BI9,"C"))*2)+((COUNTIF('Elève (5ème1)'!BG9:BI9,"D"))*1))/(COUNTA(BG9:BI9)),"")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(5ème1)'!BL9:BN9,"A"))*4)+((COUNTIF('Elève (5ème1)'!BL9:BN9,"B"))*3)+((COUNTIF('Elève (5ème1)'!BL9:BN9,"C"))*2)+((COUNTIF('Elève (5ème1)'!BL9:BN9,"D"))*1))/(COUNTA(BL9:BN9)),"")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(5ème1)'!BS9:BU9,"A"))*4)+((COUNTIF('Elève (5ème1)'!BS9:BU9,"B"))*3)+((COUNTIF('Elève (5ème1)'!BS9:BU9,"C"))*2)+((COUNTIF('Elève (5ème1)'!BS9:BU9,"D"))*1))/(COUNTA(BS9:BU9)),"")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(5ème1)'!BX9:BZ9,"A"))*4)+((COUNTIF('Elève (5ème1)'!BX9:BZ9,"B"))*3)+((COUNTIF('Elève (5ème1)'!BX9:BZ9,"C"))*2)+((COUNTIF('Elève (5ème1)'!BX9:BZ9,"D"))*1))/(COUNTA(BX9:BZ9)),"")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(5ème1)'!CC9:CE9,"A"))*4)+((COUNTIF('Elève (5ème1)'!CC9:CE9,"B"))*3)+((COUNTIF('Elève (5ème1)'!CC9:CE9,"C"))*2)+((COUNTIF('Elève (5ème1)'!CC9:CE9,"D"))*1))/(COUNTA(CC9:CE9)),"")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(5ème1)'!CJ9:CL9,"A"))*4)+((COUNTIF('Elève (5ème1)'!CJ9:CL9,"B"))*3)+((COUNTIF('Elève (5ème1)'!CJ9:CL9,"C"))*2)+((COUNTIF('Elève (5ème1)'!CJ9:CL9,"D"))*1))/(COUNTA(CJ9:CL9)),"")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(5ème1)'!CO9:CQ9,"A"))*4)+((COUNTIF('Elève (5ème1)'!CO9:CQ9,"B"))*3)+((COUNTIF('Elève (5ème1)'!CO9:CQ9,"C"))*2)+((COUNTIF('Elève (5ème1)'!CO9:CQ9,"D"))*1))/(COUNTA(CO9:CQ9)),"")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(5ème1)'!CT9:CV9,"A"))*4)+((COUNTIF('Elève (5ème1)'!CT9:CV9,"B"))*3)+((COUNTIF('Elève (5ème1)'!CT9:CV9,"C"))*2)+((COUNTIF('Elève (5ème1)'!CT9:CV9,"D"))*1))/(COUNTA(CT9:CV9)),"")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(5ème1)'!DA9:DC9,"A"))*4)+((COUNTIF('Elève (5ème1)'!DA9:DC9,"B"))*3)+((COUNTIF('Elève (5ème1)'!DA9:DC9,"C"))*2)+((COUNTIF('Elève (5ème1)'!DA9:DC9,"D"))*1))/(COUNTA(DA9:DC9)),"")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(5ème1)'!DF9:DH9,"A"))*4)+((COUNTIF('Elève (5ème1)'!DF9:DH9,"B"))*3)+((COUNTIF('Elève (5ème1)'!DF9:DH9,"C"))*2)+((COUNTIF('Elève (5ème1)'!DF9:DH9,"D"))*1))/(COUNTA(DF9:DH9)),"")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(5ème1)'!DK9:DM9,"A"))*4)+((COUNTIF('Elève (5ème1)'!DK9:DM9,"B"))*3)+((COUNTIF('Elève (5ème1)'!DK9:DM9,"C"))*2)+((COUNTIF('Elève (5ème1)'!DK9:DM9,"D"))*1))/(COUNTA(DK9:DM9)),"")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(5ème1)'!DR9:DT9,"A"))*4)+((COUNTIF('Elève (5ème1)'!DR9:DT9,"B"))*3)+((COUNTIF('Elève (5ème1)'!DR9:DT9,"C"))*2)+((COUNTIF('Elève (5ème1)'!DR9:DT9,"D"))*1))/(COUNTA(DR9:DT9)),"")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(5ème1)'!DW9:DY9,"A"))*4)+((COUNTIF('Elève (5ème1)'!DW9:DY9,"B"))*3)+((COUNTIF('Elève (5ème1)'!DW9:DY9,"C"))*2)+((COUNTIF('Elève (5ème1)'!DW9:DY9,"D"))*1))/(COUNTA(DW9:DY9)),"")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(5ème1)'!EB9:ED9,"A"))*4)+((COUNTIF('Elève (5ème1)'!EB9:ED9,"B"))*3)+((COUNTIF('Elève (5ème1)'!EB9:ED9,"C"))*2)+((COUNTIF('Elève (5ème1)'!EB9:ED9,"D"))*1))/(COUNTA(EB9:ED9)),"")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(5ème1)'!EI9:EK9,"A"))*4)+((COUNTIF('Elève (5ème1)'!EI9:EK9,"B"))*3)+((COUNTIF('Elève (5ème1)'!EI9:EK9,"C"))*2)+((COUNTIF('Elève (5ème1)'!EI9:EK9,"D"))*1))/(COUNTA(EI9:EK9)),"")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(5ème1)'!EN9:EP9,"A"))*4)+((COUNTIF('Elève (5ème1)'!EN9:EP9,"B"))*3)+((COUNTIF('Elève (5ème1)'!EN9:EP9,"C"))*2)+((COUNTIF('Elève (5ème1)'!EN9:EP9,"D"))*1))/(COUNTA(EN9:EP9)),"")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(5ème1)'!ES9:EU9,"A"))*4)+((COUNTIF('Elève (5ème1)'!ES9:EU9,"B"))*3)+((COUNTIF('Elève (5ème1)'!ES9:EU9,"C"))*2)+((COUNTIF('Elève (5ème1)'!ES9:EU9,"D"))*1))/(COUNTA(ES9:EU9)),"")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(5ème1)'!EZ9:FB9,"A"))*4)+((COUNTIF('Elève (5ème1)'!EZ9:FB9,"B"))*3)+((COUNTIF('Elève (5ème1)'!EZ9:FB9,"C"))*2)+((COUNTIF('Elève (5ème1)'!EZ9:FB9,"D"))*1))/(COUNTA(EZ9:FB9)),"")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(5ème1)'!FE9:FG9,"A"))*4)+((COUNTIF('Elève (5ème1)'!FE9:FG9,"B"))*3)+((COUNTIF('Elève (5ème1)'!FE9:FG9,"C"))*2)+((COUNTIF('Elève (5ème1)'!FE9:FG9,"D"))*1))/(COUNTA(FE9:FG9)),"")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(5ème1)'!FJ9:FL9,"A"))*4)+((COUNTIF('Elève (5ème1)'!FJ9:FL9,"B"))*3)+((COUNTIF('Elève (5ème1)'!FJ9:FL9,"C"))*2)+((COUNTIF('Elève (5ème1)'!FJ9:FL9,"D"))*1))/(COUNTA(FJ9:FL9)),"")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(5ème1)'!FQ9:FS9,"A"))*4)+((COUNTIF('Elève (5ème1)'!FQ9:FS9,"B"))*3)+((COUNTIF('Elève (5ème1)'!FQ9:FS9,"C"))*2)+((COUNTIF('Elève (5ème1)'!FQ9:FS9,"D"))*1))/(COUNTA(FQ9:FS9)),"")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(5ème1)'!FV9:FX9,"A"))*4)+((COUNTIF('Elève (5ème1)'!FV9:FX9,"B"))*3)+((COUNTIF('Elève (5ème1)'!FV9:FX9,"C"))*2)+((COUNTIF('Elève (5ème1)'!FV9:FX9,"D"))*1))/(COUNTA(FV9:FX9)),"")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(5ème1)'!GA9:GC9,"A"))*4)+((COUNTIF('Elève (5ème1)'!GA9:GC9,"B"))*3)+((COUNTIF('Elève (5ème1)'!GA9:GC9,"C"))*2)+((COUNTIF('Elève (5ème1)'!GA9:GC9,"D"))*1))/(COUNTA(GA9:GC9)),"")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(5ème1)'!GH9:GJ9,"A"))*4)+((COUNTIF('Elève (5ème1)'!GH9:GJ9,"B"))*3)+((COUNTIF('Elève (5ème1)'!GH9:GJ9,"C"))*2)+((COUNTIF('Elève (5ème1)'!GH9:GJ9,"D"))*1))/(COUNTA(GH9:GJ9)),"")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(5ème1)'!GM9:GO9,"A"))*4)+((COUNTIF('Elève (5ème1)'!GM9:GO9,"B"))*3)+((COUNTIF('Elève (5ème1)'!GM9:GO9,"C"))*2)+((COUNTIF('Elève (5ème1)'!GM9:GO9,"D"))*1))/(COUNTA(GM9:GO9)),"")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(5ème1)'!GR9:GT9,"A"))*4)+((COUNTIF('Elève (5ème1)'!GR9:GT9,"B"))*3)+((COUNTIF('Elève (5ème1)'!GR9:GT9,"C"))*2)+((COUNTIF('Elève (5ème1)'!GR9:GT9,"D"))*1))/(COUNTA(GR9:GT9)),"")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(5ème1)'!GY9:HA9,"A"))*4)+((COUNTIF('Elève (5ème1)'!GY9:HA9,"B"))*3)+((COUNTIF('Elève (5ème1)'!GY9:HA9,"C"))*2)+((COUNTIF('Elève (5ème1)'!GY9:HA9,"D"))*1))/(COUNTA(GY9:HA9)),"")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(5ème1)'!HD9:HF9,"A"))*4)+((COUNTIF('Elève (5ème1)'!HD9:HF9,"B"))*3)+((COUNTIF('Elève (5ème1)'!HD9:HF9,"C"))*2)+((COUNTIF('Elève (5ème1)'!HD9:HF9,"D"))*1))/(COUNTA(HD9:HF9)),"")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(5ème1)'!HI9:HK9,"A"))*4)+((COUNTIF('Elève (5ème1)'!HI9:HK9,"B"))*3)+((COUNTIF('Elève (5ème1)'!HI9:HK9,"C"))*2)+((COUNTIF('Elève (5ème1)'!HI9:HK9,"D"))*1))/(COUNTA(HI9:HK9)),"")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(5ème1)'!HP9:HR9,"A"))*4)+((COUNTIF('Elève (5ème1)'!HP9:HR9,"B"))*3)+((COUNTIF('Elève (5ème1)'!HP9:HR9,"C"))*2)+((COUNTIF('Elève (5ème1)'!HP9:HR9,"D"))*1))/(COUNTA(HP9:HR9)),"")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(5ème1)'!HU9:HW9,"A"))*4)+((COUNTIF('Elève (5ème1)'!HU9:HW9,"B"))*3)+((COUNTIF('Elève (5ème1)'!HU9:HW9,"C"))*2)+((COUNTIF('Elève (5ème1)'!HU9:HW9,"D"))*1))/(COUNTA(HU9:HW9)),"")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(5ème1)'!HZ9:IB9,"A"))*4)+((COUNTIF('Elève (5ème1)'!HZ9:IB9,"B"))*3)+((COUNTIF('Elève (5ème1)'!HZ9:IB9,"C"))*2)+((COUNTIF('Elève (5ème1)'!HZ9:IB9,"D"))*1))/(COUNTA(HZ9:IB9)),"")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(5ème1)'!IG9:II9,"A"))*4)+((COUNTIF('Elève (5ème1)'!IG9:II9,"B"))*3)+((COUNTIF('Elève (5ème1)'!IG9:II9,"C"))*2)+((COUNTIF('Elève (5ème1)'!IG9:II9,"D"))*1))/(COUNTA(IG9:II9)),"")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(5ème1)'!IL9:IN9,"A"))*4)+((COUNTIF('Elève (5ème1)'!IL9:IN9,"B"))*3)+((COUNTIF('Elève (5ème1)'!IL9:IN9,"C"))*2)+((COUNTIF('Elève (5ème1)'!IL9:IN9,"D"))*1))/(COUNTA(IL9:IN9)),"")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(5ème1)'!IQ9:IS9,"A"))*4)+((COUNTIF('Elève (5ème1)'!IQ9:IS9,"B"))*3)+((COUNTIF('Elève (5ème1)'!IQ9:IS9,"C"))*2)+((COUNTIF('Elève (5ème1)'!IQ9:IS9,"D"))*1))/(COUNTA(IQ9:IS9)),"")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(5ème1)'!IX9:IZ9,"A"))*4)+((COUNTIF('Elève (5ème1)'!IX9:IZ9,"B"))*3)+((COUNTIF('Elève (5ème1)'!IX9:IZ9,"C"))*2)+((COUNTIF('Elève (5ème1)'!IX9:IZ9,"D"))*1))/(COUNTA(IX9:IZ9)),"")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(5ème1)'!JC9:JE9,"A"))*4)+((COUNTIF('Elève (5ème1)'!JC9:JE9,"B"))*3)+((COUNTIF('Elève (5ème1)'!JC9:JE9,"C"))*2)+((COUNTIF('Elève (5ème1)'!JC9:JE9,"D"))*1))/(COUNTA(JC9:JE9)),"")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(5ème1)'!JH9:JJ9,"A"))*4)+((COUNTIF('Elève (5ème1)'!JH9:JJ9,"B"))*3)+((COUNTIF('Elève (5ème1)'!JH9:JJ9,"C"))*2)+((COUNTIF('Elève (5ème1)'!JH9:JJ9,"D"))*1))/(COUNTA(JH9:JJ9)),"")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(5ème1)'!JO9:JQ9,"A"))*4)+((COUNTIF('Elève (5ème1)'!JO9:JQ9,"B"))*3)+((COUNTIF('Elève (5ème1)'!JO9:JQ9,"C"))*2)+((COUNTIF('Elève (5ème1)'!JO9:JQ9,"D"))*1))/(COUNTA(JO9:JQ9)),"")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(5ème1)'!JT9:JV9,"A"))*4)+((COUNTIF('Elève (5ème1)'!JT9:JV9,"B"))*3)+((COUNTIF('Elève (5ème1)'!JT9:JV9,"C"))*2)+((COUNTIF('Elève (5ème1)'!JT9:JV9,"D"))*1))/(COUNTA(JT9:JV9)),"")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(5ème1)'!JY9:KA9,"A"))*4)+((COUNTIF('Elève (5ème1)'!JY9:KA9,"B"))*3)+((COUNTIF('Elève (5ème1)'!JY9:KA9,"C"))*2)+((COUNTIF('Elève (5ème1)'!JY9:KA9,"D"))*1))/(COUNTA(JY9:KA9)),"")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(5ème1)'!KF9:KH9,"A"))*4)+((COUNTIF('Elève (5ème1)'!KF9:KH9,"B"))*3)+((COUNTIF('Elève (5ème1)'!KF9:KH9,"C"))*2)+((COUNTIF('Elève (5ème1)'!KF9:KH9,"D"))*1))/(COUNTA(KF9:KH9)),"")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(5ème1)'!KK9:KM9,"A"))*4)+((COUNTIF('Elève (5ème1)'!KK9:KM9,"B"))*3)+((COUNTIF('Elève (5ème1)'!KK9:KM9,"C"))*2)+((COUNTIF('Elève (5ème1)'!KK9:KM9,"D"))*1))/(COUNTA(KK9:KM9)),"")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(5ème1)'!KP9:KR9,"A"))*4)+((COUNTIF('Elève (5ème1)'!KP9:KR9,"B"))*3)+((COUNTIF('Elève (5ème1)'!KP9:KR9,"C"))*2)+((COUNTIF('Elève (5ème1)'!KP9:KR9,"D"))*1))/(COUNTA(KP9:KR9)),"")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(5ème1)'!KW9:KY9,"A"))*4)+((COUNTIF('Elève (5ème1)'!KW9:KY9,"B"))*3)+((COUNTIF('Elève (5ème1)'!KW9:KY9,"C"))*2)+((COUNTIF('Elève (5ème1)'!KW9:KY9,"D"))*1))/(COUNTA(KW9:KY9)),"")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(5ème1)'!LB9:LD9,"A"))*4)+((COUNTIF('Elève (5ème1)'!LB9:LD9,"B"))*3)+((COUNTIF('Elève (5ème1)'!LB9:LD9,"C"))*2)+((COUNTIF('Elève (5ème1)'!LB9:LD9,"D"))*1))/(COUNTA(LB9:LD9)),"")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(5ème1)'!LG9:LI9,"A"))*4)+((COUNTIF('Elève (5ème1)'!LG9:LI9,"B"))*3)+((COUNTIF('Elève (5ème1)'!LG9:LI9,"C"))*2)+((COUNTIF('Elève (5ème1)'!LG9:LI9,"D"))*1))/(COUNTA(LG9:LI9)),"")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(5ème1)'!LN9:LP9,"A"))*4)+((COUNTIF('Elève (5ème1)'!LN9:LP9,"B"))*3)+((COUNTIF('Elève (5ème1)'!LN9:LP9,"C"))*2)+((COUNTIF('Elève (5ème1)'!LN9:LP9,"D"))*1))/(COUNTA(LN9:LP9)),"")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(5ème1)'!LS9:LU9,"A"))*4)+((COUNTIF('Elève (5ème1)'!LS9:LU9,"B"))*3)+((COUNTIF('Elève (5ème1)'!LS9:LU9,"C"))*2)+((COUNTIF('Elève (5ème1)'!LS9:LU9,"D"))*1))/(COUNTA(LS9:LU9)),"")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(5ème1)'!LX9:LZ9,"A"))*4)+((COUNTIF('Elève (5ème1)'!LX9:LZ9,"B"))*3)+((COUNTIF('Elève (5ème1)'!LX9:LZ9,"C"))*2)+((COUNTIF('Elève (5ème1)'!LX9:LZ9,"D"))*1))/(COUNTA(LX9:LZ9)),"")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(5ème1)'!ME9:MG9,"A"))*4)+((COUNTIF('Elève (5ème1)'!ME9:MG9,"B"))*3)+((COUNTIF('Elève (5ème1)'!ME9:MG9,"C"))*2)+((COUNTIF('Elève (5ème1)'!ME9:MG9,"D"))*1))/(COUNTA(ME9:MG9)),"")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(5ème1)'!MJ9:ML9,"A"))*4)+((COUNTIF('Elève (5ème1)'!MJ9:ML9,"B"))*3)+((COUNTIF('Elève (5ème1)'!MJ9:ML9,"C"))*2)+((COUNTIF('Elève (5ème1)'!MJ9:ML9,"D"))*1))/(COUNTA(MJ9:ML9)),"")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(5ème1)'!MO9:MQ9,"A"))*4)+((COUNTIF('Elève (5ème1)'!MO9:MQ9,"B"))*3)+((COUNTIF('Elève (5ème1)'!MO9:MQ9,"C"))*2)+((COUNTIF('Elève (5ème1)'!MO9:MQ9,"D"))*1))/(COUNTA(MO9:MQ9)),"")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(5ème1)'!MV9:MX9,"A"))*4)+((COUNTIF('Elève (5ème1)'!MV9:MX9,"B"))*3)+((COUNTIF('Elève (5ème1)'!MV9:MX9,"C"))*2)+((COUNTIF('Elève (5ème1)'!MV9:MX9,"D"))*1))/(COUNTA(MV9:MX9)),"")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(5ème1)'!NA9:NC9,"A"))*4)+((COUNTIF('Elève (5ème1)'!NA9:NC9,"B"))*3)+((COUNTIF('Elève (5ème1)'!NA9:NC9,"C"))*2)+((COUNTIF('Elève (5ème1)'!NA9:NC9,"D"))*1))/(COUNTA(NA9:NC9)),"")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(5ème1)'!NF9:NH9,"A"))*4)+((COUNTIF('Elève (5ème1)'!NF9:NH9,"B"))*3)+((COUNTIF('Elève (5ème1)'!NF9:NH9,"C"))*2)+((COUNTIF('Elève (5ème1)'!NF9:NH9,"D"))*1))/(COUNTA(NF9:NH9)),"")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(5ème1)'!NM9:NO9,"A"))*4)+((COUNTIF('Elève (5ème1)'!NM9:NO9,"B"))*3)+((COUNTIF('Elève (5ème1)'!NM9:NO9,"C"))*2)+((COUNTIF('Elève (5ème1)'!NM9:NO9,"D"))*1))/(COUNTA(NM9:NO9)),"")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(5ème1)'!NR9:NT9,"A"))*4)+((COUNTIF('Elève (5ème1)'!NR9:NT9,"B"))*3)+((COUNTIF('Elève (5ème1)'!NR9:NT9,"C"))*2)+((COUNTIF('Elève (5ème1)'!NR9:NT9,"D"))*1))/(COUNTA(NR9:NT9)),"")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(5ème1)'!NW9:NY9,"A"))*4)+((COUNTIF('Elève (5ème1)'!NW9:NY9,"B"))*3)+((COUNTIF('Elève (5ème1)'!NW9:NY9,"C"))*2)+((COUNTIF('Elève (5ème1)'!NW9:NY9,"D"))*1))/(COUNTA(NW9:NY9)),"")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(5ème1)'!OD9:OF9,"A"))*4)+((COUNTIF('Elève (5ème1)'!OD9:OF9,"B"))*3)+((COUNTIF('Elève (5ème1)'!OD9:OF9,"C"))*2)+((COUNTIF('Elève (5ème1)'!OD9:OF9,"D"))*1))/(COUNTA(OD9:OF9)),"")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(5ème1)'!OI9:OK9,"A"))*4)+((COUNTIF('Elève (5ème1)'!OI9:OK9,"B"))*3)+((COUNTIF('Elève (5ème1)'!OI9:OK9,"C"))*2)+((COUNTIF('Elève (5ème1)'!OI9:OK9,"D"))*1))/(COUNTA(OI9:OK9)),"")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(5ème1)'!ON9:OP9,"A"))*4)+((COUNTIF('Elève (5ème1)'!ON9:OP9,"B"))*3)+((COUNTIF('Elève (5ème1)'!ON9:OP9,"C"))*2)+((COUNTIF('Elève (5ème1)'!ON9:OP9,"D"))*1))/(COUNTA(ON9:OP9)),"")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(5ème1)'!OU9:OW9,"A"))*4)+((COUNTIF('Elève (5ème1)'!OU9:OW9,"B"))*3)+((COUNTIF('Elève (5ème1)'!OU9:OW9,"C"))*2)+((COUNTIF('Elève (5ème1)'!OU9:OW9,"D"))*1))/(COUNTA(OU9:OW9)),"")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(5ème1)'!OZ9:PB9,"A"))*4)+((COUNTIF('Elève (5ème1)'!OZ9:PB9,"B"))*3)+((COUNTIF('Elève (5ème1)'!OZ9:PB9,"C"))*2)+((COUNTIF('Elève (5ème1)'!OZ9:PB9,"D"))*1))/(COUNTA(OZ9:PB9)),"")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(5ème1)'!PE9:PG9,"A"))*4)+((COUNTIF('Elève (5ème1)'!PE9:PG9,"B"))*3)+((COUNTIF('Elève (5ème1)'!PE9:PG9,"C"))*2)+((COUNTIF('Elève (5ème1)'!PE9:PG9,"D"))*1))/(COUNTA(PE9:PG9)),"")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(5ème1)'!PL9:PN9,"A"))*4)+((COUNTIF('Elève (5ème1)'!PL9:PN9,"B"))*3)+((COUNTIF('Elève (5ème1)'!PL9:PN9,"C"))*2)+((COUNTIF('Elève (5ème1)'!PL9:PN9,"D"))*1))/(COUNTA(PL9:PN9)),"")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(5ème1)'!PQ9:PS9,"A"))*4)+((COUNTIF('Elève (5ème1)'!PQ9:PS9,"B"))*3)+((COUNTIF('Elève (5ème1)'!PQ9:PS9,"C"))*2)+((COUNTIF('Elève (5ème1)'!PQ9:PS9,"D"))*1))/(COUNTA(PQ9:PS9)),"")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(5ème1)'!PV9:PX9,"A"))*4)+((COUNTIF('Elève (5ème1)'!PV9:PX9,"B"))*3)+((COUNTIF('Elève (5ème1)'!PV9:PX9,"C"))*2)+((COUNTIF('Elève (5ème1)'!PV9:PX9,"D"))*1))/(COUNTA(PV9:PX9)),"")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(5ème1)'!QC9:QE9,"A"))*4)+((COUNTIF('Elève (5ème1)'!QC9:QE9,"B"))*3)+((COUNTIF('Elève (5ème1)'!QC9:QE9,"C"))*2)+((COUNTIF('Elève (5ème1)'!QC9:QE9,"D"))*1))/(COUNTA(QC9:QE9)),"")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(5ème1)'!QH9:QJ9,"A"))*4)+((COUNTIF('Elève (5ème1)'!QH9:QJ9,"B"))*3)+((COUNTIF('Elève (5ème1)'!QH9:QJ9,"C"))*2)+((COUNTIF('Elève (5ème1)'!QH9:QJ9,"D"))*1))/(COUNTA(QH9:QJ9)),"")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(5ème1)'!QM9:QO9,"A"))*4)+((COUNTIF('Elève (5ème1)'!QM9:QO9,"B"))*3)+((COUNTIF('Elève (5ème1)'!QM9:QO9,"C"))*2)+((COUNTIF('Elève (5ème1)'!QM9:QO9,"D"))*1))/(COUNTA(QM9:QO9)),"")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(5ème1)'!QT9:QV9,"A"))*4)+((COUNTIF('Elève (5ème1)'!QT9:QV9,"B"))*3)+((COUNTIF('Elève (5ème1)'!QT9:QV9,"C"))*2)+((COUNTIF('Elève (5ème1)'!QT9:QV9,"D"))*1))/(COUNTA(QT9:QV9)),"")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(5ème1)'!QY9:RA9,"A"))*4)+((COUNTIF('Elève (5ème1)'!QY9:RA9,"B"))*3)+((COUNTIF('Elève (5ème1)'!QY9:RA9,"C"))*2)+((COUNTIF('Elève (5ème1)'!QY9:RA9,"D"))*1))/(COUNTA(QY9:RA9)),"")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(5ème1)'!RD9:RF9,"A"))*4)+((COUNTIF('Elève (5ème1)'!RD9:RF9,"B"))*3)+((COUNTIF('Elève (5ème1)'!RD9:RF9,"C"))*2)+((COUNTIF('Elève (5ème1)'!RD9:RF9,"D"))*1))/(COUNTA(RD9:RF9)),"")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(5ème1)'!RK9:RM9,"A"))*4)+((COUNTIF('Elève (5ème1)'!RK9:RM9,"B"))*3)+((COUNTIF('Elève (5ème1)'!RK9:RM9,"C"))*2)+((COUNTIF('Elève (5ème1)'!RK9:RM9,"D"))*1))/(COUNTA(RK9:RM9)),"")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(5ème1)'!RP9:RR9,"A"))*4)+((COUNTIF('Elève (5ème1)'!RP9:RR9,"B"))*3)+((COUNTIF('Elève (5ème1)'!RP9:RR9,"C"))*2)+((COUNTIF('Elève (5ème1)'!RP9:RR9,"D"))*1))/(COUNTA(RP9:RR9)),"")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(5ème1)'!RU9:RW9,"A"))*4)+((COUNTIF('Elève (5ème1)'!RU9:RW9,"B"))*3)+((COUNTIF('Elève (5ème1)'!RU9:RW9,"C"))*2)+((COUNTIF('Elève (5ème1)'!RU9:RW9,"D"))*1))/(COUNTA(RU9:RW9)),"")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(5ème1)'!SB9:SD9,"A"))*4)+((COUNTIF('Elève (5ème1)'!SB9:SD9,"B"))*3)+((COUNTIF('Elève (5ème1)'!SB9:SD9,"C"))*2)+((COUNTIF('Elève (5ème1)'!SB9:SD9,"D"))*1))/(COUNTA(SB9:SD9)),"")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(5ème1)'!SG9:SI9,"A"))*4)+((COUNTIF('Elève (5ème1)'!SG9:SI9,"B"))*3)+((COUNTIF('Elève (5ème1)'!SG9:SI9,"C"))*2)+((COUNTIF('Elève (5ème1)'!SG9:SI9,"D"))*1))/(COUNTA(SG9:SI9)),"")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(5ème1)'!SL9:SN9,"A"))*4)+((COUNTIF('Elève (5ème1)'!SL9:SN9,"B"))*3)+((COUNTIF('Elève (5ème1)'!SL9:SN9,"C"))*2)+((COUNTIF('Elève (5ème1)'!SL9:SN9,"D"))*1))/(COUNTA(SL9:SN9)),"")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>
        <f>IFERROR((((COUNTIF('Elève (5ème1)'!C11:E12,"A"))*4)+((COUNTIF('Elève (5ème1)'!C11:E12,"B"))*3)+((COUNTIF('Elève (5ème1)'!C11:E12,"C"))*2)+((COUNTIF('Elève (5ème1)'!C11:E12,"D"))*1))/(COUNTA(C11:E12)),"")</f>
        <v>4</v>
      </c>
      <c r="G10" s="107" t="str">
        <f t="shared" si="0"/>
        <v>A</v>
      </c>
      <c r="H10" s="100"/>
      <c r="I10" s="187"/>
      <c r="J10" s="188"/>
      <c r="K10" s="106" t="str">
        <f>IFERROR((((COUNTIF('Elève (5ème1)'!H11:J12,"A"))*4)+((COUNTIF('Elève (5ème1)'!H11:J12,"B"))*3)+((COUNTIF('Elève (5ème1)'!H11:J12,"C"))*2)+((COUNTIF('Elève (5ème1)'!H11:J12,"D"))*1))/(COUNTA(H11:J12)),"")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(5ème1)'!M11:O12,"A"))*4)+((COUNTIF('Elève (5ème1)'!M11:O12,"B"))*3)+((COUNTIF('Elève (5ème1)'!M11:O12,"C"))*2)+((COUNTIF('Elève (5ème1)'!M11:O12,"D"))*1))/(COUNTA(M11:O12)),"")</f>
        <v/>
      </c>
      <c r="Q10" s="128" t="str">
        <f t="shared" si="2"/>
        <v/>
      </c>
      <c r="R10" s="177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>4</v>
      </c>
      <c r="S10" s="130" t="str">
        <f t="shared" si="3"/>
        <v>A</v>
      </c>
      <c r="T10" s="162"/>
      <c r="U10" s="189"/>
      <c r="V10" s="189"/>
      <c r="W10" s="106">
        <f>IFERROR((((COUNTIF('Elève (5ème1)'!T11:V12,"A"))*4)+((COUNTIF('Elève (5ème1)'!T11:V12,"B"))*3)+((COUNTIF('Elève (5ème1)'!T11:V12,"C"))*2)+((COUNTIF('Elève (5ème1)'!T11:V12,"D"))*1))/(COUNTA(T11:V12)),"")</f>
        <v>4</v>
      </c>
      <c r="X10" s="107" t="str">
        <f t="shared" si="4"/>
        <v>A</v>
      </c>
      <c r="Y10" s="100"/>
      <c r="Z10" s="187"/>
      <c r="AA10" s="188"/>
      <c r="AB10" s="106" t="str">
        <f>IFERROR((((COUNTIF('Elève (5ème1)'!Y11:AA12,"A"))*4)+((COUNTIF('Elève (5ème1)'!Y11:AA12,"B"))*3)+((COUNTIF('Elève (5ème1)'!Y11:AA12,"C"))*2)+((COUNTIF('Elève (5ème1)'!Y11:AA12,"D"))*1))/(COUNTA(Y11:AA12)),"")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(5ème1)'!AD11:AF12,"A"))*4)+((COUNTIF('Elève (5ème1)'!AD11:AF12,"B"))*3)+((COUNTIF('Elève (5ème1)'!AD11:AF12,"C"))*2)+((COUNTIF('Elève (5ème1)'!AD11:AF12,"D"))*1))/(COUNTA(AD11:AF12)),"")</f>
        <v/>
      </c>
      <c r="AH10" s="128" t="str">
        <f t="shared" si="6"/>
        <v/>
      </c>
      <c r="AI10" s="177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>4</v>
      </c>
      <c r="AJ10" s="130" t="str">
        <f t="shared" si="7"/>
        <v>A</v>
      </c>
      <c r="AK10" s="162"/>
      <c r="AL10" s="189"/>
      <c r="AM10" s="189"/>
      <c r="AN10" s="106">
        <f>IFERROR((((COUNTIF('Elève (5ème1)'!AK11:AM12,"A"))*4)+((COUNTIF('Elève (5ème1)'!AK11:AM12,"B"))*3)+((COUNTIF('Elève (5ème1)'!AK11:AM12,"C"))*2)+((COUNTIF('Elève (5ème1)'!AK11:AM12,"D"))*1))/(COUNTA(AK11:AM12)),"")</f>
        <v>2.5</v>
      </c>
      <c r="AO10" s="107" t="str">
        <f t="shared" si="8"/>
        <v>C</v>
      </c>
      <c r="AP10" s="100"/>
      <c r="AQ10" s="187"/>
      <c r="AR10" s="188"/>
      <c r="AS10" s="106" t="str">
        <f>IFERROR((((COUNTIF('Elève (5ème1)'!AP11:AR12,"A"))*4)+((COUNTIF('Elève (5ème1)'!AP11:AR12,"B"))*3)+((COUNTIF('Elève (5ème1)'!AP11:AR12,"C"))*2)+((COUNTIF('Elève (5ème1)'!AP11:AR12,"D"))*1))/(COUNTA(AP11:AR12)),"")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(5ème1)'!AU11:AW12,"A"))*4)+((COUNTIF('Elève (5ème1)'!AU11:AW12,"B"))*3)+((COUNTIF('Elève (5ème1)'!AU11:AW12,"C"))*2)+((COUNTIF('Elève (5ème1)'!AU11:AW12,"D"))*1))/(COUNTA(AU11:AW12)),"")</f>
        <v/>
      </c>
      <c r="AY10" s="128" t="str">
        <f t="shared" si="10"/>
        <v/>
      </c>
      <c r="AZ10" s="177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>2.5</v>
      </c>
      <c r="BA10" s="130" t="str">
        <f t="shared" si="11"/>
        <v>C</v>
      </c>
      <c r="BB10" s="162"/>
      <c r="BC10" s="189"/>
      <c r="BD10" s="189"/>
      <c r="BE10" s="106">
        <f>IFERROR((((COUNTIF('Elève (5ème1)'!BB11:BD12,"A"))*4)+((COUNTIF('Elève (5ème1)'!BB11:BD12,"B"))*3)+((COUNTIF('Elève (5ème1)'!BB11:BD12,"C"))*2)+((COUNTIF('Elève (5ème1)'!BB11:BD12,"D"))*1))/(COUNTA(BB11:BD12)),"")</f>
        <v>3</v>
      </c>
      <c r="BF10" s="107" t="str">
        <f t="shared" si="12"/>
        <v>B</v>
      </c>
      <c r="BG10" s="100"/>
      <c r="BH10" s="187"/>
      <c r="BI10" s="188"/>
      <c r="BJ10" s="106" t="str">
        <f>IFERROR((((COUNTIF('Elève (5ème1)'!BG11:BI12,"A"))*4)+((COUNTIF('Elève (5ème1)'!BG11:BI12,"B"))*3)+((COUNTIF('Elève (5ème1)'!BG11:BI12,"C"))*2)+((COUNTIF('Elève (5ème1)'!BG11:BI12,"D"))*1))/(COUNTA(BG11:BI12)),"")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(5ème1)'!BL11:BN12,"A"))*4)+((COUNTIF('Elève (5ème1)'!BL11:BN12,"B"))*3)+((COUNTIF('Elève (5ème1)'!BL11:BN12,"C"))*2)+((COUNTIF('Elève (5ème1)'!BL11:BN12,"D"))*1))/(COUNTA(BL11:BN12)),"")</f>
        <v/>
      </c>
      <c r="BP10" s="128" t="str">
        <f t="shared" si="14"/>
        <v/>
      </c>
      <c r="BQ10" s="177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>3</v>
      </c>
      <c r="BR10" s="130" t="str">
        <f t="shared" si="15"/>
        <v>B</v>
      </c>
      <c r="BS10" s="162"/>
      <c r="BT10" s="189"/>
      <c r="BU10" s="189"/>
      <c r="BV10" s="106">
        <f>IFERROR((((COUNTIF('Elève (5ème1)'!BS11:BU12,"A"))*4)+((COUNTIF('Elève (5ème1)'!BS11:BU12,"B"))*3)+((COUNTIF('Elève (5ème1)'!BS11:BU12,"C"))*2)+((COUNTIF('Elève (5ème1)'!BS11:BU12,"D"))*1))/(COUNTA(BS11:BU12)),"")</f>
        <v>3.5</v>
      </c>
      <c r="BW10" s="107" t="str">
        <f t="shared" si="16"/>
        <v>B</v>
      </c>
      <c r="BX10" s="100"/>
      <c r="BY10" s="187"/>
      <c r="BZ10" s="188"/>
      <c r="CA10" s="106" t="str">
        <f>IFERROR((((COUNTIF('Elève (5ème1)'!BX11:BZ12,"A"))*4)+((COUNTIF('Elève (5ème1)'!BX11:BZ12,"B"))*3)+((COUNTIF('Elève (5ème1)'!BX11:BZ12,"C"))*2)+((COUNTIF('Elève (5ème1)'!BX11:BZ12,"D"))*1))/(COUNTA(BX11:BZ12)),"")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(5ème1)'!CC11:CE12,"A"))*4)+((COUNTIF('Elève (5ème1)'!CC11:CE12,"B"))*3)+((COUNTIF('Elève (5ème1)'!CC11:CE12,"C"))*2)+((COUNTIF('Elève (5ème1)'!CC11:CE12,"D"))*1))/(COUNTA(CC11:CE12)),"")</f>
        <v/>
      </c>
      <c r="CG10" s="128" t="str">
        <f t="shared" si="18"/>
        <v/>
      </c>
      <c r="CH10" s="177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>3.5</v>
      </c>
      <c r="CI10" s="130" t="str">
        <f t="shared" si="19"/>
        <v>B</v>
      </c>
      <c r="CJ10" s="162"/>
      <c r="CK10" s="189"/>
      <c r="CL10" s="189"/>
      <c r="CM10" s="106">
        <f>IFERROR((((COUNTIF('Elève (5ème1)'!CJ11:CL12,"A"))*4)+((COUNTIF('Elève (5ème1)'!CJ11:CL12,"B"))*3)+((COUNTIF('Elève (5ème1)'!CJ11:CL12,"C"))*2)+((COUNTIF('Elève (5ème1)'!CJ11:CL12,"D"))*1))/(COUNTA(CJ11:CL12)),"")</f>
        <v>4</v>
      </c>
      <c r="CN10" s="107" t="str">
        <f t="shared" si="20"/>
        <v>A</v>
      </c>
      <c r="CO10" s="100"/>
      <c r="CP10" s="187"/>
      <c r="CQ10" s="188"/>
      <c r="CR10" s="106" t="str">
        <f>IFERROR((((COUNTIF('Elève (5ème1)'!CO11:CQ12,"A"))*4)+((COUNTIF('Elève (5ème1)'!CO11:CQ12,"B"))*3)+((COUNTIF('Elève (5ème1)'!CO11:CQ12,"C"))*2)+((COUNTIF('Elève (5ème1)'!CO11:CQ12,"D"))*1))/(COUNTA(CO11:CQ12)),"")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(5ème1)'!CT11:CV12,"A"))*4)+((COUNTIF('Elève (5ème1)'!CT11:CV12,"B"))*3)+((COUNTIF('Elève (5ème1)'!CT11:CV12,"C"))*2)+((COUNTIF('Elève (5ème1)'!CT11:CV12,"D"))*1))/(COUNTA(CT11:CV12)),"")</f>
        <v/>
      </c>
      <c r="CX10" s="128" t="str">
        <f t="shared" si="22"/>
        <v/>
      </c>
      <c r="CY10" s="177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>4</v>
      </c>
      <c r="CZ10" s="130" t="str">
        <f t="shared" si="23"/>
        <v>A</v>
      </c>
      <c r="DA10" s="162"/>
      <c r="DB10" s="189"/>
      <c r="DC10" s="189"/>
      <c r="DD10" s="106">
        <f>IFERROR((((COUNTIF('Elève (5ème1)'!DA11:DC12,"A"))*4)+((COUNTIF('Elève (5ème1)'!DA11:DC12,"B"))*3)+((COUNTIF('Elève (5ème1)'!DA11:DC12,"C"))*2)+((COUNTIF('Elève (5ème1)'!DA11:DC12,"D"))*1))/(COUNTA(DA11:DC12)),"")</f>
        <v>3.5</v>
      </c>
      <c r="DE10" s="107" t="str">
        <f t="shared" si="24"/>
        <v>B</v>
      </c>
      <c r="DF10" s="100"/>
      <c r="DG10" s="187"/>
      <c r="DH10" s="188"/>
      <c r="DI10" s="106" t="str">
        <f>IFERROR((((COUNTIF('Elève (5ème1)'!DF11:DH12,"A"))*4)+((COUNTIF('Elève (5ème1)'!DF11:DH12,"B"))*3)+((COUNTIF('Elève (5ème1)'!DF11:DH12,"C"))*2)+((COUNTIF('Elève (5ème1)'!DF11:DH12,"D"))*1))/(COUNTA(DF11:DH12)),"")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(5ème1)'!DK11:DM12,"A"))*4)+((COUNTIF('Elève (5ème1)'!DK11:DM12,"B"))*3)+((COUNTIF('Elève (5ème1)'!DK11:DM12,"C"))*2)+((COUNTIF('Elève (5ème1)'!DK11:DM12,"D"))*1))/(COUNTA(DK11:DM12)),"")</f>
        <v/>
      </c>
      <c r="DO10" s="128" t="str">
        <f t="shared" si="26"/>
        <v/>
      </c>
      <c r="DP10" s="177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>3.5</v>
      </c>
      <c r="DQ10" s="130" t="str">
        <f t="shared" si="27"/>
        <v>B</v>
      </c>
      <c r="DR10" s="162"/>
      <c r="DS10" s="189"/>
      <c r="DT10" s="189"/>
      <c r="DU10" s="106">
        <f>IFERROR((((COUNTIF('Elève (5ème1)'!DR11:DT12,"A"))*4)+((COUNTIF('Elève (5ème1)'!DR11:DT12,"B"))*3)+((COUNTIF('Elève (5ème1)'!DR11:DT12,"C"))*2)+((COUNTIF('Elève (5ème1)'!DR11:DT12,"D"))*1))/(COUNTA(DR11:DT12)),"")</f>
        <v>3.5</v>
      </c>
      <c r="DV10" s="107" t="str">
        <f t="shared" si="28"/>
        <v>B</v>
      </c>
      <c r="DW10" s="100"/>
      <c r="DX10" s="187"/>
      <c r="DY10" s="188"/>
      <c r="DZ10" s="106" t="str">
        <f>IFERROR((((COUNTIF('Elève (5ème1)'!DW11:DY12,"A"))*4)+((COUNTIF('Elève (5ème1)'!DW11:DY12,"B"))*3)+((COUNTIF('Elève (5ème1)'!DW11:DY12,"C"))*2)+((COUNTIF('Elève (5ème1)'!DW11:DY12,"D"))*1))/(COUNTA(DW11:DY12)),"")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(5ème1)'!EB11:ED12,"A"))*4)+((COUNTIF('Elève (5ème1)'!EB11:ED12,"B"))*3)+((COUNTIF('Elève (5ème1)'!EB11:ED12,"C"))*2)+((COUNTIF('Elève (5ème1)'!EB11:ED12,"D"))*1))/(COUNTA(EB11:ED12)),"")</f>
        <v/>
      </c>
      <c r="EF10" s="128" t="str">
        <f t="shared" si="30"/>
        <v/>
      </c>
      <c r="EG10" s="177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>3.5</v>
      </c>
      <c r="EH10" s="130" t="str">
        <f t="shared" si="31"/>
        <v>B</v>
      </c>
      <c r="EI10" s="162"/>
      <c r="EJ10" s="189"/>
      <c r="EK10" s="189"/>
      <c r="EL10" s="106">
        <f>IFERROR((((COUNTIF('Elève (5ème1)'!EI11:EK12,"A"))*4)+((COUNTIF('Elève (5ème1)'!EI11:EK12,"B"))*3)+((COUNTIF('Elève (5ème1)'!EI11:EK12,"C"))*2)+((COUNTIF('Elève (5ème1)'!EI11:EK12,"D"))*1))/(COUNTA(EI11:EK12)),"")</f>
        <v>3.5</v>
      </c>
      <c r="EM10" s="107" t="str">
        <f t="shared" si="32"/>
        <v>B</v>
      </c>
      <c r="EN10" s="100"/>
      <c r="EO10" s="187"/>
      <c r="EP10" s="188"/>
      <c r="EQ10" s="106" t="str">
        <f>IFERROR((((COUNTIF('Elève (5ème1)'!EN11:EP12,"A"))*4)+((COUNTIF('Elève (5ème1)'!EN11:EP12,"B"))*3)+((COUNTIF('Elève (5ème1)'!EN11:EP12,"C"))*2)+((COUNTIF('Elève (5ème1)'!EN11:EP12,"D"))*1))/(COUNTA(EN11:EP12)),"")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(5ème1)'!ES11:EU12,"A"))*4)+((COUNTIF('Elève (5ème1)'!ES11:EU12,"B"))*3)+((COUNTIF('Elève (5ème1)'!ES11:EU12,"C"))*2)+((COUNTIF('Elève (5ème1)'!ES11:EU12,"D"))*1))/(COUNTA(ES11:EU12)),"")</f>
        <v/>
      </c>
      <c r="EW10" s="128" t="str">
        <f t="shared" si="34"/>
        <v/>
      </c>
      <c r="EX10" s="177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>3.5</v>
      </c>
      <c r="EY10" s="130" t="str">
        <f t="shared" si="35"/>
        <v>B</v>
      </c>
      <c r="EZ10" s="162"/>
      <c r="FA10" s="189"/>
      <c r="FB10" s="189"/>
      <c r="FC10" s="106">
        <f>IFERROR((((COUNTIF('Elève (5ème1)'!EZ11:FB12,"A"))*4)+((COUNTIF('Elève (5ème1)'!EZ11:FB12,"B"))*3)+((COUNTIF('Elève (5ème1)'!EZ11:FB12,"C"))*2)+((COUNTIF('Elève (5ème1)'!EZ11:FB12,"D"))*1))/(COUNTA(EZ11:FB12)),"")</f>
        <v>3.5</v>
      </c>
      <c r="FD10" s="107" t="str">
        <f t="shared" si="36"/>
        <v>B</v>
      </c>
      <c r="FE10" s="100"/>
      <c r="FF10" s="187"/>
      <c r="FG10" s="188"/>
      <c r="FH10" s="106" t="str">
        <f>IFERROR((((COUNTIF('Elève (5ème1)'!FE11:FG12,"A"))*4)+((COUNTIF('Elève (5ème1)'!FE11:FG12,"B"))*3)+((COUNTIF('Elève (5ème1)'!FE11:FG12,"C"))*2)+((COUNTIF('Elève (5ème1)'!FE11:FG12,"D"))*1))/(COUNTA(FE11:FG12)),"")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(5ème1)'!FJ11:FL12,"A"))*4)+((COUNTIF('Elève (5ème1)'!FJ11:FL12,"B"))*3)+((COUNTIF('Elève (5ème1)'!FJ11:FL12,"C"))*2)+((COUNTIF('Elève (5ème1)'!FJ11:FL12,"D"))*1))/(COUNTA(FJ11:FL12)),"")</f>
        <v/>
      </c>
      <c r="FN10" s="128" t="str">
        <f t="shared" si="38"/>
        <v/>
      </c>
      <c r="FO10" s="177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>3.5</v>
      </c>
      <c r="FP10" s="130" t="str">
        <f t="shared" si="39"/>
        <v>B</v>
      </c>
      <c r="FQ10" s="162"/>
      <c r="FR10" s="189"/>
      <c r="FS10" s="189"/>
      <c r="FT10" s="106">
        <f>IFERROR((((COUNTIF('Elève (5ème1)'!FQ11:FS12,"A"))*4)+((COUNTIF('Elève (5ème1)'!FQ11:FS12,"B"))*3)+((COUNTIF('Elève (5ème1)'!FQ11:FS12,"C"))*2)+((COUNTIF('Elève (5ème1)'!FQ11:FS12,"D"))*1))/(COUNTA(FQ11:FS12)),"")</f>
        <v>3</v>
      </c>
      <c r="FU10" s="107" t="str">
        <f t="shared" si="40"/>
        <v>B</v>
      </c>
      <c r="FV10" s="100"/>
      <c r="FW10" s="187"/>
      <c r="FX10" s="188"/>
      <c r="FY10" s="106" t="str">
        <f>IFERROR((((COUNTIF('Elève (5ème1)'!FV11:FX12,"A"))*4)+((COUNTIF('Elève (5ème1)'!FV11:FX12,"B"))*3)+((COUNTIF('Elève (5ème1)'!FV11:FX12,"C"))*2)+((COUNTIF('Elève (5ème1)'!FV11:FX12,"D"))*1))/(COUNTA(FV11:FX12)),"")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(5ème1)'!GA11:GC12,"A"))*4)+((COUNTIF('Elève (5ème1)'!GA11:GC12,"B"))*3)+((COUNTIF('Elève (5ème1)'!GA11:GC12,"C"))*2)+((COUNTIF('Elève (5ème1)'!GA11:GC12,"D"))*1))/(COUNTA(GA11:GC12)),"")</f>
        <v/>
      </c>
      <c r="GE10" s="128" t="str">
        <f t="shared" si="42"/>
        <v/>
      </c>
      <c r="GF10" s="177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>3</v>
      </c>
      <c r="GG10" s="130" t="str">
        <f t="shared" si="43"/>
        <v>B</v>
      </c>
      <c r="GH10" s="162"/>
      <c r="GI10" s="189"/>
      <c r="GJ10" s="189"/>
      <c r="GK10" s="106">
        <f>IFERROR((((COUNTIF('Elève (5ème1)'!GH11:GJ12,"A"))*4)+((COUNTIF('Elève (5ème1)'!GH11:GJ12,"B"))*3)+((COUNTIF('Elève (5ème1)'!GH11:GJ12,"C"))*2)+((COUNTIF('Elève (5ème1)'!GH11:GJ12,"D"))*1))/(COUNTA(GH11:GJ12)),"")</f>
        <v>4</v>
      </c>
      <c r="GL10" s="107" t="str">
        <f t="shared" si="44"/>
        <v>A</v>
      </c>
      <c r="GM10" s="100"/>
      <c r="GN10" s="187"/>
      <c r="GO10" s="188"/>
      <c r="GP10" s="106" t="str">
        <f>IFERROR((((COUNTIF('Elève (5ème1)'!GM11:GO12,"A"))*4)+((COUNTIF('Elève (5ème1)'!GM11:GO12,"B"))*3)+((COUNTIF('Elève (5ème1)'!GM11:GO12,"C"))*2)+((COUNTIF('Elève (5ème1)'!GM11:GO12,"D"))*1))/(COUNTA(GM11:GO12)),"")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(5ème1)'!GR11:GT12,"A"))*4)+((COUNTIF('Elève (5ème1)'!GR11:GT12,"B"))*3)+((COUNTIF('Elève (5ème1)'!GR11:GT12,"C"))*2)+((COUNTIF('Elève (5ème1)'!GR11:GT12,"D"))*1))/(COUNTA(GR11:GT12)),"")</f>
        <v/>
      </c>
      <c r="GV10" s="128" t="str">
        <f t="shared" si="46"/>
        <v/>
      </c>
      <c r="GW10" s="177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>4</v>
      </c>
      <c r="GX10" s="130" t="str">
        <f t="shared" si="47"/>
        <v>A</v>
      </c>
      <c r="GY10" s="162"/>
      <c r="GZ10" s="189"/>
      <c r="HA10" s="189"/>
      <c r="HB10" s="106">
        <f>IFERROR((((COUNTIF('Elève (5ème1)'!GY11:HA12,"A"))*4)+((COUNTIF('Elève (5ème1)'!GY11:HA12,"B"))*3)+((COUNTIF('Elève (5ème1)'!GY11:HA12,"C"))*2)+((COUNTIF('Elève (5ème1)'!GY11:HA12,"D"))*1))/(COUNTA(GY11:HA12)),"")</f>
        <v>3.5</v>
      </c>
      <c r="HC10" s="107" t="str">
        <f t="shared" si="48"/>
        <v>B</v>
      </c>
      <c r="HD10" s="100"/>
      <c r="HE10" s="187"/>
      <c r="HF10" s="188"/>
      <c r="HG10" s="106" t="str">
        <f>IFERROR((((COUNTIF('Elève (5ème1)'!HD11:HF12,"A"))*4)+((COUNTIF('Elève (5ème1)'!HD11:HF12,"B"))*3)+((COUNTIF('Elève (5ème1)'!HD11:HF12,"C"))*2)+((COUNTIF('Elève (5ème1)'!HD11:HF12,"D"))*1))/(COUNTA(HD11:HF12)),"")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(5ème1)'!HI11:HK12,"A"))*4)+((COUNTIF('Elève (5ème1)'!HI11:HK12,"B"))*3)+((COUNTIF('Elève (5ème1)'!HI11:HK12,"C"))*2)+((COUNTIF('Elève (5ème1)'!HI11:HK12,"D"))*1))/(COUNTA(HI11:HK12)),"")</f>
        <v/>
      </c>
      <c r="HM10" s="128" t="str">
        <f t="shared" si="50"/>
        <v/>
      </c>
      <c r="HN10" s="177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>3.5</v>
      </c>
      <c r="HO10" s="130" t="str">
        <f t="shared" si="51"/>
        <v>B</v>
      </c>
      <c r="HP10" s="162"/>
      <c r="HQ10" s="189"/>
      <c r="HR10" s="189"/>
      <c r="HS10" s="106">
        <f>IFERROR((((COUNTIF('Elève (5ème1)'!HP11:HR12,"A"))*4)+((COUNTIF('Elève (5ème1)'!HP11:HR12,"B"))*3)+((COUNTIF('Elève (5ème1)'!HP11:HR12,"C"))*2)+((COUNTIF('Elève (5ème1)'!HP11:HR12,"D"))*1))/(COUNTA(HP11:HR12)),"")</f>
        <v>4</v>
      </c>
      <c r="HT10" s="107" t="str">
        <f t="shared" si="52"/>
        <v>A</v>
      </c>
      <c r="HU10" s="100"/>
      <c r="HV10" s="187"/>
      <c r="HW10" s="188"/>
      <c r="HX10" s="106" t="str">
        <f>IFERROR((((COUNTIF('Elève (5ème1)'!HU11:HW12,"A"))*4)+((COUNTIF('Elève (5ème1)'!HU11:HW12,"B"))*3)+((COUNTIF('Elève (5ème1)'!HU11:HW12,"C"))*2)+((COUNTIF('Elève (5ème1)'!HU11:HW12,"D"))*1))/(COUNTA(HU11:HW12)),"")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(5ème1)'!HZ11:IB12,"A"))*4)+((COUNTIF('Elève (5ème1)'!HZ11:IB12,"B"))*3)+((COUNTIF('Elève (5ème1)'!HZ11:IB12,"C"))*2)+((COUNTIF('Elève (5ème1)'!HZ11:IB12,"D"))*1))/(COUNTA(HZ11:IB12)),"")</f>
        <v/>
      </c>
      <c r="ID10" s="128" t="str">
        <f t="shared" si="54"/>
        <v/>
      </c>
      <c r="IE10" s="177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>4</v>
      </c>
      <c r="IF10" s="130" t="str">
        <f t="shared" si="55"/>
        <v>A</v>
      </c>
      <c r="IG10" s="162"/>
      <c r="IH10" s="189"/>
      <c r="II10" s="189"/>
      <c r="IJ10" s="106">
        <f>IFERROR((((COUNTIF('Elève (5ème1)'!IG11:II12,"A"))*4)+((COUNTIF('Elève (5ème1)'!IG11:II12,"B"))*3)+((COUNTIF('Elève (5ème1)'!IG11:II12,"C"))*2)+((COUNTIF('Elève (5ème1)'!IG11:II12,"D"))*1))/(COUNTA(IG11:II12)),"")</f>
        <v>4</v>
      </c>
      <c r="IK10" s="107" t="str">
        <f t="shared" si="56"/>
        <v>A</v>
      </c>
      <c r="IL10" s="100"/>
      <c r="IM10" s="187"/>
      <c r="IN10" s="188"/>
      <c r="IO10" s="106" t="str">
        <f>IFERROR((((COUNTIF('Elève (5ème1)'!IL11:IN12,"A"))*4)+((COUNTIF('Elève (5ème1)'!IL11:IN12,"B"))*3)+((COUNTIF('Elève (5ème1)'!IL11:IN12,"C"))*2)+((COUNTIF('Elève (5ème1)'!IL11:IN12,"D"))*1))/(COUNTA(IL11:IN12)),"")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(5ème1)'!IQ11:IS12,"A"))*4)+((COUNTIF('Elève (5ème1)'!IQ11:IS12,"B"))*3)+((COUNTIF('Elève (5ème1)'!IQ11:IS12,"C"))*2)+((COUNTIF('Elève (5ème1)'!IQ11:IS12,"D"))*1))/(COUNTA(IQ11:IS12)),"")</f>
        <v/>
      </c>
      <c r="IU10" s="128" t="str">
        <f t="shared" si="58"/>
        <v/>
      </c>
      <c r="IV10" s="177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>4</v>
      </c>
      <c r="IW10" s="130" t="str">
        <f t="shared" si="59"/>
        <v>A</v>
      </c>
      <c r="IX10" s="162"/>
      <c r="IY10" s="189"/>
      <c r="IZ10" s="189"/>
      <c r="JA10" s="106">
        <f>IFERROR((((COUNTIF('Elève (5ème1)'!IX11:IZ12,"A"))*4)+((COUNTIF('Elève (5ème1)'!IX11:IZ12,"B"))*3)+((COUNTIF('Elève (5ème1)'!IX11:IZ12,"C"))*2)+((COUNTIF('Elève (5ème1)'!IX11:IZ12,"D"))*1))/(COUNTA(IX11:IZ12)),"")</f>
        <v>4</v>
      </c>
      <c r="JB10" s="107" t="str">
        <f t="shared" si="60"/>
        <v>A</v>
      </c>
      <c r="JC10" s="100"/>
      <c r="JD10" s="187"/>
      <c r="JE10" s="188"/>
      <c r="JF10" s="106" t="str">
        <f>IFERROR((((COUNTIF('Elève (5ème1)'!JC11:JE12,"A"))*4)+((COUNTIF('Elève (5ème1)'!JC11:JE12,"B"))*3)+((COUNTIF('Elève (5ème1)'!JC11:JE12,"C"))*2)+((COUNTIF('Elève (5ème1)'!JC11:JE12,"D"))*1))/(COUNTA(JC11:JE12)),"")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(5ème1)'!JH11:JJ12,"A"))*4)+((COUNTIF('Elève (5ème1)'!JH11:JJ12,"B"))*3)+((COUNTIF('Elève (5ème1)'!JH11:JJ12,"C"))*2)+((COUNTIF('Elève (5ème1)'!JH11:JJ12,"D"))*1))/(COUNTA(JH11:JJ12)),"")</f>
        <v/>
      </c>
      <c r="JL10" s="128" t="str">
        <f t="shared" si="62"/>
        <v/>
      </c>
      <c r="JM10" s="177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>4</v>
      </c>
      <c r="JN10" s="130" t="str">
        <f t="shared" si="63"/>
        <v>A</v>
      </c>
      <c r="JO10" s="162"/>
      <c r="JP10" s="189"/>
      <c r="JQ10" s="189"/>
      <c r="JR10" s="106">
        <f>IFERROR((((COUNTIF('Elève (5ème1)'!JO11:JQ12,"A"))*4)+((COUNTIF('Elève (5ème1)'!JO11:JQ12,"B"))*3)+((COUNTIF('Elève (5ème1)'!JO11:JQ12,"C"))*2)+((COUNTIF('Elève (5ème1)'!JO11:JQ12,"D"))*1))/(COUNTA(JO11:JQ12)),"")</f>
        <v>4</v>
      </c>
      <c r="JS10" s="107" t="str">
        <f t="shared" si="64"/>
        <v>A</v>
      </c>
      <c r="JT10" s="100"/>
      <c r="JU10" s="187"/>
      <c r="JV10" s="188"/>
      <c r="JW10" s="106" t="str">
        <f>IFERROR((((COUNTIF('Elève (5ème1)'!JT11:JV12,"A"))*4)+((COUNTIF('Elève (5ème1)'!JT11:JV12,"B"))*3)+((COUNTIF('Elève (5ème1)'!JT11:JV12,"C"))*2)+((COUNTIF('Elève (5ème1)'!JT11:JV12,"D"))*1))/(COUNTA(JT11:JV12)),"")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(5ème1)'!JY11:KA12,"A"))*4)+((COUNTIF('Elève (5ème1)'!JY11:KA12,"B"))*3)+((COUNTIF('Elève (5ème1)'!JY11:KA12,"C"))*2)+((COUNTIF('Elève (5ème1)'!JY11:KA12,"D"))*1))/(COUNTA(JY11:KA12)),"")</f>
        <v/>
      </c>
      <c r="KC10" s="128" t="str">
        <f t="shared" si="66"/>
        <v/>
      </c>
      <c r="KD10" s="177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>4</v>
      </c>
      <c r="KE10" s="130" t="str">
        <f t="shared" si="67"/>
        <v>A</v>
      </c>
      <c r="KF10" s="162"/>
      <c r="KG10" s="189"/>
      <c r="KH10" s="189"/>
      <c r="KI10" s="106">
        <f>IFERROR((((COUNTIF('Elève (5ème1)'!KF11:KH12,"A"))*4)+((COUNTIF('Elève (5ème1)'!KF11:KH12,"B"))*3)+((COUNTIF('Elève (5ème1)'!KF11:KH12,"C"))*2)+((COUNTIF('Elève (5ème1)'!KF11:KH12,"D"))*1))/(COUNTA(KF11:KH12)),"")</f>
        <v>4</v>
      </c>
      <c r="KJ10" s="107" t="str">
        <f t="shared" si="68"/>
        <v>A</v>
      </c>
      <c r="KK10" s="100"/>
      <c r="KL10" s="187"/>
      <c r="KM10" s="188"/>
      <c r="KN10" s="106" t="str">
        <f>IFERROR((((COUNTIF('Elève (5ème1)'!KK11:KM12,"A"))*4)+((COUNTIF('Elève (5ème1)'!KK11:KM12,"B"))*3)+((COUNTIF('Elève (5ème1)'!KK11:KM12,"C"))*2)+((COUNTIF('Elève (5ème1)'!KK11:KM12,"D"))*1))/(COUNTA(KK11:KM12)),"")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(5ème1)'!KP11:KR12,"A"))*4)+((COUNTIF('Elève (5ème1)'!KP11:KR12,"B"))*3)+((COUNTIF('Elève (5ème1)'!KP11:KR12,"C"))*2)+((COUNTIF('Elève (5ème1)'!KP11:KR12,"D"))*1))/(COUNTA(KP11:KR12)),"")</f>
        <v/>
      </c>
      <c r="KT10" s="128" t="str">
        <f t="shared" si="70"/>
        <v/>
      </c>
      <c r="KU10" s="177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>4</v>
      </c>
      <c r="KV10" s="130" t="str">
        <f t="shared" si="71"/>
        <v>A</v>
      </c>
      <c r="KW10" s="162"/>
      <c r="KX10" s="189"/>
      <c r="KY10" s="189"/>
      <c r="KZ10" s="106">
        <f>IFERROR((((COUNTIF('Elève (5ème1)'!KW11:KY12,"A"))*4)+((COUNTIF('Elève (5ème1)'!KW11:KY12,"B"))*3)+((COUNTIF('Elève (5ème1)'!KW11:KY12,"C"))*2)+((COUNTIF('Elève (5ème1)'!KW11:KY12,"D"))*1))/(COUNTA(KW11:KY12)),"")</f>
        <v>2.5</v>
      </c>
      <c r="LA10" s="107" t="str">
        <f t="shared" si="72"/>
        <v>C</v>
      </c>
      <c r="LB10" s="100"/>
      <c r="LC10" s="187"/>
      <c r="LD10" s="188"/>
      <c r="LE10" s="106" t="str">
        <f>IFERROR((((COUNTIF('Elève (5ème1)'!LB11:LD12,"A"))*4)+((COUNTIF('Elève (5ème1)'!LB11:LD12,"B"))*3)+((COUNTIF('Elève (5ème1)'!LB11:LD12,"C"))*2)+((COUNTIF('Elève (5ème1)'!LB11:LD12,"D"))*1))/(COUNTA(LB11:LD12)),"")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(5ème1)'!LG11:LI12,"A"))*4)+((COUNTIF('Elève (5ème1)'!LG11:LI12,"B"))*3)+((COUNTIF('Elève (5ème1)'!LG11:LI12,"C"))*2)+((COUNTIF('Elève (5ème1)'!LG11:LI12,"D"))*1))/(COUNTA(LG11:LI12)),"")</f>
        <v/>
      </c>
      <c r="LK10" s="128" t="str">
        <f t="shared" si="74"/>
        <v/>
      </c>
      <c r="LL10" s="177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>2.5</v>
      </c>
      <c r="LM10" s="130" t="str">
        <f t="shared" si="75"/>
        <v>C</v>
      </c>
      <c r="LN10" s="162"/>
      <c r="LO10" s="189"/>
      <c r="LP10" s="189"/>
      <c r="LQ10" s="106">
        <f>IFERROR((((COUNTIF('Elève (5ème1)'!LN11:LP12,"A"))*4)+((COUNTIF('Elève (5ème1)'!LN11:LP12,"B"))*3)+((COUNTIF('Elève (5ème1)'!LN11:LP12,"C"))*2)+((COUNTIF('Elève (5ème1)'!LN11:LP12,"D"))*1))/(COUNTA(LN11:LP12)),"")</f>
        <v>3.5</v>
      </c>
      <c r="LR10" s="107" t="str">
        <f t="shared" si="76"/>
        <v>B</v>
      </c>
      <c r="LS10" s="100"/>
      <c r="LT10" s="187"/>
      <c r="LU10" s="188"/>
      <c r="LV10" s="106" t="str">
        <f>IFERROR((((COUNTIF('Elève (5ème1)'!LS11:LU12,"A"))*4)+((COUNTIF('Elève (5ème1)'!LS11:LU12,"B"))*3)+((COUNTIF('Elève (5ème1)'!LS11:LU12,"C"))*2)+((COUNTIF('Elève (5ème1)'!LS11:LU12,"D"))*1))/(COUNTA(LS11:LU12)),"")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(5ème1)'!LX11:LZ12,"A"))*4)+((COUNTIF('Elève (5ème1)'!LX11:LZ12,"B"))*3)+((COUNTIF('Elève (5ème1)'!LX11:LZ12,"C"))*2)+((COUNTIF('Elève (5ème1)'!LX11:LZ12,"D"))*1))/(COUNTA(LX11:LZ12)),"")</f>
        <v/>
      </c>
      <c r="MB10" s="128" t="str">
        <f t="shared" si="78"/>
        <v/>
      </c>
      <c r="MC10" s="177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>3.5</v>
      </c>
      <c r="MD10" s="130" t="str">
        <f t="shared" si="79"/>
        <v>B</v>
      </c>
      <c r="ME10" s="162"/>
      <c r="MF10" s="189"/>
      <c r="MG10" s="189"/>
      <c r="MH10" s="106">
        <f>IFERROR((((COUNTIF('Elève (5ème1)'!ME11:MG12,"A"))*4)+((COUNTIF('Elève (5ème1)'!ME11:MG12,"B"))*3)+((COUNTIF('Elève (5ème1)'!ME11:MG12,"C"))*2)+((COUNTIF('Elève (5ème1)'!ME11:MG12,"D"))*1))/(COUNTA(ME11:MG12)),"")</f>
        <v>3.5</v>
      </c>
      <c r="MI10" s="107" t="str">
        <f t="shared" si="80"/>
        <v>B</v>
      </c>
      <c r="MJ10" s="100"/>
      <c r="MK10" s="187"/>
      <c r="ML10" s="188"/>
      <c r="MM10" s="106" t="str">
        <f>IFERROR((((COUNTIF('Elève (5ème1)'!MJ11:ML12,"A"))*4)+((COUNTIF('Elève (5ème1)'!MJ11:ML12,"B"))*3)+((COUNTIF('Elève (5ème1)'!MJ11:ML12,"C"))*2)+((COUNTIF('Elève (5ème1)'!MJ11:ML12,"D"))*1))/(COUNTA(MJ11:ML12)),"")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(5ème1)'!MO11:MQ12,"A"))*4)+((COUNTIF('Elève (5ème1)'!MO11:MQ12,"B"))*3)+((COUNTIF('Elève (5ème1)'!MO11:MQ12,"C"))*2)+((COUNTIF('Elève (5ème1)'!MO11:MQ12,"D"))*1))/(COUNTA(MO11:MQ12)),"")</f>
        <v/>
      </c>
      <c r="MS10" s="128" t="str">
        <f t="shared" si="82"/>
        <v/>
      </c>
      <c r="MT10" s="177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>3.5</v>
      </c>
      <c r="MU10" s="130" t="str">
        <f t="shared" si="83"/>
        <v>B</v>
      </c>
      <c r="MV10" s="162"/>
      <c r="MW10" s="189"/>
      <c r="MX10" s="189"/>
      <c r="MY10" s="106">
        <f>IFERROR((((COUNTIF('Elève (5ème1)'!MV11:MX12,"A"))*4)+((COUNTIF('Elève (5ème1)'!MV11:MX12,"B"))*3)+((COUNTIF('Elève (5ème1)'!MV11:MX12,"C"))*2)+((COUNTIF('Elève (5ème1)'!MV11:MX12,"D"))*1))/(COUNTA(MV11:MX12)),"")</f>
        <v>2.5</v>
      </c>
      <c r="MZ10" s="107" t="str">
        <f t="shared" si="84"/>
        <v>C</v>
      </c>
      <c r="NA10" s="100"/>
      <c r="NB10" s="187"/>
      <c r="NC10" s="188"/>
      <c r="ND10" s="106" t="str">
        <f>IFERROR((((COUNTIF('Elève (5ème1)'!NA11:NC12,"A"))*4)+((COUNTIF('Elève (5ème1)'!NA11:NC12,"B"))*3)+((COUNTIF('Elève (5ème1)'!NA11:NC12,"C"))*2)+((COUNTIF('Elève (5ème1)'!NA11:NC12,"D"))*1))/(COUNTA(NA11:NC12)),"")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(5ème1)'!NF11:NH12,"A"))*4)+((COUNTIF('Elève (5ème1)'!NF11:NH12,"B"))*3)+((COUNTIF('Elève (5ème1)'!NF11:NH12,"C"))*2)+((COUNTIF('Elève (5ème1)'!NF11:NH12,"D"))*1))/(COUNTA(NF11:NH12)),"")</f>
        <v/>
      </c>
      <c r="NJ10" s="128" t="str">
        <f t="shared" si="86"/>
        <v/>
      </c>
      <c r="NK10" s="177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>2.5</v>
      </c>
      <c r="NL10" s="130" t="str">
        <f t="shared" si="87"/>
        <v>C</v>
      </c>
      <c r="NM10" s="162"/>
      <c r="NN10" s="189"/>
      <c r="NO10" s="189"/>
      <c r="NP10" s="106">
        <f>IFERROR((((COUNTIF('Elève (5ème1)'!NM11:NO12,"A"))*4)+((COUNTIF('Elève (5ème1)'!NM11:NO12,"B"))*3)+((COUNTIF('Elève (5ème1)'!NM11:NO12,"C"))*2)+((COUNTIF('Elève (5ème1)'!NM11:NO12,"D"))*1))/(COUNTA(NM11:NO12)),"")</f>
        <v>3.5</v>
      </c>
      <c r="NQ10" s="107" t="str">
        <f t="shared" si="88"/>
        <v>B</v>
      </c>
      <c r="NR10" s="100"/>
      <c r="NS10" s="187"/>
      <c r="NT10" s="188"/>
      <c r="NU10" s="106" t="str">
        <f>IFERROR((((COUNTIF('Elève (5ème1)'!NR11:NT12,"A"))*4)+((COUNTIF('Elève (5ème1)'!NR11:NT12,"B"))*3)+((COUNTIF('Elève (5ème1)'!NR11:NT12,"C"))*2)+((COUNTIF('Elève (5ème1)'!NR11:NT12,"D"))*1))/(COUNTA(NR11:NT12)),"")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(5ème1)'!NW11:NY12,"A"))*4)+((COUNTIF('Elève (5ème1)'!NW11:NY12,"B"))*3)+((COUNTIF('Elève (5ème1)'!NW11:NY12,"C"))*2)+((COUNTIF('Elève (5ème1)'!NW11:NY12,"D"))*1))/(COUNTA(NW11:NY12)),"")</f>
        <v/>
      </c>
      <c r="OA10" s="128" t="str">
        <f t="shared" si="90"/>
        <v/>
      </c>
      <c r="OB10" s="177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>3.5</v>
      </c>
      <c r="OC10" s="130" t="str">
        <f t="shared" si="91"/>
        <v>B</v>
      </c>
      <c r="OD10" s="162"/>
      <c r="OE10" s="189"/>
      <c r="OF10" s="189"/>
      <c r="OG10" s="106">
        <f>IFERROR((((COUNTIF('Elève (5ème1)'!OD11:OF12,"A"))*4)+((COUNTIF('Elève (5ème1)'!OD11:OF12,"B"))*3)+((COUNTIF('Elève (5ème1)'!OD11:OF12,"C"))*2)+((COUNTIF('Elève (5ème1)'!OD11:OF12,"D"))*1))/(COUNTA(OD11:OF12)),"")</f>
        <v>4</v>
      </c>
      <c r="OH10" s="107" t="str">
        <f t="shared" si="92"/>
        <v>A</v>
      </c>
      <c r="OI10" s="100"/>
      <c r="OJ10" s="187"/>
      <c r="OK10" s="188"/>
      <c r="OL10" s="106" t="str">
        <f>IFERROR((((COUNTIF('Elève (5ème1)'!OI11:OK12,"A"))*4)+((COUNTIF('Elève (5ème1)'!OI11:OK12,"B"))*3)+((COUNTIF('Elève (5ème1)'!OI11:OK12,"C"))*2)+((COUNTIF('Elève (5ème1)'!OI11:OK12,"D"))*1))/(COUNTA(OI11:OK12)),"")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(5ème1)'!ON11:OP12,"A"))*4)+((COUNTIF('Elève (5ème1)'!ON11:OP12,"B"))*3)+((COUNTIF('Elève (5ème1)'!ON11:OP12,"C"))*2)+((COUNTIF('Elève (5ème1)'!ON11:OP12,"D"))*1))/(COUNTA(ON11:OP12)),"")</f>
        <v/>
      </c>
      <c r="OR10" s="128" t="str">
        <f t="shared" si="94"/>
        <v/>
      </c>
      <c r="OS10" s="177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>4</v>
      </c>
      <c r="OT10" s="130" t="str">
        <f t="shared" si="95"/>
        <v>A</v>
      </c>
      <c r="OU10" s="162"/>
      <c r="OV10" s="189"/>
      <c r="OW10" s="189"/>
      <c r="OX10" s="106">
        <f>IFERROR((((COUNTIF('Elève (5ème1)'!OU11:OW12,"A"))*4)+((COUNTIF('Elève (5ème1)'!OU11:OW12,"B"))*3)+((COUNTIF('Elève (5ème1)'!OU11:OW12,"C"))*2)+((COUNTIF('Elève (5ème1)'!OU11:OW12,"D"))*1))/(COUNTA(OU11:OW12)),"")</f>
        <v>3.5</v>
      </c>
      <c r="OY10" s="107" t="str">
        <f t="shared" si="96"/>
        <v>B</v>
      </c>
      <c r="OZ10" s="100"/>
      <c r="PA10" s="187"/>
      <c r="PB10" s="188"/>
      <c r="PC10" s="106" t="str">
        <f>IFERROR((((COUNTIF('Elève (5ème1)'!OZ11:PB12,"A"))*4)+((COUNTIF('Elève (5ème1)'!OZ11:PB12,"B"))*3)+((COUNTIF('Elève (5ème1)'!OZ11:PB12,"C"))*2)+((COUNTIF('Elève (5ème1)'!OZ11:PB12,"D"))*1))/(COUNTA(OZ11:PB12)),"")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(5ème1)'!PE11:PG12,"A"))*4)+((COUNTIF('Elève (5ème1)'!PE11:PG12,"B"))*3)+((COUNTIF('Elève (5ème1)'!PE11:PG12,"C"))*2)+((COUNTIF('Elève (5ème1)'!PE11:PG12,"D"))*1))/(COUNTA(PE11:PG12)),"")</f>
        <v/>
      </c>
      <c r="PI10" s="128" t="str">
        <f t="shared" si="98"/>
        <v/>
      </c>
      <c r="PJ10" s="177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>3.5</v>
      </c>
      <c r="PK10" s="130" t="str">
        <f t="shared" si="99"/>
        <v>B</v>
      </c>
      <c r="PL10" s="162"/>
      <c r="PM10" s="189"/>
      <c r="PN10" s="189"/>
      <c r="PO10" s="106">
        <f>IFERROR((((COUNTIF('Elève (5ème1)'!PL11:PN12,"A"))*4)+((COUNTIF('Elève (5ème1)'!PL11:PN12,"B"))*3)+((COUNTIF('Elève (5ème1)'!PL11:PN12,"C"))*2)+((COUNTIF('Elève (5ème1)'!PL11:PN12,"D"))*1))/(COUNTA(PL11:PN12)),"")</f>
        <v>3.5</v>
      </c>
      <c r="PP10" s="107" t="str">
        <f t="shared" si="100"/>
        <v>B</v>
      </c>
      <c r="PQ10" s="100"/>
      <c r="PR10" s="187"/>
      <c r="PS10" s="188"/>
      <c r="PT10" s="106" t="str">
        <f>IFERROR((((COUNTIF('Elève (5ème1)'!PQ11:PS12,"A"))*4)+((COUNTIF('Elève (5ème1)'!PQ11:PS12,"B"))*3)+((COUNTIF('Elève (5ème1)'!PQ11:PS12,"C"))*2)+((COUNTIF('Elève (5ème1)'!PQ11:PS12,"D"))*1))/(COUNTA(PQ11:PS12)),"")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(5ème1)'!PV11:PX12,"A"))*4)+((COUNTIF('Elève (5ème1)'!PV11:PX12,"B"))*3)+((COUNTIF('Elève (5ème1)'!PV11:PX12,"C"))*2)+((COUNTIF('Elève (5ème1)'!PV11:PX12,"D"))*1))/(COUNTA(PV11:PX12)),"")</f>
        <v/>
      </c>
      <c r="PZ10" s="128" t="str">
        <f t="shared" si="102"/>
        <v/>
      </c>
      <c r="QA10" s="177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>3.5</v>
      </c>
      <c r="QB10" s="130" t="str">
        <f t="shared" si="103"/>
        <v>B</v>
      </c>
      <c r="QC10" s="162"/>
      <c r="QD10" s="189"/>
      <c r="QE10" s="189"/>
      <c r="QF10" s="106">
        <f>IFERROR((((COUNTIF('Elève (5ème1)'!QC11:QE12,"A"))*4)+((COUNTIF('Elève (5ème1)'!QC11:QE12,"B"))*3)+((COUNTIF('Elève (5ème1)'!QC11:QE12,"C"))*2)+((COUNTIF('Elève (5ème1)'!QC11:QE12,"D"))*1))/(COUNTA(QC11:QE12)),"")</f>
        <v>4</v>
      </c>
      <c r="QG10" s="107" t="str">
        <f t="shared" si="104"/>
        <v>A</v>
      </c>
      <c r="QH10" s="100"/>
      <c r="QI10" s="187"/>
      <c r="QJ10" s="188"/>
      <c r="QK10" s="106" t="str">
        <f>IFERROR((((COUNTIF('Elève (5ème1)'!QH11:QJ12,"A"))*4)+((COUNTIF('Elève (5ème1)'!QH11:QJ12,"B"))*3)+((COUNTIF('Elève (5ème1)'!QH11:QJ12,"C"))*2)+((COUNTIF('Elève (5ème1)'!QH11:QJ12,"D"))*1))/(COUNTA(QH11:QJ12)),"")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(5ème1)'!QM11:QO12,"A"))*4)+((COUNTIF('Elève (5ème1)'!QM11:QO12,"B"))*3)+((COUNTIF('Elève (5ème1)'!QM11:QO12,"C"))*2)+((COUNTIF('Elève (5ème1)'!QM11:QO12,"D"))*1))/(COUNTA(QM11:QO12)),"")</f>
        <v/>
      </c>
      <c r="QQ10" s="128" t="str">
        <f t="shared" si="106"/>
        <v/>
      </c>
      <c r="QR10" s="177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>4</v>
      </c>
      <c r="QS10" s="130" t="str">
        <f t="shared" si="107"/>
        <v>A</v>
      </c>
      <c r="QT10" s="162"/>
      <c r="QU10" s="189"/>
      <c r="QV10" s="189"/>
      <c r="QW10" s="106">
        <f>IFERROR((((COUNTIF('Elève (5ème1)'!QT11:QV12,"A"))*4)+((COUNTIF('Elève (5ème1)'!QT11:QV12,"B"))*3)+((COUNTIF('Elève (5ème1)'!QT11:QV12,"C"))*2)+((COUNTIF('Elève (5ème1)'!QT11:QV12,"D"))*1))/(COUNTA(QT11:QV12)),"")</f>
        <v>2.5</v>
      </c>
      <c r="QX10" s="107" t="str">
        <f t="shared" si="108"/>
        <v>C</v>
      </c>
      <c r="QY10" s="100"/>
      <c r="QZ10" s="187"/>
      <c r="RA10" s="188"/>
      <c r="RB10" s="106" t="str">
        <f>IFERROR((((COUNTIF('Elève (5ème1)'!QY11:RA12,"A"))*4)+((COUNTIF('Elève (5ème1)'!QY11:RA12,"B"))*3)+((COUNTIF('Elève (5ème1)'!QY11:RA12,"C"))*2)+((COUNTIF('Elève (5ème1)'!QY11:RA12,"D"))*1))/(COUNTA(QY11:RA12)),"")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(5ème1)'!RD11:RF12,"A"))*4)+((COUNTIF('Elève (5ème1)'!RD11:RF12,"B"))*3)+((COUNTIF('Elève (5ème1)'!RD11:RF12,"C"))*2)+((COUNTIF('Elève (5ème1)'!RD11:RF12,"D"))*1))/(COUNTA(RD11:RF12)),"")</f>
        <v/>
      </c>
      <c r="RH10" s="128" t="str">
        <f t="shared" si="110"/>
        <v/>
      </c>
      <c r="RI10" s="177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>2.5</v>
      </c>
      <c r="RJ10" s="130" t="str">
        <f t="shared" si="111"/>
        <v>C</v>
      </c>
      <c r="RK10" s="162"/>
      <c r="RL10" s="189"/>
      <c r="RM10" s="189"/>
      <c r="RN10" s="106">
        <f>IFERROR((((COUNTIF('Elève (5ème1)'!RK11:RM12,"A"))*4)+((COUNTIF('Elève (5ème1)'!RK11:RM12,"B"))*3)+((COUNTIF('Elève (5ème1)'!RK11:RM12,"C"))*2)+((COUNTIF('Elève (5ème1)'!RK11:RM12,"D"))*1))/(COUNTA(RK11:RM12)),"")</f>
        <v>4</v>
      </c>
      <c r="RO10" s="107" t="str">
        <f t="shared" si="112"/>
        <v>A</v>
      </c>
      <c r="RP10" s="100"/>
      <c r="RQ10" s="187"/>
      <c r="RR10" s="188"/>
      <c r="RS10" s="106" t="str">
        <f>IFERROR((((COUNTIF('Elève (5ème1)'!RP11:RR12,"A"))*4)+((COUNTIF('Elève (5ème1)'!RP11:RR12,"B"))*3)+((COUNTIF('Elève (5ème1)'!RP11:RR12,"C"))*2)+((COUNTIF('Elève (5ème1)'!RP11:RR12,"D"))*1))/(COUNTA(RP11:RR12)),"")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(5ème1)'!RU11:RW12,"A"))*4)+((COUNTIF('Elève (5ème1)'!RU11:RW12,"B"))*3)+((COUNTIF('Elève (5ème1)'!RU11:RW12,"C"))*2)+((COUNTIF('Elève (5ème1)'!RU11:RW12,"D"))*1))/(COUNTA(RU11:RW12)),"")</f>
        <v/>
      </c>
      <c r="RY10" s="128" t="str">
        <f t="shared" si="114"/>
        <v/>
      </c>
      <c r="RZ10" s="177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>4</v>
      </c>
      <c r="SA10" s="130" t="str">
        <f t="shared" si="115"/>
        <v>A</v>
      </c>
      <c r="SB10" s="162"/>
      <c r="SC10" s="189"/>
      <c r="SD10" s="189"/>
      <c r="SE10" s="106">
        <f>IFERROR((((COUNTIF('Elève (5ème1)'!SB11:SD12,"A"))*4)+((COUNTIF('Elève (5ème1)'!SB11:SD12,"B"))*3)+((COUNTIF('Elève (5ème1)'!SB11:SD12,"C"))*2)+((COUNTIF('Elève (5ème1)'!SB11:SD12,"D"))*1))/(COUNTA(SB11:SD12)),"")</f>
        <v>4</v>
      </c>
      <c r="SF10" s="107" t="str">
        <f t="shared" si="116"/>
        <v>A</v>
      </c>
      <c r="SG10" s="100"/>
      <c r="SH10" s="187"/>
      <c r="SI10" s="188"/>
      <c r="SJ10" s="106" t="str">
        <f>IFERROR((((COUNTIF('Elève (5ème1)'!SG11:SI12,"A"))*4)+((COUNTIF('Elève (5ème1)'!SG11:SI12,"B"))*3)+((COUNTIF('Elève (5ème1)'!SG11:SI12,"C"))*2)+((COUNTIF('Elève (5ème1)'!SG11:SI12,"D"))*1))/(COUNTA(SG11:SI12)),"")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(5ème1)'!SL11:SN12,"A"))*4)+((COUNTIF('Elève (5ème1)'!SL11:SN12,"B"))*3)+((COUNTIF('Elève (5ème1)'!SL11:SN12,"C"))*2)+((COUNTIF('Elève (5ème1)'!SL11:SN12,"D"))*1))/(COUNTA(SL11:SN12)),"")</f>
        <v/>
      </c>
      <c r="SP10" s="128" t="str">
        <f t="shared" si="118"/>
        <v/>
      </c>
      <c r="SQ10" s="177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>4</v>
      </c>
      <c r="SR10" s="130" t="str">
        <f t="shared" si="119"/>
        <v>A</v>
      </c>
    </row>
    <row r="11" spans="1:512" s="72" customFormat="1" ht="18" customHeight="1" x14ac:dyDescent="0.25">
      <c r="A11" s="221" t="s">
        <v>44</v>
      </c>
      <c r="B11" s="222"/>
      <c r="C11" s="156" t="s">
        <v>27</v>
      </c>
      <c r="D11" s="157"/>
      <c r="E11" s="158"/>
      <c r="F11" s="108">
        <f>IFERROR((((COUNTIF('Elève (5ème1)'!C11:E11,"A"))*4)+((COUNTIF('Elève (5ème1)'!C11:E11,"B"))*3)+((COUNTIF('Elève (5ème1)'!C11:E11,"C"))*2)+((COUNTIF('Elève (5ème1)'!C11:E11,"D"))*1))/(COUNTA(C11:E11)),"")</f>
        <v>4</v>
      </c>
      <c r="G11" s="109" t="str">
        <f t="shared" si="0"/>
        <v>A</v>
      </c>
      <c r="H11" s="81"/>
      <c r="I11" s="82"/>
      <c r="J11" s="83"/>
      <c r="K11" s="108" t="str">
        <f>IFERROR((((COUNTIF('Elève (5ème1)'!H11:J11,"A"))*4)+((COUNTIF('Elève (5ème1)'!H11:J11,"B"))*3)+((COUNTIF('Elève (5ème1)'!H11:J11,"C"))*2)+((COUNTIF('Elève (5ème1)'!H11:J11,"D"))*1))/(COUNTA(H11:J11)),"")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(5ème1)'!M11:O11,"A"))*4)+((COUNTIF('Elève (5ème1)'!M11:O11,"B"))*3)+((COUNTIF('Elève (5ème1)'!M11:O11,"C"))*2)+((COUNTIF('Elève (5ème1)'!M11:O11,"D"))*1))/(COUNTA(M11:O11)),"")</f>
        <v/>
      </c>
      <c r="Q11" s="109" t="str">
        <f t="shared" si="2"/>
        <v/>
      </c>
      <c r="R11" s="178">
        <f>IF(COUNT(F11,K11,P11)=0,"",SUM(F11,K11,P11)/COUNT(F11,K11,P11))</f>
        <v>4</v>
      </c>
      <c r="S11" s="131" t="str">
        <f t="shared" si="3"/>
        <v>A</v>
      </c>
      <c r="T11" s="156" t="s">
        <v>27</v>
      </c>
      <c r="U11" s="157"/>
      <c r="V11" s="158"/>
      <c r="W11" s="108">
        <f>IFERROR((((COUNTIF('Elève (5ème1)'!T11:V11,"A"))*4)+((COUNTIF('Elève (5ème1)'!T11:V11,"B"))*3)+((COUNTIF('Elève (5ème1)'!T11:V11,"C"))*2)+((COUNTIF('Elève (5ème1)'!T11:V11,"D"))*1))/(COUNTA(T11:V11)),"")</f>
        <v>4</v>
      </c>
      <c r="X11" s="109" t="str">
        <f t="shared" si="4"/>
        <v>A</v>
      </c>
      <c r="Y11" s="81"/>
      <c r="Z11" s="82"/>
      <c r="AA11" s="83"/>
      <c r="AB11" s="108" t="str">
        <f>IFERROR((((COUNTIF('Elève (5ème1)'!Y11:AA11,"A"))*4)+((COUNTIF('Elève (5ème1)'!Y11:AA11,"B"))*3)+((COUNTIF('Elève (5ème1)'!Y11:AA11,"C"))*2)+((COUNTIF('Elève (5ème1)'!Y11:AA11,"D"))*1))/(COUNTA(Y11:AA11)),"")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(5ème1)'!AD11:AF11,"A"))*4)+((COUNTIF('Elève (5ème1)'!AD11:AF11,"B"))*3)+((COUNTIF('Elève (5ème1)'!AD11:AF11,"C"))*2)+((COUNTIF('Elève (5ème1)'!AD11:AF11,"D"))*1))/(COUNTA(AD11:AF11)),"")</f>
        <v/>
      </c>
      <c r="AH11" s="109" t="str">
        <f t="shared" si="6"/>
        <v/>
      </c>
      <c r="AI11" s="178">
        <f>IF(COUNT(W11,AB11,AG11)=0,"",SUM(W11,AB11,AG11)/COUNT(W11,AB11,AG11))</f>
        <v>4</v>
      </c>
      <c r="AJ11" s="131" t="str">
        <f t="shared" si="7"/>
        <v>A</v>
      </c>
      <c r="AK11" s="156" t="s">
        <v>29</v>
      </c>
      <c r="AL11" s="157"/>
      <c r="AM11" s="158"/>
      <c r="AN11" s="108">
        <f>IFERROR((((COUNTIF('Elève (5ème1)'!AK11:AM11,"A"))*4)+((COUNTIF('Elève (5ème1)'!AK11:AM11,"B"))*3)+((COUNTIF('Elève (5ème1)'!AK11:AM11,"C"))*2)+((COUNTIF('Elève (5ème1)'!AK11:AM11,"D"))*1))/(COUNTA(AK11:AM11)),"")</f>
        <v>2</v>
      </c>
      <c r="AO11" s="109" t="str">
        <f t="shared" si="8"/>
        <v>C</v>
      </c>
      <c r="AP11" s="81"/>
      <c r="AQ11" s="82"/>
      <c r="AR11" s="83"/>
      <c r="AS11" s="108" t="str">
        <f>IFERROR((((COUNTIF('Elève (5ème1)'!AP11:AR11,"A"))*4)+((COUNTIF('Elève (5ème1)'!AP11:AR11,"B"))*3)+((COUNTIF('Elève (5ème1)'!AP11:AR11,"C"))*2)+((COUNTIF('Elève (5ème1)'!AP11:AR11,"D"))*1))/(COUNTA(AP11:AR11)),"")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(5ème1)'!AU11:AW11,"A"))*4)+((COUNTIF('Elève (5ème1)'!AU11:AW11,"B"))*3)+((COUNTIF('Elève (5ème1)'!AU11:AW11,"C"))*2)+((COUNTIF('Elève (5ème1)'!AU11:AW11,"D"))*1))/(COUNTA(AU11:AW11)),"")</f>
        <v/>
      </c>
      <c r="AY11" s="109" t="str">
        <f t="shared" si="10"/>
        <v/>
      </c>
      <c r="AZ11" s="178">
        <f>IF(COUNT(AN11,AS11,AX11)=0,"",SUM(AN11,AS11,AX11)/COUNT(AN11,AS11,AX11))</f>
        <v>2</v>
      </c>
      <c r="BA11" s="131" t="str">
        <f t="shared" si="11"/>
        <v>C</v>
      </c>
      <c r="BB11" s="156" t="s">
        <v>29</v>
      </c>
      <c r="BC11" s="157"/>
      <c r="BD11" s="158"/>
      <c r="BE11" s="108">
        <f>IFERROR((((COUNTIF('Elève (5ème1)'!BB11:BD11,"A"))*4)+((COUNTIF('Elève (5ème1)'!BB11:BD11,"B"))*3)+((COUNTIF('Elève (5ème1)'!BB11:BD11,"C"))*2)+((COUNTIF('Elève (5ème1)'!BB11:BD11,"D"))*1))/(COUNTA(BB11:BD11)),"")</f>
        <v>2</v>
      </c>
      <c r="BF11" s="109" t="str">
        <f t="shared" si="12"/>
        <v>C</v>
      </c>
      <c r="BG11" s="81"/>
      <c r="BH11" s="82"/>
      <c r="BI11" s="83"/>
      <c r="BJ11" s="108" t="str">
        <f>IFERROR((((COUNTIF('Elève (5ème1)'!BG11:BI11,"A"))*4)+((COUNTIF('Elève (5ème1)'!BG11:BI11,"B"))*3)+((COUNTIF('Elève (5ème1)'!BG11:BI11,"C"))*2)+((COUNTIF('Elève (5ème1)'!BG11:BI11,"D"))*1))/(COUNTA(BG11:BI11)),"")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(5ème1)'!BL11:BN11,"A"))*4)+((COUNTIF('Elève (5ème1)'!BL11:BN11,"B"))*3)+((COUNTIF('Elève (5ème1)'!BL11:BN11,"C"))*2)+((COUNTIF('Elève (5ème1)'!BL11:BN11,"D"))*1))/(COUNTA(BL11:BN11)),"")</f>
        <v/>
      </c>
      <c r="BP11" s="109" t="str">
        <f t="shared" si="14"/>
        <v/>
      </c>
      <c r="BQ11" s="178">
        <f>IF(COUNT(BE11,BJ11,BO11)=0,"",SUM(BE11,BJ11,BO11)/COUNT(BE11,BJ11,BO11))</f>
        <v>2</v>
      </c>
      <c r="BR11" s="131" t="str">
        <f t="shared" si="15"/>
        <v>C</v>
      </c>
      <c r="BS11" s="156" t="s">
        <v>28</v>
      </c>
      <c r="BT11" s="157"/>
      <c r="BU11" s="158"/>
      <c r="BV11" s="108">
        <f>IFERROR((((COUNTIF('Elève (5ème1)'!BS11:BU11,"A"))*4)+((COUNTIF('Elève (5ème1)'!BS11:BU11,"B"))*3)+((COUNTIF('Elève (5ème1)'!BS11:BU11,"C"))*2)+((COUNTIF('Elève (5ème1)'!BS11:BU11,"D"))*1))/(COUNTA(BS11:BU11)),"")</f>
        <v>3</v>
      </c>
      <c r="BW11" s="109" t="str">
        <f t="shared" si="16"/>
        <v>B</v>
      </c>
      <c r="BX11" s="81"/>
      <c r="BY11" s="82"/>
      <c r="BZ11" s="83"/>
      <c r="CA11" s="108" t="str">
        <f>IFERROR((((COUNTIF('Elève (5ème1)'!BX11:BZ11,"A"))*4)+((COUNTIF('Elève (5ème1)'!BX11:BZ11,"B"))*3)+((COUNTIF('Elève (5ème1)'!BX11:BZ11,"C"))*2)+((COUNTIF('Elève (5ème1)'!BX11:BZ11,"D"))*1))/(COUNTA(BX11:BZ11)),"")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(5ème1)'!CC11:CE11,"A"))*4)+((COUNTIF('Elève (5ème1)'!CC11:CE11,"B"))*3)+((COUNTIF('Elève (5ème1)'!CC11:CE11,"C"))*2)+((COUNTIF('Elève (5ème1)'!CC11:CE11,"D"))*1))/(COUNTA(CC11:CE11)),"")</f>
        <v/>
      </c>
      <c r="CG11" s="109" t="str">
        <f t="shared" si="18"/>
        <v/>
      </c>
      <c r="CH11" s="178">
        <f>IF(COUNT(BV11,CA11,CF11)=0,"",SUM(BV11,CA11,CF11)/COUNT(BV11,CA11,CF11))</f>
        <v>3</v>
      </c>
      <c r="CI11" s="131" t="str">
        <f t="shared" si="19"/>
        <v>B</v>
      </c>
      <c r="CJ11" s="156" t="s">
        <v>27</v>
      </c>
      <c r="CK11" s="157"/>
      <c r="CL11" s="158"/>
      <c r="CM11" s="108">
        <f>IFERROR((((COUNTIF('Elève (5ème1)'!CJ11:CL11,"A"))*4)+((COUNTIF('Elève (5ème1)'!CJ11:CL11,"B"))*3)+((COUNTIF('Elève (5ème1)'!CJ11:CL11,"C"))*2)+((COUNTIF('Elève (5ème1)'!CJ11:CL11,"D"))*1))/(COUNTA(CJ11:CL11)),"")</f>
        <v>4</v>
      </c>
      <c r="CN11" s="109" t="str">
        <f t="shared" si="20"/>
        <v>A</v>
      </c>
      <c r="CO11" s="81"/>
      <c r="CP11" s="82"/>
      <c r="CQ11" s="83"/>
      <c r="CR11" s="108" t="str">
        <f>IFERROR((((COUNTIF('Elève (5ème1)'!CO11:CQ11,"A"))*4)+((COUNTIF('Elève (5ème1)'!CO11:CQ11,"B"))*3)+((COUNTIF('Elève (5ème1)'!CO11:CQ11,"C"))*2)+((COUNTIF('Elève (5ème1)'!CO11:CQ11,"D"))*1))/(COUNTA(CO11:CQ11)),"")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(5ème1)'!CT11:CV11,"A"))*4)+((COUNTIF('Elève (5ème1)'!CT11:CV11,"B"))*3)+((COUNTIF('Elève (5ème1)'!CT11:CV11,"C"))*2)+((COUNTIF('Elève (5ème1)'!CT11:CV11,"D"))*1))/(COUNTA(CT11:CV11)),"")</f>
        <v/>
      </c>
      <c r="CX11" s="109" t="str">
        <f t="shared" si="22"/>
        <v/>
      </c>
      <c r="CY11" s="178">
        <f>IF(COUNT(CM11,CR11,CW11)=0,"",SUM(CM11,CR11,CW11)/COUNT(CM11,CR11,CW11))</f>
        <v>4</v>
      </c>
      <c r="CZ11" s="131" t="str">
        <f t="shared" si="23"/>
        <v>A</v>
      </c>
      <c r="DA11" s="156" t="s">
        <v>28</v>
      </c>
      <c r="DB11" s="157"/>
      <c r="DC11" s="158"/>
      <c r="DD11" s="108">
        <f>IFERROR((((COUNTIF('Elève (5ème1)'!DA11:DC11,"A"))*4)+((COUNTIF('Elève (5ème1)'!DA11:DC11,"B"))*3)+((COUNTIF('Elève (5ème1)'!DA11:DC11,"C"))*2)+((COUNTIF('Elève (5ème1)'!DA11:DC11,"D"))*1))/(COUNTA(DA11:DC11)),"")</f>
        <v>3</v>
      </c>
      <c r="DE11" s="109" t="str">
        <f t="shared" si="24"/>
        <v>B</v>
      </c>
      <c r="DF11" s="81"/>
      <c r="DG11" s="82"/>
      <c r="DH11" s="83"/>
      <c r="DI11" s="108" t="str">
        <f>IFERROR((((COUNTIF('Elève (5ème1)'!DF11:DH11,"A"))*4)+((COUNTIF('Elève (5ème1)'!DF11:DH11,"B"))*3)+((COUNTIF('Elève (5ème1)'!DF11:DH11,"C"))*2)+((COUNTIF('Elève (5ème1)'!DF11:DH11,"D"))*1))/(COUNTA(DF11:DH11)),"")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(5ème1)'!DK11:DM11,"A"))*4)+((COUNTIF('Elève (5ème1)'!DK11:DM11,"B"))*3)+((COUNTIF('Elève (5ème1)'!DK11:DM11,"C"))*2)+((COUNTIF('Elève (5ème1)'!DK11:DM11,"D"))*1))/(COUNTA(DK11:DM11)),"")</f>
        <v/>
      </c>
      <c r="DO11" s="109" t="str">
        <f t="shared" si="26"/>
        <v/>
      </c>
      <c r="DP11" s="178">
        <f>IF(COUNT(DD11,DI11,DN11)=0,"",SUM(DD11,DI11,DN11)/COUNT(DD11,DI11,DN11))</f>
        <v>3</v>
      </c>
      <c r="DQ11" s="131" t="str">
        <f t="shared" si="27"/>
        <v>B</v>
      </c>
      <c r="DR11" s="156" t="s">
        <v>28</v>
      </c>
      <c r="DS11" s="157"/>
      <c r="DT11" s="158"/>
      <c r="DU11" s="108">
        <f>IFERROR((((COUNTIF('Elève (5ème1)'!DR11:DT11,"A"))*4)+((COUNTIF('Elève (5ème1)'!DR11:DT11,"B"))*3)+((COUNTIF('Elève (5ème1)'!DR11:DT11,"C"))*2)+((COUNTIF('Elève (5ème1)'!DR11:DT11,"D"))*1))/(COUNTA(DR11:DT11)),"")</f>
        <v>3</v>
      </c>
      <c r="DV11" s="109" t="str">
        <f t="shared" si="28"/>
        <v>B</v>
      </c>
      <c r="DW11" s="81"/>
      <c r="DX11" s="82"/>
      <c r="DY11" s="83"/>
      <c r="DZ11" s="108" t="str">
        <f>IFERROR((((COUNTIF('Elève (5ème1)'!DW11:DY11,"A"))*4)+((COUNTIF('Elève (5ème1)'!DW11:DY11,"B"))*3)+((COUNTIF('Elève (5ème1)'!DW11:DY11,"C"))*2)+((COUNTIF('Elève (5ème1)'!DW11:DY11,"D"))*1))/(COUNTA(DW11:DY11)),"")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(5ème1)'!EB11:ED11,"A"))*4)+((COUNTIF('Elève (5ème1)'!EB11:ED11,"B"))*3)+((COUNTIF('Elève (5ème1)'!EB11:ED11,"C"))*2)+((COUNTIF('Elève (5ème1)'!EB11:ED11,"D"))*1))/(COUNTA(EB11:ED11)),"")</f>
        <v/>
      </c>
      <c r="EF11" s="109" t="str">
        <f t="shared" si="30"/>
        <v/>
      </c>
      <c r="EG11" s="178">
        <f>IF(COUNT(DU11,DZ11,EE11)=0,"",SUM(DU11,DZ11,EE11)/COUNT(DU11,DZ11,EE11))</f>
        <v>3</v>
      </c>
      <c r="EH11" s="131" t="str">
        <f t="shared" si="31"/>
        <v>B</v>
      </c>
      <c r="EI11" s="156" t="s">
        <v>28</v>
      </c>
      <c r="EJ11" s="157"/>
      <c r="EK11" s="158"/>
      <c r="EL11" s="108">
        <f>IFERROR((((COUNTIF('Elève (5ème1)'!EI11:EK11,"A"))*4)+((COUNTIF('Elève (5ème1)'!EI11:EK11,"B"))*3)+((COUNTIF('Elève (5ème1)'!EI11:EK11,"C"))*2)+((COUNTIF('Elève (5ème1)'!EI11:EK11,"D"))*1))/(COUNTA(EI11:EK11)),"")</f>
        <v>3</v>
      </c>
      <c r="EM11" s="109" t="str">
        <f t="shared" si="32"/>
        <v>B</v>
      </c>
      <c r="EN11" s="81"/>
      <c r="EO11" s="82"/>
      <c r="EP11" s="83"/>
      <c r="EQ11" s="108" t="str">
        <f>IFERROR((((COUNTIF('Elève (5ème1)'!EN11:EP11,"A"))*4)+((COUNTIF('Elève (5ème1)'!EN11:EP11,"B"))*3)+((COUNTIF('Elève (5ème1)'!EN11:EP11,"C"))*2)+((COUNTIF('Elève (5ème1)'!EN11:EP11,"D"))*1))/(COUNTA(EN11:EP11)),"")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(5ème1)'!ES11:EU11,"A"))*4)+((COUNTIF('Elève (5ème1)'!ES11:EU11,"B"))*3)+((COUNTIF('Elève (5ème1)'!ES11:EU11,"C"))*2)+((COUNTIF('Elève (5ème1)'!ES11:EU11,"D"))*1))/(COUNTA(ES11:EU11)),"")</f>
        <v/>
      </c>
      <c r="EW11" s="109" t="str">
        <f t="shared" si="34"/>
        <v/>
      </c>
      <c r="EX11" s="178">
        <f>IF(COUNT(EL11,EQ11,EV11)=0,"",SUM(EL11,EQ11,EV11)/COUNT(EL11,EQ11,EV11))</f>
        <v>3</v>
      </c>
      <c r="EY11" s="131" t="str">
        <f t="shared" si="35"/>
        <v>B</v>
      </c>
      <c r="EZ11" s="156" t="s">
        <v>28</v>
      </c>
      <c r="FA11" s="157"/>
      <c r="FB11" s="158"/>
      <c r="FC11" s="108">
        <f>IFERROR((((COUNTIF('Elève (5ème1)'!EZ11:FB11,"A"))*4)+((COUNTIF('Elève (5ème1)'!EZ11:FB11,"B"))*3)+((COUNTIF('Elève (5ème1)'!EZ11:FB11,"C"))*2)+((COUNTIF('Elève (5ème1)'!EZ11:FB11,"D"))*1))/(COUNTA(EZ11:FB11)),"")</f>
        <v>3</v>
      </c>
      <c r="FD11" s="109" t="str">
        <f t="shared" si="36"/>
        <v>B</v>
      </c>
      <c r="FE11" s="81"/>
      <c r="FF11" s="82"/>
      <c r="FG11" s="83"/>
      <c r="FH11" s="108" t="str">
        <f>IFERROR((((COUNTIF('Elève (5ème1)'!FE11:FG11,"A"))*4)+((COUNTIF('Elève (5ème1)'!FE11:FG11,"B"))*3)+((COUNTIF('Elève (5ème1)'!FE11:FG11,"C"))*2)+((COUNTIF('Elève (5ème1)'!FE11:FG11,"D"))*1))/(COUNTA(FE11:FG11)),"")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(5ème1)'!FJ11:FL11,"A"))*4)+((COUNTIF('Elève (5ème1)'!FJ11:FL11,"B"))*3)+((COUNTIF('Elève (5ème1)'!FJ11:FL11,"C"))*2)+((COUNTIF('Elève (5ème1)'!FJ11:FL11,"D"))*1))/(COUNTA(FJ11:FL11)),"")</f>
        <v/>
      </c>
      <c r="FN11" s="109" t="str">
        <f t="shared" si="38"/>
        <v/>
      </c>
      <c r="FO11" s="178">
        <f>IF(COUNT(FC11,FH11,FM11)=0,"",SUM(FC11,FH11,FM11)/COUNT(FC11,FH11,FM11))</f>
        <v>3</v>
      </c>
      <c r="FP11" s="131" t="str">
        <f t="shared" si="39"/>
        <v>B</v>
      </c>
      <c r="FQ11" s="156" t="s">
        <v>28</v>
      </c>
      <c r="FR11" s="157"/>
      <c r="FS11" s="158"/>
      <c r="FT11" s="108">
        <f>IFERROR((((COUNTIF('Elève (5ème1)'!FQ11:FS11,"A"))*4)+((COUNTIF('Elève (5ème1)'!FQ11:FS11,"B"))*3)+((COUNTIF('Elève (5ème1)'!FQ11:FS11,"C"))*2)+((COUNTIF('Elève (5ème1)'!FQ11:FS11,"D"))*1))/(COUNTA(FQ11:FS11)),"")</f>
        <v>3</v>
      </c>
      <c r="FU11" s="109" t="str">
        <f t="shared" si="40"/>
        <v>B</v>
      </c>
      <c r="FV11" s="81"/>
      <c r="FW11" s="82"/>
      <c r="FX11" s="83"/>
      <c r="FY11" s="108" t="str">
        <f>IFERROR((((COUNTIF('Elève (5ème1)'!FV11:FX11,"A"))*4)+((COUNTIF('Elève (5ème1)'!FV11:FX11,"B"))*3)+((COUNTIF('Elève (5ème1)'!FV11:FX11,"C"))*2)+((COUNTIF('Elève (5ème1)'!FV11:FX11,"D"))*1))/(COUNTA(FV11:FX11)),"")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(5ème1)'!GA11:GC11,"A"))*4)+((COUNTIF('Elève (5ème1)'!GA11:GC11,"B"))*3)+((COUNTIF('Elève (5ème1)'!GA11:GC11,"C"))*2)+((COUNTIF('Elève (5ème1)'!GA11:GC11,"D"))*1))/(COUNTA(GA11:GC11)),"")</f>
        <v/>
      </c>
      <c r="GE11" s="109" t="str">
        <f t="shared" si="42"/>
        <v/>
      </c>
      <c r="GF11" s="178">
        <f>IF(COUNT(FT11,FY11,GD11)=0,"",SUM(FT11,FY11,GD11)/COUNT(FT11,FY11,GD11))</f>
        <v>3</v>
      </c>
      <c r="GG11" s="131" t="str">
        <f t="shared" si="43"/>
        <v>B</v>
      </c>
      <c r="GH11" s="156" t="s">
        <v>27</v>
      </c>
      <c r="GI11" s="157"/>
      <c r="GJ11" s="158"/>
      <c r="GK11" s="108">
        <f>IFERROR((((COUNTIF('Elève (5ème1)'!GH11:GJ11,"A"))*4)+((COUNTIF('Elève (5ème1)'!GH11:GJ11,"B"))*3)+((COUNTIF('Elève (5ème1)'!GH11:GJ11,"C"))*2)+((COUNTIF('Elève (5ème1)'!GH11:GJ11,"D"))*1))/(COUNTA(GH11:GJ11)),"")</f>
        <v>4</v>
      </c>
      <c r="GL11" s="109" t="str">
        <f t="shared" si="44"/>
        <v>A</v>
      </c>
      <c r="GM11" s="81"/>
      <c r="GN11" s="82"/>
      <c r="GO11" s="83"/>
      <c r="GP11" s="108" t="str">
        <f>IFERROR((((COUNTIF('Elève (5ème1)'!GM11:GO11,"A"))*4)+((COUNTIF('Elève (5ème1)'!GM11:GO11,"B"))*3)+((COUNTIF('Elève (5ème1)'!GM11:GO11,"C"))*2)+((COUNTIF('Elève (5ème1)'!GM11:GO11,"D"))*1))/(COUNTA(GM11:GO11)),"")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(5ème1)'!GR11:GT11,"A"))*4)+((COUNTIF('Elève (5ème1)'!GR11:GT11,"B"))*3)+((COUNTIF('Elève (5ème1)'!GR11:GT11,"C"))*2)+((COUNTIF('Elève (5ème1)'!GR11:GT11,"D"))*1))/(COUNTA(GR11:GT11)),"")</f>
        <v/>
      </c>
      <c r="GV11" s="109" t="str">
        <f t="shared" si="46"/>
        <v/>
      </c>
      <c r="GW11" s="178">
        <f>IF(COUNT(GK11,GP11,GU11)=0,"",SUM(GK11,GP11,GU11)/COUNT(GK11,GP11,GU11))</f>
        <v>4</v>
      </c>
      <c r="GX11" s="131" t="str">
        <f t="shared" si="47"/>
        <v>A</v>
      </c>
      <c r="GY11" s="156" t="s">
        <v>28</v>
      </c>
      <c r="GZ11" s="157"/>
      <c r="HA11" s="158"/>
      <c r="HB11" s="108">
        <f>IFERROR((((COUNTIF('Elève (5ème1)'!GY11:HA11,"A"))*4)+((COUNTIF('Elève (5ème1)'!GY11:HA11,"B"))*3)+((COUNTIF('Elève (5ème1)'!GY11:HA11,"C"))*2)+((COUNTIF('Elève (5ème1)'!GY11:HA11,"D"))*1))/(COUNTA(GY11:HA11)),"")</f>
        <v>3</v>
      </c>
      <c r="HC11" s="109" t="str">
        <f t="shared" si="48"/>
        <v>B</v>
      </c>
      <c r="HD11" s="81"/>
      <c r="HE11" s="82"/>
      <c r="HF11" s="83"/>
      <c r="HG11" s="108" t="str">
        <f>IFERROR((((COUNTIF('Elève (5ème1)'!HD11:HF11,"A"))*4)+((COUNTIF('Elève (5ème1)'!HD11:HF11,"B"))*3)+((COUNTIF('Elève (5ème1)'!HD11:HF11,"C"))*2)+((COUNTIF('Elève (5ème1)'!HD11:HF11,"D"))*1))/(COUNTA(HD11:HF11)),"")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(5ème1)'!HI11:HK11,"A"))*4)+((COUNTIF('Elève (5ème1)'!HI11:HK11,"B"))*3)+((COUNTIF('Elève (5ème1)'!HI11:HK11,"C"))*2)+((COUNTIF('Elève (5ème1)'!HI11:HK11,"D"))*1))/(COUNTA(HI11:HK11)),"")</f>
        <v/>
      </c>
      <c r="HM11" s="109" t="str">
        <f t="shared" si="50"/>
        <v/>
      </c>
      <c r="HN11" s="178">
        <f>IF(COUNT(HB11,HG11,HL11)=0,"",SUM(HB11,HG11,HL11)/COUNT(HB11,HG11,HL11))</f>
        <v>3</v>
      </c>
      <c r="HO11" s="131" t="str">
        <f t="shared" si="51"/>
        <v>B</v>
      </c>
      <c r="HP11" s="156" t="s">
        <v>27</v>
      </c>
      <c r="HQ11" s="157"/>
      <c r="HR11" s="158"/>
      <c r="HS11" s="108">
        <f>IFERROR((((COUNTIF('Elève (5ème1)'!HP11:HR11,"A"))*4)+((COUNTIF('Elève (5ème1)'!HP11:HR11,"B"))*3)+((COUNTIF('Elève (5ème1)'!HP11:HR11,"C"))*2)+((COUNTIF('Elève (5ème1)'!HP11:HR11,"D"))*1))/(COUNTA(HP11:HR11)),"")</f>
        <v>4</v>
      </c>
      <c r="HT11" s="109" t="str">
        <f t="shared" si="52"/>
        <v>A</v>
      </c>
      <c r="HU11" s="81"/>
      <c r="HV11" s="82"/>
      <c r="HW11" s="83"/>
      <c r="HX11" s="108" t="str">
        <f>IFERROR((((COUNTIF('Elève (5ème1)'!HU11:HW11,"A"))*4)+((COUNTIF('Elève (5ème1)'!HU11:HW11,"B"))*3)+((COUNTIF('Elève (5ème1)'!HU11:HW11,"C"))*2)+((COUNTIF('Elève (5ème1)'!HU11:HW11,"D"))*1))/(COUNTA(HU11:HW11)),"")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(5ème1)'!HZ11:IB11,"A"))*4)+((COUNTIF('Elève (5ème1)'!HZ11:IB11,"B"))*3)+((COUNTIF('Elève (5ème1)'!HZ11:IB11,"C"))*2)+((COUNTIF('Elève (5ème1)'!HZ11:IB11,"D"))*1))/(COUNTA(HZ11:IB11)),"")</f>
        <v/>
      </c>
      <c r="ID11" s="109" t="str">
        <f t="shared" si="54"/>
        <v/>
      </c>
      <c r="IE11" s="178">
        <f>IF(COUNT(HS11,HX11,IC11)=0,"",SUM(HS11,HX11,IC11)/COUNT(HS11,HX11,IC11))</f>
        <v>4</v>
      </c>
      <c r="IF11" s="131" t="str">
        <f t="shared" si="55"/>
        <v>A</v>
      </c>
      <c r="IG11" s="156" t="s">
        <v>27</v>
      </c>
      <c r="IH11" s="157"/>
      <c r="II11" s="158"/>
      <c r="IJ11" s="108">
        <f>IFERROR((((COUNTIF('Elève (5ème1)'!IG11:II11,"A"))*4)+((COUNTIF('Elève (5ème1)'!IG11:II11,"B"))*3)+((COUNTIF('Elève (5ème1)'!IG11:II11,"C"))*2)+((COUNTIF('Elève (5ème1)'!IG11:II11,"D"))*1))/(COUNTA(IG11:II11)),"")</f>
        <v>4</v>
      </c>
      <c r="IK11" s="109" t="str">
        <f t="shared" si="56"/>
        <v>A</v>
      </c>
      <c r="IL11" s="81"/>
      <c r="IM11" s="82"/>
      <c r="IN11" s="83"/>
      <c r="IO11" s="108" t="str">
        <f>IFERROR((((COUNTIF('Elève (5ème1)'!IL11:IN11,"A"))*4)+((COUNTIF('Elève (5ème1)'!IL11:IN11,"B"))*3)+((COUNTIF('Elève (5ème1)'!IL11:IN11,"C"))*2)+((COUNTIF('Elève (5ème1)'!IL11:IN11,"D"))*1))/(COUNTA(IL11:IN11)),"")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(5ème1)'!IQ11:IS11,"A"))*4)+((COUNTIF('Elève (5ème1)'!IQ11:IS11,"B"))*3)+((COUNTIF('Elève (5ème1)'!IQ11:IS11,"C"))*2)+((COUNTIF('Elève (5ème1)'!IQ11:IS11,"D"))*1))/(COUNTA(IQ11:IS11)),"")</f>
        <v/>
      </c>
      <c r="IU11" s="109" t="str">
        <f t="shared" si="58"/>
        <v/>
      </c>
      <c r="IV11" s="178">
        <f>IF(COUNT(IJ11,IO11,IT11)=0,"",SUM(IJ11,IO11,IT11)/COUNT(IJ11,IO11,IT11))</f>
        <v>4</v>
      </c>
      <c r="IW11" s="131" t="str">
        <f t="shared" si="59"/>
        <v>A</v>
      </c>
      <c r="IX11" s="156" t="s">
        <v>27</v>
      </c>
      <c r="IY11" s="157"/>
      <c r="IZ11" s="158"/>
      <c r="JA11" s="108">
        <f>IFERROR((((COUNTIF('Elève (5ème1)'!IX11:IZ11,"A"))*4)+((COUNTIF('Elève (5ème1)'!IX11:IZ11,"B"))*3)+((COUNTIF('Elève (5ème1)'!IX11:IZ11,"C"))*2)+((COUNTIF('Elève (5ème1)'!IX11:IZ11,"D"))*1))/(COUNTA(IX11:IZ11)),"")</f>
        <v>4</v>
      </c>
      <c r="JB11" s="109" t="str">
        <f t="shared" si="60"/>
        <v>A</v>
      </c>
      <c r="JC11" s="81"/>
      <c r="JD11" s="82"/>
      <c r="JE11" s="83"/>
      <c r="JF11" s="108" t="str">
        <f>IFERROR((((COUNTIF('Elève (5ème1)'!JC11:JE11,"A"))*4)+((COUNTIF('Elève (5ème1)'!JC11:JE11,"B"))*3)+((COUNTIF('Elève (5ème1)'!JC11:JE11,"C"))*2)+((COUNTIF('Elève (5ème1)'!JC11:JE11,"D"))*1))/(COUNTA(JC11:JE11)),"")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(5ème1)'!JH11:JJ11,"A"))*4)+((COUNTIF('Elève (5ème1)'!JH11:JJ11,"B"))*3)+((COUNTIF('Elève (5ème1)'!JH11:JJ11,"C"))*2)+((COUNTIF('Elève (5ème1)'!JH11:JJ11,"D"))*1))/(COUNTA(JH11:JJ11)),"")</f>
        <v/>
      </c>
      <c r="JL11" s="109" t="str">
        <f t="shared" si="62"/>
        <v/>
      </c>
      <c r="JM11" s="178">
        <f>IF(COUNT(JA11,JF11,JK11)=0,"",SUM(JA11,JF11,JK11)/COUNT(JA11,JF11,JK11))</f>
        <v>4</v>
      </c>
      <c r="JN11" s="131" t="str">
        <f t="shared" si="63"/>
        <v>A</v>
      </c>
      <c r="JO11" s="156" t="s">
        <v>27</v>
      </c>
      <c r="JP11" s="157"/>
      <c r="JQ11" s="158"/>
      <c r="JR11" s="108">
        <f>IFERROR((((COUNTIF('Elève (5ème1)'!JO11:JQ11,"A"))*4)+((COUNTIF('Elève (5ème1)'!JO11:JQ11,"B"))*3)+((COUNTIF('Elève (5ème1)'!JO11:JQ11,"C"))*2)+((COUNTIF('Elève (5ème1)'!JO11:JQ11,"D"))*1))/(COUNTA(JO11:JQ11)),"")</f>
        <v>4</v>
      </c>
      <c r="JS11" s="109" t="str">
        <f t="shared" si="64"/>
        <v>A</v>
      </c>
      <c r="JT11" s="81"/>
      <c r="JU11" s="82"/>
      <c r="JV11" s="83"/>
      <c r="JW11" s="108" t="str">
        <f>IFERROR((((COUNTIF('Elève (5ème1)'!JT11:JV11,"A"))*4)+((COUNTIF('Elève (5ème1)'!JT11:JV11,"B"))*3)+((COUNTIF('Elève (5ème1)'!JT11:JV11,"C"))*2)+((COUNTIF('Elève (5ème1)'!JT11:JV11,"D"))*1))/(COUNTA(JT11:JV11)),"")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(5ème1)'!JY11:KA11,"A"))*4)+((COUNTIF('Elève (5ème1)'!JY11:KA11,"B"))*3)+((COUNTIF('Elève (5ème1)'!JY11:KA11,"C"))*2)+((COUNTIF('Elève (5ème1)'!JY11:KA11,"D"))*1))/(COUNTA(JY11:KA11)),"")</f>
        <v/>
      </c>
      <c r="KC11" s="109" t="str">
        <f t="shared" si="66"/>
        <v/>
      </c>
      <c r="KD11" s="178">
        <f>IF(COUNT(JR11,JW11,KB11)=0,"",SUM(JR11,JW11,KB11)/COUNT(JR11,JW11,KB11))</f>
        <v>4</v>
      </c>
      <c r="KE11" s="131" t="str">
        <f t="shared" si="67"/>
        <v>A</v>
      </c>
      <c r="KF11" s="156" t="s">
        <v>27</v>
      </c>
      <c r="KG11" s="157"/>
      <c r="KH11" s="158"/>
      <c r="KI11" s="108">
        <f>IFERROR((((COUNTIF('Elève (5ème1)'!KF11:KH11,"A"))*4)+((COUNTIF('Elève (5ème1)'!KF11:KH11,"B"))*3)+((COUNTIF('Elève (5ème1)'!KF11:KH11,"C"))*2)+((COUNTIF('Elève (5ème1)'!KF11:KH11,"D"))*1))/(COUNTA(KF11:KH11)),"")</f>
        <v>4</v>
      </c>
      <c r="KJ11" s="109" t="str">
        <f t="shared" si="68"/>
        <v>A</v>
      </c>
      <c r="KK11" s="81"/>
      <c r="KL11" s="82"/>
      <c r="KM11" s="83"/>
      <c r="KN11" s="108" t="str">
        <f>IFERROR((((COUNTIF('Elève (5ème1)'!KK11:KM11,"A"))*4)+((COUNTIF('Elève (5ème1)'!KK11:KM11,"B"))*3)+((COUNTIF('Elève (5ème1)'!KK11:KM11,"C"))*2)+((COUNTIF('Elève (5ème1)'!KK11:KM11,"D"))*1))/(COUNTA(KK11:KM11)),"")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(5ème1)'!KP11:KR11,"A"))*4)+((COUNTIF('Elève (5ème1)'!KP11:KR11,"B"))*3)+((COUNTIF('Elève (5ème1)'!KP11:KR11,"C"))*2)+((COUNTIF('Elève (5ème1)'!KP11:KR11,"D"))*1))/(COUNTA(KP11:KR11)),"")</f>
        <v/>
      </c>
      <c r="KT11" s="109" t="str">
        <f t="shared" si="70"/>
        <v/>
      </c>
      <c r="KU11" s="178">
        <f>IF(COUNT(KI11,KN11,KS11)=0,"",SUM(KI11,KN11,KS11)/COUNT(KI11,KN11,KS11))</f>
        <v>4</v>
      </c>
      <c r="KV11" s="131" t="str">
        <f t="shared" si="71"/>
        <v>A</v>
      </c>
      <c r="KW11" s="156" t="s">
        <v>29</v>
      </c>
      <c r="KX11" s="157"/>
      <c r="KY11" s="158"/>
      <c r="KZ11" s="108">
        <f>IFERROR((((COUNTIF('Elève (5ème1)'!KW11:KY11,"A"))*4)+((COUNTIF('Elève (5ème1)'!KW11:KY11,"B"))*3)+((COUNTIF('Elève (5ème1)'!KW11:KY11,"C"))*2)+((COUNTIF('Elève (5ème1)'!KW11:KY11,"D"))*1))/(COUNTA(KW11:KY11)),"")</f>
        <v>2</v>
      </c>
      <c r="LA11" s="109" t="str">
        <f t="shared" si="72"/>
        <v>C</v>
      </c>
      <c r="LB11" s="81"/>
      <c r="LC11" s="82"/>
      <c r="LD11" s="83"/>
      <c r="LE11" s="108" t="str">
        <f>IFERROR((((COUNTIF('Elève (5ème1)'!LB11:LD11,"A"))*4)+((COUNTIF('Elève (5ème1)'!LB11:LD11,"B"))*3)+((COUNTIF('Elève (5ème1)'!LB11:LD11,"C"))*2)+((COUNTIF('Elève (5ème1)'!LB11:LD11,"D"))*1))/(COUNTA(LB11:LD11)),"")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(5ème1)'!LG11:LI11,"A"))*4)+((COUNTIF('Elève (5ème1)'!LG11:LI11,"B"))*3)+((COUNTIF('Elève (5ème1)'!LG11:LI11,"C"))*2)+((COUNTIF('Elève (5ème1)'!LG11:LI11,"D"))*1))/(COUNTA(LG11:LI11)),"")</f>
        <v/>
      </c>
      <c r="LK11" s="109" t="str">
        <f t="shared" si="74"/>
        <v/>
      </c>
      <c r="LL11" s="178">
        <f>IF(COUNT(KZ11,LE11,LJ11)=0,"",SUM(KZ11,LE11,LJ11)/COUNT(KZ11,LE11,LJ11))</f>
        <v>2</v>
      </c>
      <c r="LM11" s="131" t="str">
        <f t="shared" si="75"/>
        <v>C</v>
      </c>
      <c r="LN11" s="156" t="s">
        <v>28</v>
      </c>
      <c r="LO11" s="157"/>
      <c r="LP11" s="158"/>
      <c r="LQ11" s="108">
        <f>IFERROR((((COUNTIF('Elève (5ème1)'!LN11:LP11,"A"))*4)+((COUNTIF('Elève (5ème1)'!LN11:LP11,"B"))*3)+((COUNTIF('Elève (5ème1)'!LN11:LP11,"C"))*2)+((COUNTIF('Elève (5ème1)'!LN11:LP11,"D"))*1))/(COUNTA(LN11:LP11)),"")</f>
        <v>3</v>
      </c>
      <c r="LR11" s="109" t="str">
        <f t="shared" si="76"/>
        <v>B</v>
      </c>
      <c r="LS11" s="81"/>
      <c r="LT11" s="82"/>
      <c r="LU11" s="83"/>
      <c r="LV11" s="108" t="str">
        <f>IFERROR((((COUNTIF('Elève (5ème1)'!LS11:LU11,"A"))*4)+((COUNTIF('Elève (5ème1)'!LS11:LU11,"B"))*3)+((COUNTIF('Elève (5ème1)'!LS11:LU11,"C"))*2)+((COUNTIF('Elève (5ème1)'!LS11:LU11,"D"))*1))/(COUNTA(LS11:LU11)),"")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(5ème1)'!LX11:LZ11,"A"))*4)+((COUNTIF('Elève (5ème1)'!LX11:LZ11,"B"))*3)+((COUNTIF('Elève (5ème1)'!LX11:LZ11,"C"))*2)+((COUNTIF('Elève (5ème1)'!LX11:LZ11,"D"))*1))/(COUNTA(LX11:LZ11)),"")</f>
        <v/>
      </c>
      <c r="MB11" s="109" t="str">
        <f t="shared" si="78"/>
        <v/>
      </c>
      <c r="MC11" s="178">
        <f>IF(COUNT(LQ11,LV11,MA11)=0,"",SUM(LQ11,LV11,MA11)/COUNT(LQ11,LV11,MA11))</f>
        <v>3</v>
      </c>
      <c r="MD11" s="131" t="str">
        <f t="shared" si="79"/>
        <v>B</v>
      </c>
      <c r="ME11" s="156" t="s">
        <v>28</v>
      </c>
      <c r="MF11" s="157"/>
      <c r="MG11" s="158"/>
      <c r="MH11" s="108">
        <f>IFERROR((((COUNTIF('Elève (5ème1)'!ME11:MG11,"A"))*4)+((COUNTIF('Elève (5ème1)'!ME11:MG11,"B"))*3)+((COUNTIF('Elève (5ème1)'!ME11:MG11,"C"))*2)+((COUNTIF('Elève (5ème1)'!ME11:MG11,"D"))*1))/(COUNTA(ME11:MG11)),"")</f>
        <v>3</v>
      </c>
      <c r="MI11" s="109" t="str">
        <f t="shared" si="80"/>
        <v>B</v>
      </c>
      <c r="MJ11" s="81"/>
      <c r="MK11" s="82"/>
      <c r="ML11" s="83"/>
      <c r="MM11" s="108" t="str">
        <f>IFERROR((((COUNTIF('Elève (5ème1)'!MJ11:ML11,"A"))*4)+((COUNTIF('Elève (5ème1)'!MJ11:ML11,"B"))*3)+((COUNTIF('Elève (5ème1)'!MJ11:ML11,"C"))*2)+((COUNTIF('Elève (5ème1)'!MJ11:ML11,"D"))*1))/(COUNTA(MJ11:ML11)),"")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(5ème1)'!MO11:MQ11,"A"))*4)+((COUNTIF('Elève (5ème1)'!MO11:MQ11,"B"))*3)+((COUNTIF('Elève (5ème1)'!MO11:MQ11,"C"))*2)+((COUNTIF('Elève (5ème1)'!MO11:MQ11,"D"))*1))/(COUNTA(MO11:MQ11)),"")</f>
        <v/>
      </c>
      <c r="MS11" s="109" t="str">
        <f t="shared" si="82"/>
        <v/>
      </c>
      <c r="MT11" s="178">
        <f>IF(COUNT(MH11,MM11,MR11)=0,"",SUM(MH11,MM11,MR11)/COUNT(MH11,MM11,MR11))</f>
        <v>3</v>
      </c>
      <c r="MU11" s="131" t="str">
        <f t="shared" si="83"/>
        <v>B</v>
      </c>
      <c r="MV11" s="156" t="s">
        <v>29</v>
      </c>
      <c r="MW11" s="157"/>
      <c r="MX11" s="158"/>
      <c r="MY11" s="108">
        <f>IFERROR((((COUNTIF('Elève (5ème1)'!MV11:MX11,"A"))*4)+((COUNTIF('Elève (5ème1)'!MV11:MX11,"B"))*3)+((COUNTIF('Elève (5ème1)'!MV11:MX11,"C"))*2)+((COUNTIF('Elève (5ème1)'!MV11:MX11,"D"))*1))/(COUNTA(MV11:MX11)),"")</f>
        <v>2</v>
      </c>
      <c r="MZ11" s="109" t="str">
        <f t="shared" si="84"/>
        <v>C</v>
      </c>
      <c r="NA11" s="81"/>
      <c r="NB11" s="82"/>
      <c r="NC11" s="83"/>
      <c r="ND11" s="108" t="str">
        <f>IFERROR((((COUNTIF('Elève (5ème1)'!NA11:NC11,"A"))*4)+((COUNTIF('Elève (5ème1)'!NA11:NC11,"B"))*3)+((COUNTIF('Elève (5ème1)'!NA11:NC11,"C"))*2)+((COUNTIF('Elève (5ème1)'!NA11:NC11,"D"))*1))/(COUNTA(NA11:NC11)),"")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(5ème1)'!NF11:NH11,"A"))*4)+((COUNTIF('Elève (5ème1)'!NF11:NH11,"B"))*3)+((COUNTIF('Elève (5ème1)'!NF11:NH11,"C"))*2)+((COUNTIF('Elève (5ème1)'!NF11:NH11,"D"))*1))/(COUNTA(NF11:NH11)),"")</f>
        <v/>
      </c>
      <c r="NJ11" s="109" t="str">
        <f t="shared" si="86"/>
        <v/>
      </c>
      <c r="NK11" s="178">
        <f>IF(COUNT(MY11,ND11,NI11)=0,"",SUM(MY11,ND11,NI11)/COUNT(MY11,ND11,NI11))</f>
        <v>2</v>
      </c>
      <c r="NL11" s="131" t="str">
        <f t="shared" si="87"/>
        <v>C</v>
      </c>
      <c r="NM11" s="156" t="s">
        <v>28</v>
      </c>
      <c r="NN11" s="157"/>
      <c r="NO11" s="158"/>
      <c r="NP11" s="108">
        <f>IFERROR((((COUNTIF('Elève (5ème1)'!NM11:NO11,"A"))*4)+((COUNTIF('Elève (5ème1)'!NM11:NO11,"B"))*3)+((COUNTIF('Elève (5ème1)'!NM11:NO11,"C"))*2)+((COUNTIF('Elève (5ème1)'!NM11:NO11,"D"))*1))/(COUNTA(NM11:NO11)),"")</f>
        <v>3</v>
      </c>
      <c r="NQ11" s="109" t="str">
        <f t="shared" si="88"/>
        <v>B</v>
      </c>
      <c r="NR11" s="81"/>
      <c r="NS11" s="82"/>
      <c r="NT11" s="83"/>
      <c r="NU11" s="108" t="str">
        <f>IFERROR((((COUNTIF('Elève (5ème1)'!NR11:NT11,"A"))*4)+((COUNTIF('Elève (5ème1)'!NR11:NT11,"B"))*3)+((COUNTIF('Elève (5ème1)'!NR11:NT11,"C"))*2)+((COUNTIF('Elève (5ème1)'!NR11:NT11,"D"))*1))/(COUNTA(NR11:NT11)),"")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(5ème1)'!NW11:NY11,"A"))*4)+((COUNTIF('Elève (5ème1)'!NW11:NY11,"B"))*3)+((COUNTIF('Elève (5ème1)'!NW11:NY11,"C"))*2)+((COUNTIF('Elève (5ème1)'!NW11:NY11,"D"))*1))/(COUNTA(NW11:NY11)),"")</f>
        <v/>
      </c>
      <c r="OA11" s="109" t="str">
        <f t="shared" si="90"/>
        <v/>
      </c>
      <c r="OB11" s="178">
        <f>IF(COUNT(NP11,NU11,NZ11)=0,"",SUM(NP11,NU11,NZ11)/COUNT(NP11,NU11,NZ11))</f>
        <v>3</v>
      </c>
      <c r="OC11" s="131" t="str">
        <f t="shared" si="91"/>
        <v>B</v>
      </c>
      <c r="OD11" s="156" t="s">
        <v>27</v>
      </c>
      <c r="OE11" s="157"/>
      <c r="OF11" s="158"/>
      <c r="OG11" s="108">
        <f>IFERROR((((COUNTIF('Elève (5ème1)'!OD11:OF11,"A"))*4)+((COUNTIF('Elève (5ème1)'!OD11:OF11,"B"))*3)+((COUNTIF('Elève (5ème1)'!OD11:OF11,"C"))*2)+((COUNTIF('Elève (5ème1)'!OD11:OF11,"D"))*1))/(COUNTA(OD11:OF11)),"")</f>
        <v>4</v>
      </c>
      <c r="OH11" s="109" t="str">
        <f t="shared" si="92"/>
        <v>A</v>
      </c>
      <c r="OI11" s="81"/>
      <c r="OJ11" s="82"/>
      <c r="OK11" s="83"/>
      <c r="OL11" s="108" t="str">
        <f>IFERROR((((COUNTIF('Elève (5ème1)'!OI11:OK11,"A"))*4)+((COUNTIF('Elève (5ème1)'!OI11:OK11,"B"))*3)+((COUNTIF('Elève (5ème1)'!OI11:OK11,"C"))*2)+((COUNTIF('Elève (5ème1)'!OI11:OK11,"D"))*1))/(COUNTA(OI11:OK11)),"")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(5ème1)'!ON11:OP11,"A"))*4)+((COUNTIF('Elève (5ème1)'!ON11:OP11,"B"))*3)+((COUNTIF('Elève (5ème1)'!ON11:OP11,"C"))*2)+((COUNTIF('Elève (5ème1)'!ON11:OP11,"D"))*1))/(COUNTA(ON11:OP11)),"")</f>
        <v/>
      </c>
      <c r="OR11" s="109" t="str">
        <f t="shared" si="94"/>
        <v/>
      </c>
      <c r="OS11" s="178">
        <f>IF(COUNT(OG11,OL11,OQ11)=0,"",SUM(OG11,OL11,OQ11)/COUNT(OG11,OL11,OQ11))</f>
        <v>4</v>
      </c>
      <c r="OT11" s="131" t="str">
        <f t="shared" si="95"/>
        <v>A</v>
      </c>
      <c r="OU11" s="156" t="s">
        <v>28</v>
      </c>
      <c r="OV11" s="157"/>
      <c r="OW11" s="158"/>
      <c r="OX11" s="108">
        <f>IFERROR((((COUNTIF('Elève (5ème1)'!OU11:OW11,"A"))*4)+((COUNTIF('Elève (5ème1)'!OU11:OW11,"B"))*3)+((COUNTIF('Elève (5ème1)'!OU11:OW11,"C"))*2)+((COUNTIF('Elève (5ème1)'!OU11:OW11,"D"))*1))/(COUNTA(OU11:OW11)),"")</f>
        <v>3</v>
      </c>
      <c r="OY11" s="109" t="str">
        <f t="shared" si="96"/>
        <v>B</v>
      </c>
      <c r="OZ11" s="81"/>
      <c r="PA11" s="82"/>
      <c r="PB11" s="83"/>
      <c r="PC11" s="108" t="str">
        <f>IFERROR((((COUNTIF('Elève (5ème1)'!OZ11:PB11,"A"))*4)+((COUNTIF('Elève (5ème1)'!OZ11:PB11,"B"))*3)+((COUNTIF('Elève (5ème1)'!OZ11:PB11,"C"))*2)+((COUNTIF('Elève (5ème1)'!OZ11:PB11,"D"))*1))/(COUNTA(OZ11:PB11)),"")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(5ème1)'!PE11:PG11,"A"))*4)+((COUNTIF('Elève (5ème1)'!PE11:PG11,"B"))*3)+((COUNTIF('Elève (5ème1)'!PE11:PG11,"C"))*2)+((COUNTIF('Elève (5ème1)'!PE11:PG11,"D"))*1))/(COUNTA(PE11:PG11)),"")</f>
        <v/>
      </c>
      <c r="PI11" s="109" t="str">
        <f t="shared" si="98"/>
        <v/>
      </c>
      <c r="PJ11" s="178">
        <f>IF(COUNT(OX11,PC11,PH11)=0,"",SUM(OX11,PC11,PH11)/COUNT(OX11,PC11,PH11))</f>
        <v>3</v>
      </c>
      <c r="PK11" s="131" t="str">
        <f t="shared" si="99"/>
        <v>B</v>
      </c>
      <c r="PL11" s="156" t="s">
        <v>28</v>
      </c>
      <c r="PM11" s="157"/>
      <c r="PN11" s="158"/>
      <c r="PO11" s="108">
        <f>IFERROR((((COUNTIF('Elève (5ème1)'!PL11:PN11,"A"))*4)+((COUNTIF('Elève (5ème1)'!PL11:PN11,"B"))*3)+((COUNTIF('Elève (5ème1)'!PL11:PN11,"C"))*2)+((COUNTIF('Elève (5ème1)'!PL11:PN11,"D"))*1))/(COUNTA(PL11:PN11)),"")</f>
        <v>3</v>
      </c>
      <c r="PP11" s="109" t="str">
        <f t="shared" si="100"/>
        <v>B</v>
      </c>
      <c r="PQ11" s="81"/>
      <c r="PR11" s="82"/>
      <c r="PS11" s="83"/>
      <c r="PT11" s="108" t="str">
        <f>IFERROR((((COUNTIF('Elève (5ème1)'!PQ11:PS11,"A"))*4)+((COUNTIF('Elève (5ème1)'!PQ11:PS11,"B"))*3)+((COUNTIF('Elève (5ème1)'!PQ11:PS11,"C"))*2)+((COUNTIF('Elève (5ème1)'!PQ11:PS11,"D"))*1))/(COUNTA(PQ11:PS11)),"")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(5ème1)'!PV11:PX11,"A"))*4)+((COUNTIF('Elève (5ème1)'!PV11:PX11,"B"))*3)+((COUNTIF('Elève (5ème1)'!PV11:PX11,"C"))*2)+((COUNTIF('Elève (5ème1)'!PV11:PX11,"D"))*1))/(COUNTA(PV11:PX11)),"")</f>
        <v/>
      </c>
      <c r="PZ11" s="109" t="str">
        <f t="shared" si="102"/>
        <v/>
      </c>
      <c r="QA11" s="178">
        <f>IF(COUNT(PO11,PT11,PY11)=0,"",SUM(PO11,PT11,PY11)/COUNT(PO11,PT11,PY11))</f>
        <v>3</v>
      </c>
      <c r="QB11" s="131" t="str">
        <f t="shared" si="103"/>
        <v>B</v>
      </c>
      <c r="QC11" s="156" t="s">
        <v>27</v>
      </c>
      <c r="QD11" s="157"/>
      <c r="QE11" s="158"/>
      <c r="QF11" s="108">
        <f>IFERROR((((COUNTIF('Elève (5ème1)'!QC11:QE11,"A"))*4)+((COUNTIF('Elève (5ème1)'!QC11:QE11,"B"))*3)+((COUNTIF('Elève (5ème1)'!QC11:QE11,"C"))*2)+((COUNTIF('Elève (5ème1)'!QC11:QE11,"D"))*1))/(COUNTA(QC11:QE11)),"")</f>
        <v>4</v>
      </c>
      <c r="QG11" s="109" t="str">
        <f t="shared" si="104"/>
        <v>A</v>
      </c>
      <c r="QH11" s="81"/>
      <c r="QI11" s="82"/>
      <c r="QJ11" s="83"/>
      <c r="QK11" s="108" t="str">
        <f>IFERROR((((COUNTIF('Elève (5ème1)'!QH11:QJ11,"A"))*4)+((COUNTIF('Elève (5ème1)'!QH11:QJ11,"B"))*3)+((COUNTIF('Elève (5ème1)'!QH11:QJ11,"C"))*2)+((COUNTIF('Elève (5ème1)'!QH11:QJ11,"D"))*1))/(COUNTA(QH11:QJ11)),"")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(5ème1)'!QM11:QO11,"A"))*4)+((COUNTIF('Elève (5ème1)'!QM11:QO11,"B"))*3)+((COUNTIF('Elève (5ème1)'!QM11:QO11,"C"))*2)+((COUNTIF('Elève (5ème1)'!QM11:QO11,"D"))*1))/(COUNTA(QM11:QO11)),"")</f>
        <v/>
      </c>
      <c r="QQ11" s="109" t="str">
        <f t="shared" si="106"/>
        <v/>
      </c>
      <c r="QR11" s="178">
        <f>IF(COUNT(QF11,QK11,QP11)=0,"",SUM(QF11,QK11,QP11)/COUNT(QF11,QK11,QP11))</f>
        <v>4</v>
      </c>
      <c r="QS11" s="131" t="str">
        <f t="shared" si="107"/>
        <v>A</v>
      </c>
      <c r="QT11" s="156" t="s">
        <v>29</v>
      </c>
      <c r="QU11" s="157"/>
      <c r="QV11" s="158"/>
      <c r="QW11" s="108">
        <f>IFERROR((((COUNTIF('Elève (5ème1)'!QT11:QV11,"A"))*4)+((COUNTIF('Elève (5ème1)'!QT11:QV11,"B"))*3)+((COUNTIF('Elève (5ème1)'!QT11:QV11,"C"))*2)+((COUNTIF('Elève (5ème1)'!QT11:QV11,"D"))*1))/(COUNTA(QT11:QV11)),"")</f>
        <v>2</v>
      </c>
      <c r="QX11" s="109" t="str">
        <f t="shared" si="108"/>
        <v>C</v>
      </c>
      <c r="QY11" s="81"/>
      <c r="QZ11" s="82"/>
      <c r="RA11" s="83"/>
      <c r="RB11" s="108" t="str">
        <f>IFERROR((((COUNTIF('Elève (5ème1)'!QY11:RA11,"A"))*4)+((COUNTIF('Elève (5ème1)'!QY11:RA11,"B"))*3)+((COUNTIF('Elève (5ème1)'!QY11:RA11,"C"))*2)+((COUNTIF('Elève (5ème1)'!QY11:RA11,"D"))*1))/(COUNTA(QY11:RA11)),"")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(5ème1)'!RD11:RF11,"A"))*4)+((COUNTIF('Elève (5ème1)'!RD11:RF11,"B"))*3)+((COUNTIF('Elève (5ème1)'!RD11:RF11,"C"))*2)+((COUNTIF('Elève (5ème1)'!RD11:RF11,"D"))*1))/(COUNTA(RD11:RF11)),"")</f>
        <v/>
      </c>
      <c r="RH11" s="109" t="str">
        <f t="shared" si="110"/>
        <v/>
      </c>
      <c r="RI11" s="178">
        <f>IF(COUNT(QW11,RB11,RG11)=0,"",SUM(QW11,RB11,RG11)/COUNT(QW11,RB11,RG11))</f>
        <v>2</v>
      </c>
      <c r="RJ11" s="131" t="str">
        <f t="shared" si="111"/>
        <v>C</v>
      </c>
      <c r="RK11" s="156" t="s">
        <v>27</v>
      </c>
      <c r="RL11" s="157"/>
      <c r="RM11" s="158"/>
      <c r="RN11" s="108">
        <f>IFERROR((((COUNTIF('Elève (5ème1)'!RK11:RM11,"A"))*4)+((COUNTIF('Elève (5ème1)'!RK11:RM11,"B"))*3)+((COUNTIF('Elève (5ème1)'!RK11:RM11,"C"))*2)+((COUNTIF('Elève (5ème1)'!RK11:RM11,"D"))*1))/(COUNTA(RK11:RM11)),"")</f>
        <v>4</v>
      </c>
      <c r="RO11" s="109" t="str">
        <f t="shared" si="112"/>
        <v>A</v>
      </c>
      <c r="RP11" s="81"/>
      <c r="RQ11" s="82"/>
      <c r="RR11" s="83"/>
      <c r="RS11" s="108" t="str">
        <f>IFERROR((((COUNTIF('Elève (5ème1)'!RP11:RR11,"A"))*4)+((COUNTIF('Elève (5ème1)'!RP11:RR11,"B"))*3)+((COUNTIF('Elève (5ème1)'!RP11:RR11,"C"))*2)+((COUNTIF('Elève (5ème1)'!RP11:RR11,"D"))*1))/(COUNTA(RP11:RR11)),"")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(5ème1)'!RU11:RW11,"A"))*4)+((COUNTIF('Elève (5ème1)'!RU11:RW11,"B"))*3)+((COUNTIF('Elève (5ème1)'!RU11:RW11,"C"))*2)+((COUNTIF('Elève (5ème1)'!RU11:RW11,"D"))*1))/(COUNTA(RU11:RW11)),"")</f>
        <v/>
      </c>
      <c r="RY11" s="109" t="str">
        <f t="shared" si="114"/>
        <v/>
      </c>
      <c r="RZ11" s="178">
        <f>IF(COUNT(RN11,RS11,RX11)=0,"",SUM(RN11,RS11,RX11)/COUNT(RN11,RS11,RX11))</f>
        <v>4</v>
      </c>
      <c r="SA11" s="131" t="str">
        <f t="shared" si="115"/>
        <v>A</v>
      </c>
      <c r="SB11" s="156" t="s">
        <v>27</v>
      </c>
      <c r="SC11" s="157"/>
      <c r="SD11" s="158"/>
      <c r="SE11" s="108">
        <f>IFERROR((((COUNTIF('Elève (5ème1)'!SB11:SD11,"A"))*4)+((COUNTIF('Elève (5ème1)'!SB11:SD11,"B"))*3)+((COUNTIF('Elève (5ème1)'!SB11:SD11,"C"))*2)+((COUNTIF('Elève (5ème1)'!SB11:SD11,"D"))*1))/(COUNTA(SB11:SD11)),"")</f>
        <v>4</v>
      </c>
      <c r="SF11" s="109" t="str">
        <f t="shared" si="116"/>
        <v>A</v>
      </c>
      <c r="SG11" s="81"/>
      <c r="SH11" s="82"/>
      <c r="SI11" s="83"/>
      <c r="SJ11" s="108" t="str">
        <f>IFERROR((((COUNTIF('Elève (5ème1)'!SG11:SI11,"A"))*4)+((COUNTIF('Elève (5ème1)'!SG11:SI11,"B"))*3)+((COUNTIF('Elève (5ème1)'!SG11:SI11,"C"))*2)+((COUNTIF('Elève (5ème1)'!SG11:SI11,"D"))*1))/(COUNTA(SG11:SI11)),"")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(5ème1)'!SL11:SN11,"A"))*4)+((COUNTIF('Elève (5ème1)'!SL11:SN11,"B"))*3)+((COUNTIF('Elève (5ème1)'!SL11:SN11,"C"))*2)+((COUNTIF('Elève (5ème1)'!SL11:SN11,"D"))*1))/(COUNTA(SL11:SN11)),"")</f>
        <v/>
      </c>
      <c r="SP11" s="109" t="str">
        <f t="shared" si="118"/>
        <v/>
      </c>
      <c r="SQ11" s="178">
        <f>IF(COUNT(SE11,SJ11,SO11)=0,"",SUM(SE11,SJ11,SO11)/COUNT(SE11,SJ11,SO11))</f>
        <v>4</v>
      </c>
      <c r="SR11" s="131" t="str">
        <f t="shared" si="119"/>
        <v>A</v>
      </c>
    </row>
    <row r="12" spans="1:512" s="72" customFormat="1" ht="18" customHeight="1" thickBot="1" x14ac:dyDescent="0.3">
      <c r="A12" s="225" t="s">
        <v>45</v>
      </c>
      <c r="B12" s="226"/>
      <c r="C12" s="159" t="s">
        <v>27</v>
      </c>
      <c r="D12" s="160"/>
      <c r="E12" s="161"/>
      <c r="F12" s="112">
        <f>IFERROR((((COUNTIF('Elève (5ème1)'!C12:E12,"A"))*4)+((COUNTIF('Elève (5ème1)'!C12:E12,"B"))*3)+((COUNTIF('Elève (5ème1)'!C12:E12,"C"))*2)+((COUNTIF('Elève (5ème1)'!C12:E12,"D"))*1))/(COUNTA(C12:E12)),"")</f>
        <v>4</v>
      </c>
      <c r="G12" s="113" t="str">
        <f t="shared" si="0"/>
        <v>A</v>
      </c>
      <c r="H12" s="84"/>
      <c r="I12" s="85"/>
      <c r="J12" s="86"/>
      <c r="K12" s="112" t="str">
        <f>IFERROR((((COUNTIF('Elève (5ème1)'!H12:J12,"A"))*4)+((COUNTIF('Elève (5ème1)'!H12:J12,"B"))*3)+((COUNTIF('Elève (5ème1)'!H12:J12,"C"))*2)+((COUNTIF('Elève (5ème1)'!H12:J12,"D"))*1))/(COUNTA(H12:J12)),"")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(5ème1)'!M12:O12,"A"))*4)+((COUNTIF('Elève (5ème1)'!M12:O12,"B"))*3)+((COUNTIF('Elève (5ème1)'!M12:O12,"C"))*2)+((COUNTIF('Elève (5ème1)'!M12:O12,"D"))*1))/(COUNTA(M12:O12)),"")</f>
        <v/>
      </c>
      <c r="Q12" s="113" t="str">
        <f t="shared" si="2"/>
        <v/>
      </c>
      <c r="R12" s="180">
        <f>IF(COUNT(F12,K12,P12)=0,"",SUM(F12,K12,P12)/COUNT(F12,K12,P12))</f>
        <v>4</v>
      </c>
      <c r="S12" s="133" t="str">
        <f t="shared" si="3"/>
        <v>A</v>
      </c>
      <c r="T12" s="159" t="s">
        <v>27</v>
      </c>
      <c r="U12" s="160"/>
      <c r="V12" s="161"/>
      <c r="W12" s="112">
        <f>IFERROR((((COUNTIF('Elève (5ème1)'!T12:V12,"A"))*4)+((COUNTIF('Elève (5ème1)'!T12:V12,"B"))*3)+((COUNTIF('Elève (5ème1)'!T12:V12,"C"))*2)+((COUNTIF('Elève (5ème1)'!T12:V12,"D"))*1))/(COUNTA(T12:V12)),"")</f>
        <v>4</v>
      </c>
      <c r="X12" s="113" t="str">
        <f t="shared" si="4"/>
        <v>A</v>
      </c>
      <c r="Y12" s="84"/>
      <c r="Z12" s="85"/>
      <c r="AA12" s="86"/>
      <c r="AB12" s="112" t="str">
        <f>IFERROR((((COUNTIF('Elève (5ème1)'!Y12:AA12,"A"))*4)+((COUNTIF('Elève (5ème1)'!Y12:AA12,"B"))*3)+((COUNTIF('Elève (5ème1)'!Y12:AA12,"C"))*2)+((COUNTIF('Elève (5ème1)'!Y12:AA12,"D"))*1))/(COUNTA(Y12:AA12)),"")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(5ème1)'!AD12:AF12,"A"))*4)+((COUNTIF('Elève (5ème1)'!AD12:AF12,"B"))*3)+((COUNTIF('Elève (5ème1)'!AD12:AF12,"C"))*2)+((COUNTIF('Elève (5ème1)'!AD12:AF12,"D"))*1))/(COUNTA(AD12:AF12)),"")</f>
        <v/>
      </c>
      <c r="AH12" s="113" t="str">
        <f t="shared" si="6"/>
        <v/>
      </c>
      <c r="AI12" s="180">
        <f>IF(COUNT(W12,AB12,AG12)=0,"",SUM(W12,AB12,AG12)/COUNT(W12,AB12,AG12))</f>
        <v>4</v>
      </c>
      <c r="AJ12" s="133" t="str">
        <f t="shared" si="7"/>
        <v>A</v>
      </c>
      <c r="AK12" s="159" t="s">
        <v>28</v>
      </c>
      <c r="AL12" s="160"/>
      <c r="AM12" s="161"/>
      <c r="AN12" s="112">
        <f>IFERROR((((COUNTIF('Elève (5ème1)'!AK12:AM12,"A"))*4)+((COUNTIF('Elève (5ème1)'!AK12:AM12,"B"))*3)+((COUNTIF('Elève (5ème1)'!AK12:AM12,"C"))*2)+((COUNTIF('Elève (5ème1)'!AK12:AM12,"D"))*1))/(COUNTA(AK12:AM12)),"")</f>
        <v>3</v>
      </c>
      <c r="AO12" s="113" t="str">
        <f t="shared" si="8"/>
        <v>B</v>
      </c>
      <c r="AP12" s="84"/>
      <c r="AQ12" s="85"/>
      <c r="AR12" s="86"/>
      <c r="AS12" s="112" t="str">
        <f>IFERROR((((COUNTIF('Elève (5ème1)'!AP12:AR12,"A"))*4)+((COUNTIF('Elève (5ème1)'!AP12:AR12,"B"))*3)+((COUNTIF('Elève (5ème1)'!AP12:AR12,"C"))*2)+((COUNTIF('Elève (5ème1)'!AP12:AR12,"D"))*1))/(COUNTA(AP12:AR12)),"")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(5ème1)'!AU12:AW12,"A"))*4)+((COUNTIF('Elève (5ème1)'!AU12:AW12,"B"))*3)+((COUNTIF('Elève (5ème1)'!AU12:AW12,"C"))*2)+((COUNTIF('Elève (5ème1)'!AU12:AW12,"D"))*1))/(COUNTA(AU12:AW12)),"")</f>
        <v/>
      </c>
      <c r="AY12" s="113" t="str">
        <f t="shared" si="10"/>
        <v/>
      </c>
      <c r="AZ12" s="180">
        <f>IF(COUNT(AN12,AS12,AX12)=0,"",SUM(AN12,AS12,AX12)/COUNT(AN12,AS12,AX12))</f>
        <v>3</v>
      </c>
      <c r="BA12" s="133" t="str">
        <f t="shared" si="11"/>
        <v>B</v>
      </c>
      <c r="BB12" s="159" t="s">
        <v>27</v>
      </c>
      <c r="BC12" s="160"/>
      <c r="BD12" s="161"/>
      <c r="BE12" s="112">
        <f>IFERROR((((COUNTIF('Elève (5ème1)'!BB12:BD12,"A"))*4)+((COUNTIF('Elève (5ème1)'!BB12:BD12,"B"))*3)+((COUNTIF('Elève (5ème1)'!BB12:BD12,"C"))*2)+((COUNTIF('Elève (5ème1)'!BB12:BD12,"D"))*1))/(COUNTA(BB12:BD12)),"")</f>
        <v>4</v>
      </c>
      <c r="BF12" s="113" t="str">
        <f t="shared" si="12"/>
        <v>A</v>
      </c>
      <c r="BG12" s="84"/>
      <c r="BH12" s="85"/>
      <c r="BI12" s="86"/>
      <c r="BJ12" s="112" t="str">
        <f>IFERROR((((COUNTIF('Elève (5ème1)'!BG12:BI12,"A"))*4)+((COUNTIF('Elève (5ème1)'!BG12:BI12,"B"))*3)+((COUNTIF('Elève (5ème1)'!BG12:BI12,"C"))*2)+((COUNTIF('Elève (5ème1)'!BG12:BI12,"D"))*1))/(COUNTA(BG12:BI12)),"")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(5ème1)'!BL12:BN12,"A"))*4)+((COUNTIF('Elève (5ème1)'!BL12:BN12,"B"))*3)+((COUNTIF('Elève (5ème1)'!BL12:BN12,"C"))*2)+((COUNTIF('Elève (5ème1)'!BL12:BN12,"D"))*1))/(COUNTA(BL12:BN12)),"")</f>
        <v/>
      </c>
      <c r="BP12" s="113" t="str">
        <f t="shared" si="14"/>
        <v/>
      </c>
      <c r="BQ12" s="180">
        <f>IF(COUNT(BE12,BJ12,BO12)=0,"",SUM(BE12,BJ12,BO12)/COUNT(BE12,BJ12,BO12))</f>
        <v>4</v>
      </c>
      <c r="BR12" s="133" t="str">
        <f t="shared" si="15"/>
        <v>A</v>
      </c>
      <c r="BS12" s="159" t="s">
        <v>27</v>
      </c>
      <c r="BT12" s="160"/>
      <c r="BU12" s="161"/>
      <c r="BV12" s="112">
        <f>IFERROR((((COUNTIF('Elève (5ème1)'!BS12:BU12,"A"))*4)+((COUNTIF('Elève (5ème1)'!BS12:BU12,"B"))*3)+((COUNTIF('Elève (5ème1)'!BS12:BU12,"C"))*2)+((COUNTIF('Elève (5ème1)'!BS12:BU12,"D"))*1))/(COUNTA(BS12:BU12)),"")</f>
        <v>4</v>
      </c>
      <c r="BW12" s="113" t="str">
        <f t="shared" si="16"/>
        <v>A</v>
      </c>
      <c r="BX12" s="84"/>
      <c r="BY12" s="85"/>
      <c r="BZ12" s="86"/>
      <c r="CA12" s="112" t="str">
        <f>IFERROR((((COUNTIF('Elève (5ème1)'!BX12:BZ12,"A"))*4)+((COUNTIF('Elève (5ème1)'!BX12:BZ12,"B"))*3)+((COUNTIF('Elève (5ème1)'!BX12:BZ12,"C"))*2)+((COUNTIF('Elève (5ème1)'!BX12:BZ12,"D"))*1))/(COUNTA(BX12:BZ12)),"")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(5ème1)'!CC12:CE12,"A"))*4)+((COUNTIF('Elève (5ème1)'!CC12:CE12,"B"))*3)+((COUNTIF('Elève (5ème1)'!CC12:CE12,"C"))*2)+((COUNTIF('Elève (5ème1)'!CC12:CE12,"D"))*1))/(COUNTA(CC12:CE12)),"")</f>
        <v/>
      </c>
      <c r="CG12" s="113" t="str">
        <f t="shared" si="18"/>
        <v/>
      </c>
      <c r="CH12" s="180">
        <f>IF(COUNT(BV12,CA12,CF12)=0,"",SUM(BV12,CA12,CF12)/COUNT(BV12,CA12,CF12))</f>
        <v>4</v>
      </c>
      <c r="CI12" s="133" t="str">
        <f t="shared" si="19"/>
        <v>A</v>
      </c>
      <c r="CJ12" s="159" t="s">
        <v>27</v>
      </c>
      <c r="CK12" s="160"/>
      <c r="CL12" s="161"/>
      <c r="CM12" s="112">
        <f>IFERROR((((COUNTIF('Elève (5ème1)'!CJ12:CL12,"A"))*4)+((COUNTIF('Elève (5ème1)'!CJ12:CL12,"B"))*3)+((COUNTIF('Elève (5ème1)'!CJ12:CL12,"C"))*2)+((COUNTIF('Elève (5ème1)'!CJ12:CL12,"D"))*1))/(COUNTA(CJ12:CL12)),"")</f>
        <v>4</v>
      </c>
      <c r="CN12" s="113" t="str">
        <f t="shared" si="20"/>
        <v>A</v>
      </c>
      <c r="CO12" s="84"/>
      <c r="CP12" s="85"/>
      <c r="CQ12" s="86"/>
      <c r="CR12" s="112" t="str">
        <f>IFERROR((((COUNTIF('Elève (5ème1)'!CO12:CQ12,"A"))*4)+((COUNTIF('Elève (5ème1)'!CO12:CQ12,"B"))*3)+((COUNTIF('Elève (5ème1)'!CO12:CQ12,"C"))*2)+((COUNTIF('Elève (5ème1)'!CO12:CQ12,"D"))*1))/(COUNTA(CO12:CQ12)),"")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(5ème1)'!CT12:CV12,"A"))*4)+((COUNTIF('Elève (5ème1)'!CT12:CV12,"B"))*3)+((COUNTIF('Elève (5ème1)'!CT12:CV12,"C"))*2)+((COUNTIF('Elève (5ème1)'!CT12:CV12,"D"))*1))/(COUNTA(CT12:CV12)),"")</f>
        <v/>
      </c>
      <c r="CX12" s="113" t="str">
        <f t="shared" si="22"/>
        <v/>
      </c>
      <c r="CY12" s="180">
        <f>IF(COUNT(CM12,CR12,CW12)=0,"",SUM(CM12,CR12,CW12)/COUNT(CM12,CR12,CW12))</f>
        <v>4</v>
      </c>
      <c r="CZ12" s="133" t="str">
        <f t="shared" si="23"/>
        <v>A</v>
      </c>
      <c r="DA12" s="159" t="s">
        <v>27</v>
      </c>
      <c r="DB12" s="160"/>
      <c r="DC12" s="161"/>
      <c r="DD12" s="112">
        <f>IFERROR((((COUNTIF('Elève (5ème1)'!DA12:DC12,"A"))*4)+((COUNTIF('Elève (5ème1)'!DA12:DC12,"B"))*3)+((COUNTIF('Elève (5ème1)'!DA12:DC12,"C"))*2)+((COUNTIF('Elève (5ème1)'!DA12:DC12,"D"))*1))/(COUNTA(DA12:DC12)),"")</f>
        <v>4</v>
      </c>
      <c r="DE12" s="113" t="str">
        <f t="shared" si="24"/>
        <v>A</v>
      </c>
      <c r="DF12" s="84"/>
      <c r="DG12" s="85"/>
      <c r="DH12" s="86"/>
      <c r="DI12" s="112" t="str">
        <f>IFERROR((((COUNTIF('Elève (5ème1)'!DF12:DH12,"A"))*4)+((COUNTIF('Elève (5ème1)'!DF12:DH12,"B"))*3)+((COUNTIF('Elève (5ème1)'!DF12:DH12,"C"))*2)+((COUNTIF('Elève (5ème1)'!DF12:DH12,"D"))*1))/(COUNTA(DF12:DH12)),"")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(5ème1)'!DK12:DM12,"A"))*4)+((COUNTIF('Elève (5ème1)'!DK12:DM12,"B"))*3)+((COUNTIF('Elève (5ème1)'!DK12:DM12,"C"))*2)+((COUNTIF('Elève (5ème1)'!DK12:DM12,"D"))*1))/(COUNTA(DK12:DM12)),"")</f>
        <v/>
      </c>
      <c r="DO12" s="113" t="str">
        <f t="shared" si="26"/>
        <v/>
      </c>
      <c r="DP12" s="180">
        <f>IF(COUNT(DD12,DI12,DN12)=0,"",SUM(DD12,DI12,DN12)/COUNT(DD12,DI12,DN12))</f>
        <v>4</v>
      </c>
      <c r="DQ12" s="133" t="str">
        <f t="shared" si="27"/>
        <v>A</v>
      </c>
      <c r="DR12" s="159" t="s">
        <v>27</v>
      </c>
      <c r="DS12" s="160"/>
      <c r="DT12" s="161"/>
      <c r="DU12" s="112">
        <f>IFERROR((((COUNTIF('Elève (5ème1)'!DR12:DT12,"A"))*4)+((COUNTIF('Elève (5ème1)'!DR12:DT12,"B"))*3)+((COUNTIF('Elève (5ème1)'!DR12:DT12,"C"))*2)+((COUNTIF('Elève (5ème1)'!DR12:DT12,"D"))*1))/(COUNTA(DR12:DT12)),"")</f>
        <v>4</v>
      </c>
      <c r="DV12" s="113" t="str">
        <f t="shared" si="28"/>
        <v>A</v>
      </c>
      <c r="DW12" s="84"/>
      <c r="DX12" s="85"/>
      <c r="DY12" s="86"/>
      <c r="DZ12" s="112" t="str">
        <f>IFERROR((((COUNTIF('Elève (5ème1)'!DW12:DY12,"A"))*4)+((COUNTIF('Elève (5ème1)'!DW12:DY12,"B"))*3)+((COUNTIF('Elève (5ème1)'!DW12:DY12,"C"))*2)+((COUNTIF('Elève (5ème1)'!DW12:DY12,"D"))*1))/(COUNTA(DW12:DY12)),"")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(5ème1)'!EB12:ED12,"A"))*4)+((COUNTIF('Elève (5ème1)'!EB12:ED12,"B"))*3)+((COUNTIF('Elève (5ème1)'!EB12:ED12,"C"))*2)+((COUNTIF('Elève (5ème1)'!EB12:ED12,"D"))*1))/(COUNTA(EB12:ED12)),"")</f>
        <v/>
      </c>
      <c r="EF12" s="113" t="str">
        <f t="shared" si="30"/>
        <v/>
      </c>
      <c r="EG12" s="180">
        <f>IF(COUNT(DU12,DZ12,EE12)=0,"",SUM(DU12,DZ12,EE12)/COUNT(DU12,DZ12,EE12))</f>
        <v>4</v>
      </c>
      <c r="EH12" s="133" t="str">
        <f t="shared" si="31"/>
        <v>A</v>
      </c>
      <c r="EI12" s="159" t="s">
        <v>27</v>
      </c>
      <c r="EJ12" s="160"/>
      <c r="EK12" s="161"/>
      <c r="EL12" s="112">
        <f>IFERROR((((COUNTIF('Elève (5ème1)'!EI12:EK12,"A"))*4)+((COUNTIF('Elève (5ème1)'!EI12:EK12,"B"))*3)+((COUNTIF('Elève (5ème1)'!EI12:EK12,"C"))*2)+((COUNTIF('Elève (5ème1)'!EI12:EK12,"D"))*1))/(COUNTA(EI12:EK12)),"")</f>
        <v>4</v>
      </c>
      <c r="EM12" s="113" t="str">
        <f t="shared" si="32"/>
        <v>A</v>
      </c>
      <c r="EN12" s="84"/>
      <c r="EO12" s="85"/>
      <c r="EP12" s="86"/>
      <c r="EQ12" s="112" t="str">
        <f>IFERROR((((COUNTIF('Elève (5ème1)'!EN12:EP12,"A"))*4)+((COUNTIF('Elève (5ème1)'!EN12:EP12,"B"))*3)+((COUNTIF('Elève (5ème1)'!EN12:EP12,"C"))*2)+((COUNTIF('Elève (5ème1)'!EN12:EP12,"D"))*1))/(COUNTA(EN12:EP12)),"")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(5ème1)'!ES12:EU12,"A"))*4)+((COUNTIF('Elève (5ème1)'!ES12:EU12,"B"))*3)+((COUNTIF('Elève (5ème1)'!ES12:EU12,"C"))*2)+((COUNTIF('Elève (5ème1)'!ES12:EU12,"D"))*1))/(COUNTA(ES12:EU12)),"")</f>
        <v/>
      </c>
      <c r="EW12" s="113" t="str">
        <f t="shared" si="34"/>
        <v/>
      </c>
      <c r="EX12" s="180">
        <f>IF(COUNT(EL12,EQ12,EV12)=0,"",SUM(EL12,EQ12,EV12)/COUNT(EL12,EQ12,EV12))</f>
        <v>4</v>
      </c>
      <c r="EY12" s="133" t="str">
        <f t="shared" si="35"/>
        <v>A</v>
      </c>
      <c r="EZ12" s="159" t="s">
        <v>27</v>
      </c>
      <c r="FA12" s="160"/>
      <c r="FB12" s="161"/>
      <c r="FC12" s="112">
        <f>IFERROR((((COUNTIF('Elève (5ème1)'!EZ12:FB12,"A"))*4)+((COUNTIF('Elève (5ème1)'!EZ12:FB12,"B"))*3)+((COUNTIF('Elève (5ème1)'!EZ12:FB12,"C"))*2)+((COUNTIF('Elève (5ème1)'!EZ12:FB12,"D"))*1))/(COUNTA(EZ12:FB12)),"")</f>
        <v>4</v>
      </c>
      <c r="FD12" s="113" t="str">
        <f t="shared" si="36"/>
        <v>A</v>
      </c>
      <c r="FE12" s="84"/>
      <c r="FF12" s="85"/>
      <c r="FG12" s="86"/>
      <c r="FH12" s="112" t="str">
        <f>IFERROR((((COUNTIF('Elève (5ème1)'!FE12:FG12,"A"))*4)+((COUNTIF('Elève (5ème1)'!FE12:FG12,"B"))*3)+((COUNTIF('Elève (5ème1)'!FE12:FG12,"C"))*2)+((COUNTIF('Elève (5ème1)'!FE12:FG12,"D"))*1))/(COUNTA(FE12:FG12)),"")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(5ème1)'!FJ12:FL12,"A"))*4)+((COUNTIF('Elève (5ème1)'!FJ12:FL12,"B"))*3)+((COUNTIF('Elève (5ème1)'!FJ12:FL12,"C"))*2)+((COUNTIF('Elève (5ème1)'!FJ12:FL12,"D"))*1))/(COUNTA(FJ12:FL12)),"")</f>
        <v/>
      </c>
      <c r="FN12" s="113" t="str">
        <f t="shared" si="38"/>
        <v/>
      </c>
      <c r="FO12" s="180">
        <f>IF(COUNT(FC12,FH12,FM12)=0,"",SUM(FC12,FH12,FM12)/COUNT(FC12,FH12,FM12))</f>
        <v>4</v>
      </c>
      <c r="FP12" s="133" t="str">
        <f t="shared" si="39"/>
        <v>A</v>
      </c>
      <c r="FQ12" s="159" t="s">
        <v>28</v>
      </c>
      <c r="FR12" s="160"/>
      <c r="FS12" s="161"/>
      <c r="FT12" s="112">
        <f>IFERROR((((COUNTIF('Elève (5ème1)'!FQ12:FS12,"A"))*4)+((COUNTIF('Elève (5ème1)'!FQ12:FS12,"B"))*3)+((COUNTIF('Elève (5ème1)'!FQ12:FS12,"C"))*2)+((COUNTIF('Elève (5ème1)'!FQ12:FS12,"D"))*1))/(COUNTA(FQ12:FS12)),"")</f>
        <v>3</v>
      </c>
      <c r="FU12" s="113" t="str">
        <f t="shared" si="40"/>
        <v>B</v>
      </c>
      <c r="FV12" s="84"/>
      <c r="FW12" s="85"/>
      <c r="FX12" s="86"/>
      <c r="FY12" s="112" t="str">
        <f>IFERROR((((COUNTIF('Elève (5ème1)'!FV12:FX12,"A"))*4)+((COUNTIF('Elève (5ème1)'!FV12:FX12,"B"))*3)+((COUNTIF('Elève (5ème1)'!FV12:FX12,"C"))*2)+((COUNTIF('Elève (5ème1)'!FV12:FX12,"D"))*1))/(COUNTA(FV12:FX12)),"")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(5ème1)'!GA12:GC12,"A"))*4)+((COUNTIF('Elève (5ème1)'!GA12:GC12,"B"))*3)+((COUNTIF('Elève (5ème1)'!GA12:GC12,"C"))*2)+((COUNTIF('Elève (5ème1)'!GA12:GC12,"D"))*1))/(COUNTA(GA12:GC12)),"")</f>
        <v/>
      </c>
      <c r="GE12" s="113" t="str">
        <f t="shared" si="42"/>
        <v/>
      </c>
      <c r="GF12" s="180">
        <f>IF(COUNT(FT12,FY12,GD12)=0,"",SUM(FT12,FY12,GD12)/COUNT(FT12,FY12,GD12))</f>
        <v>3</v>
      </c>
      <c r="GG12" s="133" t="str">
        <f t="shared" si="43"/>
        <v>B</v>
      </c>
      <c r="GH12" s="159" t="s">
        <v>27</v>
      </c>
      <c r="GI12" s="160"/>
      <c r="GJ12" s="161"/>
      <c r="GK12" s="112">
        <f>IFERROR((((COUNTIF('Elève (5ème1)'!GH12:GJ12,"A"))*4)+((COUNTIF('Elève (5ème1)'!GH12:GJ12,"B"))*3)+((COUNTIF('Elève (5ème1)'!GH12:GJ12,"C"))*2)+((COUNTIF('Elève (5ème1)'!GH12:GJ12,"D"))*1))/(COUNTA(GH12:GJ12)),"")</f>
        <v>4</v>
      </c>
      <c r="GL12" s="113" t="str">
        <f t="shared" si="44"/>
        <v>A</v>
      </c>
      <c r="GM12" s="84"/>
      <c r="GN12" s="85"/>
      <c r="GO12" s="86"/>
      <c r="GP12" s="112" t="str">
        <f>IFERROR((((COUNTIF('Elève (5ème1)'!GM12:GO12,"A"))*4)+((COUNTIF('Elève (5ème1)'!GM12:GO12,"B"))*3)+((COUNTIF('Elève (5ème1)'!GM12:GO12,"C"))*2)+((COUNTIF('Elève (5ème1)'!GM12:GO12,"D"))*1))/(COUNTA(GM12:GO12)),"")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(5ème1)'!GR12:GT12,"A"))*4)+((COUNTIF('Elève (5ème1)'!GR12:GT12,"B"))*3)+((COUNTIF('Elève (5ème1)'!GR12:GT12,"C"))*2)+((COUNTIF('Elève (5ème1)'!GR12:GT12,"D"))*1))/(COUNTA(GR12:GT12)),"")</f>
        <v/>
      </c>
      <c r="GV12" s="113" t="str">
        <f t="shared" si="46"/>
        <v/>
      </c>
      <c r="GW12" s="180">
        <f>IF(COUNT(GK12,GP12,GU12)=0,"",SUM(GK12,GP12,GU12)/COUNT(GK12,GP12,GU12))</f>
        <v>4</v>
      </c>
      <c r="GX12" s="133" t="str">
        <f t="shared" si="47"/>
        <v>A</v>
      </c>
      <c r="GY12" s="159" t="s">
        <v>27</v>
      </c>
      <c r="GZ12" s="160"/>
      <c r="HA12" s="161"/>
      <c r="HB12" s="112">
        <f>IFERROR((((COUNTIF('Elève (5ème1)'!GY12:HA12,"A"))*4)+((COUNTIF('Elève (5ème1)'!GY12:HA12,"B"))*3)+((COUNTIF('Elève (5ème1)'!GY12:HA12,"C"))*2)+((COUNTIF('Elève (5ème1)'!GY12:HA12,"D"))*1))/(COUNTA(GY12:HA12)),"")</f>
        <v>4</v>
      </c>
      <c r="HC12" s="113" t="str">
        <f t="shared" si="48"/>
        <v>A</v>
      </c>
      <c r="HD12" s="84"/>
      <c r="HE12" s="85"/>
      <c r="HF12" s="86"/>
      <c r="HG12" s="112" t="str">
        <f>IFERROR((((COUNTIF('Elève (5ème1)'!HD12:HF12,"A"))*4)+((COUNTIF('Elève (5ème1)'!HD12:HF12,"B"))*3)+((COUNTIF('Elève (5ème1)'!HD12:HF12,"C"))*2)+((COUNTIF('Elève (5ème1)'!HD12:HF12,"D"))*1))/(COUNTA(HD12:HF12)),"")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(5ème1)'!HI12:HK12,"A"))*4)+((COUNTIF('Elève (5ème1)'!HI12:HK12,"B"))*3)+((COUNTIF('Elève (5ème1)'!HI12:HK12,"C"))*2)+((COUNTIF('Elève (5ème1)'!HI12:HK12,"D"))*1))/(COUNTA(HI12:HK12)),"")</f>
        <v/>
      </c>
      <c r="HM12" s="113" t="str">
        <f t="shared" si="50"/>
        <v/>
      </c>
      <c r="HN12" s="180">
        <f>IF(COUNT(HB12,HG12,HL12)=0,"",SUM(HB12,HG12,HL12)/COUNT(HB12,HG12,HL12))</f>
        <v>4</v>
      </c>
      <c r="HO12" s="133" t="str">
        <f t="shared" si="51"/>
        <v>A</v>
      </c>
      <c r="HP12" s="159" t="s">
        <v>27</v>
      </c>
      <c r="HQ12" s="160"/>
      <c r="HR12" s="161"/>
      <c r="HS12" s="112">
        <f>IFERROR((((COUNTIF('Elève (5ème1)'!HP12:HR12,"A"))*4)+((COUNTIF('Elève (5ème1)'!HP12:HR12,"B"))*3)+((COUNTIF('Elève (5ème1)'!HP12:HR12,"C"))*2)+((COUNTIF('Elève (5ème1)'!HP12:HR12,"D"))*1))/(COUNTA(HP12:HR12)),"")</f>
        <v>4</v>
      </c>
      <c r="HT12" s="113" t="str">
        <f t="shared" si="52"/>
        <v>A</v>
      </c>
      <c r="HU12" s="84"/>
      <c r="HV12" s="85"/>
      <c r="HW12" s="86"/>
      <c r="HX12" s="112" t="str">
        <f>IFERROR((((COUNTIF('Elève (5ème1)'!HU12:HW12,"A"))*4)+((COUNTIF('Elève (5ème1)'!HU12:HW12,"B"))*3)+((COUNTIF('Elève (5ème1)'!HU12:HW12,"C"))*2)+((COUNTIF('Elève (5ème1)'!HU12:HW12,"D"))*1))/(COUNTA(HU12:HW12)),"")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(5ème1)'!HZ12:IB12,"A"))*4)+((COUNTIF('Elève (5ème1)'!HZ12:IB12,"B"))*3)+((COUNTIF('Elève (5ème1)'!HZ12:IB12,"C"))*2)+((COUNTIF('Elève (5ème1)'!HZ12:IB12,"D"))*1))/(COUNTA(HZ12:IB12)),"")</f>
        <v/>
      </c>
      <c r="ID12" s="113" t="str">
        <f t="shared" si="54"/>
        <v/>
      </c>
      <c r="IE12" s="180">
        <f>IF(COUNT(HS12,HX12,IC12)=0,"",SUM(HS12,HX12,IC12)/COUNT(HS12,HX12,IC12))</f>
        <v>4</v>
      </c>
      <c r="IF12" s="133" t="str">
        <f t="shared" si="55"/>
        <v>A</v>
      </c>
      <c r="IG12" s="159" t="s">
        <v>27</v>
      </c>
      <c r="IH12" s="160"/>
      <c r="II12" s="161"/>
      <c r="IJ12" s="112">
        <f>IFERROR((((COUNTIF('Elève (5ème1)'!IG12:II12,"A"))*4)+((COUNTIF('Elève (5ème1)'!IG12:II12,"B"))*3)+((COUNTIF('Elève (5ème1)'!IG12:II12,"C"))*2)+((COUNTIF('Elève (5ème1)'!IG12:II12,"D"))*1))/(COUNTA(IG12:II12)),"")</f>
        <v>4</v>
      </c>
      <c r="IK12" s="113" t="str">
        <f t="shared" si="56"/>
        <v>A</v>
      </c>
      <c r="IL12" s="84"/>
      <c r="IM12" s="85"/>
      <c r="IN12" s="86"/>
      <c r="IO12" s="112" t="str">
        <f>IFERROR((((COUNTIF('Elève (5ème1)'!IL12:IN12,"A"))*4)+((COUNTIF('Elève (5ème1)'!IL12:IN12,"B"))*3)+((COUNTIF('Elève (5ème1)'!IL12:IN12,"C"))*2)+((COUNTIF('Elève (5ème1)'!IL12:IN12,"D"))*1))/(COUNTA(IL12:IN12)),"")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(5ème1)'!IQ12:IS12,"A"))*4)+((COUNTIF('Elève (5ème1)'!IQ12:IS12,"B"))*3)+((COUNTIF('Elève (5ème1)'!IQ12:IS12,"C"))*2)+((COUNTIF('Elève (5ème1)'!IQ12:IS12,"D"))*1))/(COUNTA(IQ12:IS12)),"")</f>
        <v/>
      </c>
      <c r="IU12" s="113" t="str">
        <f t="shared" si="58"/>
        <v/>
      </c>
      <c r="IV12" s="180">
        <f>IF(COUNT(IJ12,IO12,IT12)=0,"",SUM(IJ12,IO12,IT12)/COUNT(IJ12,IO12,IT12))</f>
        <v>4</v>
      </c>
      <c r="IW12" s="133" t="str">
        <f t="shared" si="59"/>
        <v>A</v>
      </c>
      <c r="IX12" s="159" t="s">
        <v>27</v>
      </c>
      <c r="IY12" s="160"/>
      <c r="IZ12" s="161"/>
      <c r="JA12" s="112">
        <f>IFERROR((((COUNTIF('Elève (5ème1)'!IX12:IZ12,"A"))*4)+((COUNTIF('Elève (5ème1)'!IX12:IZ12,"B"))*3)+((COUNTIF('Elève (5ème1)'!IX12:IZ12,"C"))*2)+((COUNTIF('Elève (5ème1)'!IX12:IZ12,"D"))*1))/(COUNTA(IX12:IZ12)),"")</f>
        <v>4</v>
      </c>
      <c r="JB12" s="113" t="str">
        <f t="shared" si="60"/>
        <v>A</v>
      </c>
      <c r="JC12" s="84"/>
      <c r="JD12" s="85"/>
      <c r="JE12" s="86"/>
      <c r="JF12" s="112" t="str">
        <f>IFERROR((((COUNTIF('Elève (5ème1)'!JC12:JE12,"A"))*4)+((COUNTIF('Elève (5ème1)'!JC12:JE12,"B"))*3)+((COUNTIF('Elève (5ème1)'!JC12:JE12,"C"))*2)+((COUNTIF('Elève (5ème1)'!JC12:JE12,"D"))*1))/(COUNTA(JC12:JE12)),"")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(5ème1)'!JH12:JJ12,"A"))*4)+((COUNTIF('Elève (5ème1)'!JH12:JJ12,"B"))*3)+((COUNTIF('Elève (5ème1)'!JH12:JJ12,"C"))*2)+((COUNTIF('Elève (5ème1)'!JH12:JJ12,"D"))*1))/(COUNTA(JH12:JJ12)),"")</f>
        <v/>
      </c>
      <c r="JL12" s="113" t="str">
        <f t="shared" si="62"/>
        <v/>
      </c>
      <c r="JM12" s="180">
        <f>IF(COUNT(JA12,JF12,JK12)=0,"",SUM(JA12,JF12,JK12)/COUNT(JA12,JF12,JK12))</f>
        <v>4</v>
      </c>
      <c r="JN12" s="133" t="str">
        <f t="shared" si="63"/>
        <v>A</v>
      </c>
      <c r="JO12" s="159" t="s">
        <v>27</v>
      </c>
      <c r="JP12" s="160"/>
      <c r="JQ12" s="161"/>
      <c r="JR12" s="112">
        <f>IFERROR((((COUNTIF('Elève (5ème1)'!JO12:JQ12,"A"))*4)+((COUNTIF('Elève (5ème1)'!JO12:JQ12,"B"))*3)+((COUNTIF('Elève (5ème1)'!JO12:JQ12,"C"))*2)+((COUNTIF('Elève (5ème1)'!JO12:JQ12,"D"))*1))/(COUNTA(JO12:JQ12)),"")</f>
        <v>4</v>
      </c>
      <c r="JS12" s="113" t="str">
        <f t="shared" si="64"/>
        <v>A</v>
      </c>
      <c r="JT12" s="84"/>
      <c r="JU12" s="85"/>
      <c r="JV12" s="86"/>
      <c r="JW12" s="112" t="str">
        <f>IFERROR((((COUNTIF('Elève (5ème1)'!JT12:JV12,"A"))*4)+((COUNTIF('Elève (5ème1)'!JT12:JV12,"B"))*3)+((COUNTIF('Elève (5ème1)'!JT12:JV12,"C"))*2)+((COUNTIF('Elève (5ème1)'!JT12:JV12,"D"))*1))/(COUNTA(JT12:JV12)),"")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(5ème1)'!JY12:KA12,"A"))*4)+((COUNTIF('Elève (5ème1)'!JY12:KA12,"B"))*3)+((COUNTIF('Elève (5ème1)'!JY12:KA12,"C"))*2)+((COUNTIF('Elève (5ème1)'!JY12:KA12,"D"))*1))/(COUNTA(JY12:KA12)),"")</f>
        <v/>
      </c>
      <c r="KC12" s="113" t="str">
        <f t="shared" si="66"/>
        <v/>
      </c>
      <c r="KD12" s="180">
        <f>IF(COUNT(JR12,JW12,KB12)=0,"",SUM(JR12,JW12,KB12)/COUNT(JR12,JW12,KB12))</f>
        <v>4</v>
      </c>
      <c r="KE12" s="133" t="str">
        <f t="shared" si="67"/>
        <v>A</v>
      </c>
      <c r="KF12" s="159" t="s">
        <v>27</v>
      </c>
      <c r="KG12" s="160"/>
      <c r="KH12" s="161"/>
      <c r="KI12" s="112">
        <f>IFERROR((((COUNTIF('Elève (5ème1)'!KF12:KH12,"A"))*4)+((COUNTIF('Elève (5ème1)'!KF12:KH12,"B"))*3)+((COUNTIF('Elève (5ème1)'!KF12:KH12,"C"))*2)+((COUNTIF('Elève (5ème1)'!KF12:KH12,"D"))*1))/(COUNTA(KF12:KH12)),"")</f>
        <v>4</v>
      </c>
      <c r="KJ12" s="113" t="str">
        <f t="shared" si="68"/>
        <v>A</v>
      </c>
      <c r="KK12" s="84"/>
      <c r="KL12" s="85"/>
      <c r="KM12" s="86"/>
      <c r="KN12" s="112" t="str">
        <f>IFERROR((((COUNTIF('Elève (5ème1)'!KK12:KM12,"A"))*4)+((COUNTIF('Elève (5ème1)'!KK12:KM12,"B"))*3)+((COUNTIF('Elève (5ème1)'!KK12:KM12,"C"))*2)+((COUNTIF('Elève (5ème1)'!KK12:KM12,"D"))*1))/(COUNTA(KK12:KM12)),"")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(5ème1)'!KP12:KR12,"A"))*4)+((COUNTIF('Elève (5ème1)'!KP12:KR12,"B"))*3)+((COUNTIF('Elève (5ème1)'!KP12:KR12,"C"))*2)+((COUNTIF('Elève (5ème1)'!KP12:KR12,"D"))*1))/(COUNTA(KP12:KR12)),"")</f>
        <v/>
      </c>
      <c r="KT12" s="113" t="str">
        <f t="shared" si="70"/>
        <v/>
      </c>
      <c r="KU12" s="180">
        <f>IF(COUNT(KI12,KN12,KS12)=0,"",SUM(KI12,KN12,KS12)/COUNT(KI12,KN12,KS12))</f>
        <v>4</v>
      </c>
      <c r="KV12" s="133" t="str">
        <f t="shared" si="71"/>
        <v>A</v>
      </c>
      <c r="KW12" s="159" t="s">
        <v>28</v>
      </c>
      <c r="KX12" s="160"/>
      <c r="KY12" s="161"/>
      <c r="KZ12" s="112">
        <f>IFERROR((((COUNTIF('Elève (5ème1)'!KW12:KY12,"A"))*4)+((COUNTIF('Elève (5ème1)'!KW12:KY12,"B"))*3)+((COUNTIF('Elève (5ème1)'!KW12:KY12,"C"))*2)+((COUNTIF('Elève (5ème1)'!KW12:KY12,"D"))*1))/(COUNTA(KW12:KY12)),"")</f>
        <v>3</v>
      </c>
      <c r="LA12" s="113" t="str">
        <f t="shared" si="72"/>
        <v>B</v>
      </c>
      <c r="LB12" s="84"/>
      <c r="LC12" s="85"/>
      <c r="LD12" s="86"/>
      <c r="LE12" s="112" t="str">
        <f>IFERROR((((COUNTIF('Elève (5ème1)'!LB12:LD12,"A"))*4)+((COUNTIF('Elève (5ème1)'!LB12:LD12,"B"))*3)+((COUNTIF('Elève (5ème1)'!LB12:LD12,"C"))*2)+((COUNTIF('Elève (5ème1)'!LB12:LD12,"D"))*1))/(COUNTA(LB12:LD12)),"")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(5ème1)'!LG12:LI12,"A"))*4)+((COUNTIF('Elève (5ème1)'!LG12:LI12,"B"))*3)+((COUNTIF('Elève (5ème1)'!LG12:LI12,"C"))*2)+((COUNTIF('Elève (5ème1)'!LG12:LI12,"D"))*1))/(COUNTA(LG12:LI12)),"")</f>
        <v/>
      </c>
      <c r="LK12" s="113" t="str">
        <f t="shared" si="74"/>
        <v/>
      </c>
      <c r="LL12" s="180">
        <f>IF(COUNT(KZ12,LE12,LJ12)=0,"",SUM(KZ12,LE12,LJ12)/COUNT(KZ12,LE12,LJ12))</f>
        <v>3</v>
      </c>
      <c r="LM12" s="133" t="str">
        <f t="shared" si="75"/>
        <v>B</v>
      </c>
      <c r="LN12" s="159" t="s">
        <v>27</v>
      </c>
      <c r="LO12" s="160"/>
      <c r="LP12" s="161"/>
      <c r="LQ12" s="112">
        <f>IFERROR((((COUNTIF('Elève (5ème1)'!LN12:LP12,"A"))*4)+((COUNTIF('Elève (5ème1)'!LN12:LP12,"B"))*3)+((COUNTIF('Elève (5ème1)'!LN12:LP12,"C"))*2)+((COUNTIF('Elève (5ème1)'!LN12:LP12,"D"))*1))/(COUNTA(LN12:LP12)),"")</f>
        <v>4</v>
      </c>
      <c r="LR12" s="113" t="str">
        <f t="shared" si="76"/>
        <v>A</v>
      </c>
      <c r="LS12" s="84"/>
      <c r="LT12" s="85"/>
      <c r="LU12" s="86"/>
      <c r="LV12" s="112" t="str">
        <f>IFERROR((((COUNTIF('Elève (5ème1)'!LS12:LU12,"A"))*4)+((COUNTIF('Elève (5ème1)'!LS12:LU12,"B"))*3)+((COUNTIF('Elève (5ème1)'!LS12:LU12,"C"))*2)+((COUNTIF('Elève (5ème1)'!LS12:LU12,"D"))*1))/(COUNTA(LS12:LU12)),"")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(5ème1)'!LX12:LZ12,"A"))*4)+((COUNTIF('Elève (5ème1)'!LX12:LZ12,"B"))*3)+((COUNTIF('Elève (5ème1)'!LX12:LZ12,"C"))*2)+((COUNTIF('Elève (5ème1)'!LX12:LZ12,"D"))*1))/(COUNTA(LX12:LZ12)),"")</f>
        <v/>
      </c>
      <c r="MB12" s="113" t="str">
        <f t="shared" si="78"/>
        <v/>
      </c>
      <c r="MC12" s="180">
        <f>IF(COUNT(LQ12,LV12,MA12)=0,"",SUM(LQ12,LV12,MA12)/COUNT(LQ12,LV12,MA12))</f>
        <v>4</v>
      </c>
      <c r="MD12" s="133" t="str">
        <f t="shared" si="79"/>
        <v>A</v>
      </c>
      <c r="ME12" s="159" t="s">
        <v>27</v>
      </c>
      <c r="MF12" s="160"/>
      <c r="MG12" s="161"/>
      <c r="MH12" s="112">
        <f>IFERROR((((COUNTIF('Elève (5ème1)'!ME12:MG12,"A"))*4)+((COUNTIF('Elève (5ème1)'!ME12:MG12,"B"))*3)+((COUNTIF('Elève (5ème1)'!ME12:MG12,"C"))*2)+((COUNTIF('Elève (5ème1)'!ME12:MG12,"D"))*1))/(COUNTA(ME12:MG12)),"")</f>
        <v>4</v>
      </c>
      <c r="MI12" s="113" t="str">
        <f t="shared" si="80"/>
        <v>A</v>
      </c>
      <c r="MJ12" s="84"/>
      <c r="MK12" s="85"/>
      <c r="ML12" s="86"/>
      <c r="MM12" s="112" t="str">
        <f>IFERROR((((COUNTIF('Elève (5ème1)'!MJ12:ML12,"A"))*4)+((COUNTIF('Elève (5ème1)'!MJ12:ML12,"B"))*3)+((COUNTIF('Elève (5ème1)'!MJ12:ML12,"C"))*2)+((COUNTIF('Elève (5ème1)'!MJ12:ML12,"D"))*1))/(COUNTA(MJ12:ML12)),"")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(5ème1)'!MO12:MQ12,"A"))*4)+((COUNTIF('Elève (5ème1)'!MO12:MQ12,"B"))*3)+((COUNTIF('Elève (5ème1)'!MO12:MQ12,"C"))*2)+((COUNTIF('Elève (5ème1)'!MO12:MQ12,"D"))*1))/(COUNTA(MO12:MQ12)),"")</f>
        <v/>
      </c>
      <c r="MS12" s="113" t="str">
        <f t="shared" si="82"/>
        <v/>
      </c>
      <c r="MT12" s="180">
        <f>IF(COUNT(MH12,MM12,MR12)=0,"",SUM(MH12,MM12,MR12)/COUNT(MH12,MM12,MR12))</f>
        <v>4</v>
      </c>
      <c r="MU12" s="133" t="str">
        <f t="shared" si="83"/>
        <v>A</v>
      </c>
      <c r="MV12" s="159" t="s">
        <v>28</v>
      </c>
      <c r="MW12" s="160"/>
      <c r="MX12" s="161"/>
      <c r="MY12" s="112">
        <f>IFERROR((((COUNTIF('Elève (5ème1)'!MV12:MX12,"A"))*4)+((COUNTIF('Elève (5ème1)'!MV12:MX12,"B"))*3)+((COUNTIF('Elève (5ème1)'!MV12:MX12,"C"))*2)+((COUNTIF('Elève (5ème1)'!MV12:MX12,"D"))*1))/(COUNTA(MV12:MX12)),"")</f>
        <v>3</v>
      </c>
      <c r="MZ12" s="113" t="str">
        <f t="shared" si="84"/>
        <v>B</v>
      </c>
      <c r="NA12" s="84"/>
      <c r="NB12" s="85"/>
      <c r="NC12" s="86"/>
      <c r="ND12" s="112" t="str">
        <f>IFERROR((((COUNTIF('Elève (5ème1)'!NA12:NC12,"A"))*4)+((COUNTIF('Elève (5ème1)'!NA12:NC12,"B"))*3)+((COUNTIF('Elève (5ème1)'!NA12:NC12,"C"))*2)+((COUNTIF('Elève (5ème1)'!NA12:NC12,"D"))*1))/(COUNTA(NA12:NC12)),"")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(5ème1)'!NF12:NH12,"A"))*4)+((COUNTIF('Elève (5ème1)'!NF12:NH12,"B"))*3)+((COUNTIF('Elève (5ème1)'!NF12:NH12,"C"))*2)+((COUNTIF('Elève (5ème1)'!NF12:NH12,"D"))*1))/(COUNTA(NF12:NH12)),"")</f>
        <v/>
      </c>
      <c r="NJ12" s="113" t="str">
        <f t="shared" si="86"/>
        <v/>
      </c>
      <c r="NK12" s="180">
        <f>IF(COUNT(MY12,ND12,NI12)=0,"",SUM(MY12,ND12,NI12)/COUNT(MY12,ND12,NI12))</f>
        <v>3</v>
      </c>
      <c r="NL12" s="133" t="str">
        <f t="shared" si="87"/>
        <v>B</v>
      </c>
      <c r="NM12" s="159" t="s">
        <v>27</v>
      </c>
      <c r="NN12" s="160"/>
      <c r="NO12" s="161"/>
      <c r="NP12" s="112">
        <f>IFERROR((((COUNTIF('Elève (5ème1)'!NM12:NO12,"A"))*4)+((COUNTIF('Elève (5ème1)'!NM12:NO12,"B"))*3)+((COUNTIF('Elève (5ème1)'!NM12:NO12,"C"))*2)+((COUNTIF('Elève (5ème1)'!NM12:NO12,"D"))*1))/(COUNTA(NM12:NO12)),"")</f>
        <v>4</v>
      </c>
      <c r="NQ12" s="113" t="str">
        <f t="shared" si="88"/>
        <v>A</v>
      </c>
      <c r="NR12" s="84"/>
      <c r="NS12" s="85"/>
      <c r="NT12" s="86"/>
      <c r="NU12" s="112" t="str">
        <f>IFERROR((((COUNTIF('Elève (5ème1)'!NR12:NT12,"A"))*4)+((COUNTIF('Elève (5ème1)'!NR12:NT12,"B"))*3)+((COUNTIF('Elève (5ème1)'!NR12:NT12,"C"))*2)+((COUNTIF('Elève (5ème1)'!NR12:NT12,"D"))*1))/(COUNTA(NR12:NT12)),"")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(5ème1)'!NW12:NY12,"A"))*4)+((COUNTIF('Elève (5ème1)'!NW12:NY12,"B"))*3)+((COUNTIF('Elève (5ème1)'!NW12:NY12,"C"))*2)+((COUNTIF('Elève (5ème1)'!NW12:NY12,"D"))*1))/(COUNTA(NW12:NY12)),"")</f>
        <v/>
      </c>
      <c r="OA12" s="113" t="str">
        <f t="shared" si="90"/>
        <v/>
      </c>
      <c r="OB12" s="180">
        <f>IF(COUNT(NP12,NU12,NZ12)=0,"",SUM(NP12,NU12,NZ12)/COUNT(NP12,NU12,NZ12))</f>
        <v>4</v>
      </c>
      <c r="OC12" s="133" t="str">
        <f t="shared" si="91"/>
        <v>A</v>
      </c>
      <c r="OD12" s="159" t="s">
        <v>27</v>
      </c>
      <c r="OE12" s="160"/>
      <c r="OF12" s="161"/>
      <c r="OG12" s="112">
        <f>IFERROR((((COUNTIF('Elève (5ème1)'!OD12:OF12,"A"))*4)+((COUNTIF('Elève (5ème1)'!OD12:OF12,"B"))*3)+((COUNTIF('Elève (5ème1)'!OD12:OF12,"C"))*2)+((COUNTIF('Elève (5ème1)'!OD12:OF12,"D"))*1))/(COUNTA(OD12:OF12)),"")</f>
        <v>4</v>
      </c>
      <c r="OH12" s="113" t="str">
        <f t="shared" si="92"/>
        <v>A</v>
      </c>
      <c r="OI12" s="84"/>
      <c r="OJ12" s="85"/>
      <c r="OK12" s="86"/>
      <c r="OL12" s="112" t="str">
        <f>IFERROR((((COUNTIF('Elève (5ème1)'!OI12:OK12,"A"))*4)+((COUNTIF('Elève (5ème1)'!OI12:OK12,"B"))*3)+((COUNTIF('Elève (5ème1)'!OI12:OK12,"C"))*2)+((COUNTIF('Elève (5ème1)'!OI12:OK12,"D"))*1))/(COUNTA(OI12:OK12)),"")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(5ème1)'!ON12:OP12,"A"))*4)+((COUNTIF('Elève (5ème1)'!ON12:OP12,"B"))*3)+((COUNTIF('Elève (5ème1)'!ON12:OP12,"C"))*2)+((COUNTIF('Elève (5ème1)'!ON12:OP12,"D"))*1))/(COUNTA(ON12:OP12)),"")</f>
        <v/>
      </c>
      <c r="OR12" s="113" t="str">
        <f t="shared" si="94"/>
        <v/>
      </c>
      <c r="OS12" s="180">
        <f>IF(COUNT(OG12,OL12,OQ12)=0,"",SUM(OG12,OL12,OQ12)/COUNT(OG12,OL12,OQ12))</f>
        <v>4</v>
      </c>
      <c r="OT12" s="133" t="str">
        <f t="shared" si="95"/>
        <v>A</v>
      </c>
      <c r="OU12" s="159" t="s">
        <v>27</v>
      </c>
      <c r="OV12" s="160"/>
      <c r="OW12" s="161"/>
      <c r="OX12" s="112">
        <f>IFERROR((((COUNTIF('Elève (5ème1)'!OU12:OW12,"A"))*4)+((COUNTIF('Elève (5ème1)'!OU12:OW12,"B"))*3)+((COUNTIF('Elève (5ème1)'!OU12:OW12,"C"))*2)+((COUNTIF('Elève (5ème1)'!OU12:OW12,"D"))*1))/(COUNTA(OU12:OW12)),"")</f>
        <v>4</v>
      </c>
      <c r="OY12" s="113" t="str">
        <f t="shared" si="96"/>
        <v>A</v>
      </c>
      <c r="OZ12" s="84"/>
      <c r="PA12" s="85"/>
      <c r="PB12" s="86"/>
      <c r="PC12" s="112" t="str">
        <f>IFERROR((((COUNTIF('Elève (5ème1)'!OZ12:PB12,"A"))*4)+((COUNTIF('Elève (5ème1)'!OZ12:PB12,"B"))*3)+((COUNTIF('Elève (5ème1)'!OZ12:PB12,"C"))*2)+((COUNTIF('Elève (5ème1)'!OZ12:PB12,"D"))*1))/(COUNTA(OZ12:PB12)),"")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(5ème1)'!PE12:PG12,"A"))*4)+((COUNTIF('Elève (5ème1)'!PE12:PG12,"B"))*3)+((COUNTIF('Elève (5ème1)'!PE12:PG12,"C"))*2)+((COUNTIF('Elève (5ème1)'!PE12:PG12,"D"))*1))/(COUNTA(PE12:PG12)),"")</f>
        <v/>
      </c>
      <c r="PI12" s="113" t="str">
        <f t="shared" si="98"/>
        <v/>
      </c>
      <c r="PJ12" s="180">
        <f>IF(COUNT(OX12,PC12,PH12)=0,"",SUM(OX12,PC12,PH12)/COUNT(OX12,PC12,PH12))</f>
        <v>4</v>
      </c>
      <c r="PK12" s="133" t="str">
        <f t="shared" si="99"/>
        <v>A</v>
      </c>
      <c r="PL12" s="159" t="s">
        <v>27</v>
      </c>
      <c r="PM12" s="160"/>
      <c r="PN12" s="161"/>
      <c r="PO12" s="112">
        <f>IFERROR((((COUNTIF('Elève (5ème1)'!PL12:PN12,"A"))*4)+((COUNTIF('Elève (5ème1)'!PL12:PN12,"B"))*3)+((COUNTIF('Elève (5ème1)'!PL12:PN12,"C"))*2)+((COUNTIF('Elève (5ème1)'!PL12:PN12,"D"))*1))/(COUNTA(PL12:PN12)),"")</f>
        <v>4</v>
      </c>
      <c r="PP12" s="113" t="str">
        <f t="shared" si="100"/>
        <v>A</v>
      </c>
      <c r="PQ12" s="84"/>
      <c r="PR12" s="85"/>
      <c r="PS12" s="86"/>
      <c r="PT12" s="112" t="str">
        <f>IFERROR((((COUNTIF('Elève (5ème1)'!PQ12:PS12,"A"))*4)+((COUNTIF('Elève (5ème1)'!PQ12:PS12,"B"))*3)+((COUNTIF('Elève (5ème1)'!PQ12:PS12,"C"))*2)+((COUNTIF('Elève (5ème1)'!PQ12:PS12,"D"))*1))/(COUNTA(PQ12:PS12)),"")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(5ème1)'!PV12:PX12,"A"))*4)+((COUNTIF('Elève (5ème1)'!PV12:PX12,"B"))*3)+((COUNTIF('Elève (5ème1)'!PV12:PX12,"C"))*2)+((COUNTIF('Elève (5ème1)'!PV12:PX12,"D"))*1))/(COUNTA(PV12:PX12)),"")</f>
        <v/>
      </c>
      <c r="PZ12" s="113" t="str">
        <f t="shared" si="102"/>
        <v/>
      </c>
      <c r="QA12" s="180">
        <f>IF(COUNT(PO12,PT12,PY12)=0,"",SUM(PO12,PT12,PY12)/COUNT(PO12,PT12,PY12))</f>
        <v>4</v>
      </c>
      <c r="QB12" s="133" t="str">
        <f t="shared" si="103"/>
        <v>A</v>
      </c>
      <c r="QC12" s="159" t="s">
        <v>27</v>
      </c>
      <c r="QD12" s="160"/>
      <c r="QE12" s="161"/>
      <c r="QF12" s="112">
        <f>IFERROR((((COUNTIF('Elève (5ème1)'!QC12:QE12,"A"))*4)+((COUNTIF('Elève (5ème1)'!QC12:QE12,"B"))*3)+((COUNTIF('Elève (5ème1)'!QC12:QE12,"C"))*2)+((COUNTIF('Elève (5ème1)'!QC12:QE12,"D"))*1))/(COUNTA(QC12:QE12)),"")</f>
        <v>4</v>
      </c>
      <c r="QG12" s="113" t="str">
        <f t="shared" si="104"/>
        <v>A</v>
      </c>
      <c r="QH12" s="84"/>
      <c r="QI12" s="85"/>
      <c r="QJ12" s="86"/>
      <c r="QK12" s="112" t="str">
        <f>IFERROR((((COUNTIF('Elève (5ème1)'!QH12:QJ12,"A"))*4)+((COUNTIF('Elève (5ème1)'!QH12:QJ12,"B"))*3)+((COUNTIF('Elève (5ème1)'!QH12:QJ12,"C"))*2)+((COUNTIF('Elève (5ème1)'!QH12:QJ12,"D"))*1))/(COUNTA(QH12:QJ12)),"")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(5ème1)'!QM12:QO12,"A"))*4)+((COUNTIF('Elève (5ème1)'!QM12:QO12,"B"))*3)+((COUNTIF('Elève (5ème1)'!QM12:QO12,"C"))*2)+((COUNTIF('Elève (5ème1)'!QM12:QO12,"D"))*1))/(COUNTA(QM12:QO12)),"")</f>
        <v/>
      </c>
      <c r="QQ12" s="113" t="str">
        <f t="shared" si="106"/>
        <v/>
      </c>
      <c r="QR12" s="180">
        <f>IF(COUNT(QF12,QK12,QP12)=0,"",SUM(QF12,QK12,QP12)/COUNT(QF12,QK12,QP12))</f>
        <v>4</v>
      </c>
      <c r="QS12" s="133" t="str">
        <f t="shared" si="107"/>
        <v>A</v>
      </c>
      <c r="QT12" s="159" t="s">
        <v>28</v>
      </c>
      <c r="QU12" s="160"/>
      <c r="QV12" s="161"/>
      <c r="QW12" s="112">
        <f>IFERROR((((COUNTIF('Elève (5ème1)'!QT12:QV12,"A"))*4)+((COUNTIF('Elève (5ème1)'!QT12:QV12,"B"))*3)+((COUNTIF('Elève (5ème1)'!QT12:QV12,"C"))*2)+((COUNTIF('Elève (5ème1)'!QT12:QV12,"D"))*1))/(COUNTA(QT12:QV12)),"")</f>
        <v>3</v>
      </c>
      <c r="QX12" s="113" t="str">
        <f t="shared" si="108"/>
        <v>B</v>
      </c>
      <c r="QY12" s="84"/>
      <c r="QZ12" s="85"/>
      <c r="RA12" s="86"/>
      <c r="RB12" s="112" t="str">
        <f>IFERROR((((COUNTIF('Elève (5ème1)'!QY12:RA12,"A"))*4)+((COUNTIF('Elève (5ème1)'!QY12:RA12,"B"))*3)+((COUNTIF('Elève (5ème1)'!QY12:RA12,"C"))*2)+((COUNTIF('Elève (5ème1)'!QY12:RA12,"D"))*1))/(COUNTA(QY12:RA12)),"")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(5ème1)'!RD12:RF12,"A"))*4)+((COUNTIF('Elève (5ème1)'!RD12:RF12,"B"))*3)+((COUNTIF('Elève (5ème1)'!RD12:RF12,"C"))*2)+((COUNTIF('Elève (5ème1)'!RD12:RF12,"D"))*1))/(COUNTA(RD12:RF12)),"")</f>
        <v/>
      </c>
      <c r="RH12" s="113" t="str">
        <f t="shared" si="110"/>
        <v/>
      </c>
      <c r="RI12" s="180">
        <f>IF(COUNT(QW12,RB12,RG12)=0,"",SUM(QW12,RB12,RG12)/COUNT(QW12,RB12,RG12))</f>
        <v>3</v>
      </c>
      <c r="RJ12" s="133" t="str">
        <f t="shared" si="111"/>
        <v>B</v>
      </c>
      <c r="RK12" s="159" t="s">
        <v>27</v>
      </c>
      <c r="RL12" s="160"/>
      <c r="RM12" s="161"/>
      <c r="RN12" s="112">
        <f>IFERROR((((COUNTIF('Elève (5ème1)'!RK12:RM12,"A"))*4)+((COUNTIF('Elève (5ème1)'!RK12:RM12,"B"))*3)+((COUNTIF('Elève (5ème1)'!RK12:RM12,"C"))*2)+((COUNTIF('Elève (5ème1)'!RK12:RM12,"D"))*1))/(COUNTA(RK12:RM12)),"")</f>
        <v>4</v>
      </c>
      <c r="RO12" s="113" t="str">
        <f t="shared" si="112"/>
        <v>A</v>
      </c>
      <c r="RP12" s="84"/>
      <c r="RQ12" s="85"/>
      <c r="RR12" s="86"/>
      <c r="RS12" s="112" t="str">
        <f>IFERROR((((COUNTIF('Elève (5ème1)'!RP12:RR12,"A"))*4)+((COUNTIF('Elève (5ème1)'!RP12:RR12,"B"))*3)+((COUNTIF('Elève (5ème1)'!RP12:RR12,"C"))*2)+((COUNTIF('Elève (5ème1)'!RP12:RR12,"D"))*1))/(COUNTA(RP12:RR12)),"")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(5ème1)'!RU12:RW12,"A"))*4)+((COUNTIF('Elève (5ème1)'!RU12:RW12,"B"))*3)+((COUNTIF('Elève (5ème1)'!RU12:RW12,"C"))*2)+((COUNTIF('Elève (5ème1)'!RU12:RW12,"D"))*1))/(COUNTA(RU12:RW12)),"")</f>
        <v/>
      </c>
      <c r="RY12" s="113" t="str">
        <f t="shared" si="114"/>
        <v/>
      </c>
      <c r="RZ12" s="180">
        <f>IF(COUNT(RN12,RS12,RX12)=0,"",SUM(RN12,RS12,RX12)/COUNT(RN12,RS12,RX12))</f>
        <v>4</v>
      </c>
      <c r="SA12" s="133" t="str">
        <f t="shared" si="115"/>
        <v>A</v>
      </c>
      <c r="SB12" s="159" t="s">
        <v>27</v>
      </c>
      <c r="SC12" s="160"/>
      <c r="SD12" s="161"/>
      <c r="SE12" s="112">
        <f>IFERROR((((COUNTIF('Elève (5ème1)'!SB12:SD12,"A"))*4)+((COUNTIF('Elève (5ème1)'!SB12:SD12,"B"))*3)+((COUNTIF('Elève (5ème1)'!SB12:SD12,"C"))*2)+((COUNTIF('Elève (5ème1)'!SB12:SD12,"D"))*1))/(COUNTA(SB12:SD12)),"")</f>
        <v>4</v>
      </c>
      <c r="SF12" s="113" t="str">
        <f t="shared" si="116"/>
        <v>A</v>
      </c>
      <c r="SG12" s="84"/>
      <c r="SH12" s="85"/>
      <c r="SI12" s="86"/>
      <c r="SJ12" s="112" t="str">
        <f>IFERROR((((COUNTIF('Elève (5ème1)'!SG12:SI12,"A"))*4)+((COUNTIF('Elève (5ème1)'!SG12:SI12,"B"))*3)+((COUNTIF('Elève (5ème1)'!SG12:SI12,"C"))*2)+((COUNTIF('Elève (5ème1)'!SG12:SI12,"D"))*1))/(COUNTA(SG12:SI12)),"")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(5ème1)'!SL12:SN12,"A"))*4)+((COUNTIF('Elève (5ème1)'!SL12:SN12,"B"))*3)+((COUNTIF('Elève (5ème1)'!SL12:SN12,"C"))*2)+((COUNTIF('Elève (5ème1)'!SL12:SN12,"D"))*1))/(COUNTA(SL12:SN12)),"")</f>
        <v/>
      </c>
      <c r="SP12" s="113" t="str">
        <f t="shared" si="118"/>
        <v/>
      </c>
      <c r="SQ12" s="180">
        <f>IF(COUNT(SE12,SJ12,SO12)=0,"",SUM(SE12,SJ12,SO12)/COUNT(SE12,SJ12,SO12))</f>
        <v>4</v>
      </c>
      <c r="SR12" s="133" t="str">
        <f t="shared" si="119"/>
        <v>A</v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>
        <f>IFERROR((((COUNTIF('Elève (5ème1)'!C14:E15,"A"))*4)+((COUNTIF('Elève (5ème1)'!C14:E15,"B"))*3)+((COUNTIF('Elève (5ème1)'!C14:E15,"C"))*2)+((COUNTIF('Elève (5ème1)'!C14:E15,"D"))*1))/(COUNTA(C14:E15)),"")</f>
        <v>4</v>
      </c>
      <c r="G13" s="107" t="str">
        <f t="shared" si="0"/>
        <v>A</v>
      </c>
      <c r="H13" s="145"/>
      <c r="I13" s="186"/>
      <c r="J13" s="146"/>
      <c r="K13" s="106" t="str">
        <f>IFERROR((((COUNTIF('Elève (5ème1)'!H14:J15,"A"))*4)+((COUNTIF('Elève (5ème1)'!H14:J15,"B"))*3)+((COUNTIF('Elève (5ème1)'!H14:J15,"C"))*2)+((COUNTIF('Elève (5ème1)'!H14:J15,"D"))*1))/(COUNTA(H14:J15)),"")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(5ème1)'!M14:O15,"A"))*4)+((COUNTIF('Elève (5ème1)'!M14:O15,"B"))*3)+((COUNTIF('Elève (5ème1)'!M14:O15,"C"))*2)+((COUNTIF('Elève (5ème1)'!M14:O15,"D"))*1))/(COUNTA(M14:O15)),"")</f>
        <v/>
      </c>
      <c r="Q13" s="128" t="str">
        <f t="shared" si="2"/>
        <v/>
      </c>
      <c r="R13" s="177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>4</v>
      </c>
      <c r="S13" s="130" t="str">
        <f t="shared" si="3"/>
        <v>A</v>
      </c>
      <c r="T13" s="152"/>
      <c r="U13" s="185"/>
      <c r="V13" s="185"/>
      <c r="W13" s="106">
        <f>IFERROR((((COUNTIF('Elève (5ème1)'!T14:V15,"A"))*4)+((COUNTIF('Elève (5ème1)'!T14:V15,"B"))*3)+((COUNTIF('Elève (5ème1)'!T14:V15,"C"))*2)+((COUNTIF('Elève (5ème1)'!T14:V15,"D"))*1))/(COUNTA(T14:V15)),"")</f>
        <v>4</v>
      </c>
      <c r="X13" s="107" t="str">
        <f t="shared" si="4"/>
        <v>A</v>
      </c>
      <c r="Y13" s="145"/>
      <c r="Z13" s="186"/>
      <c r="AA13" s="146"/>
      <c r="AB13" s="106" t="str">
        <f>IFERROR((((COUNTIF('Elève (5ème1)'!Y14:AA15,"A"))*4)+((COUNTIF('Elève (5ème1)'!Y14:AA15,"B"))*3)+((COUNTIF('Elève (5ème1)'!Y14:AA15,"C"))*2)+((COUNTIF('Elève (5ème1)'!Y14:AA15,"D"))*1))/(COUNTA(Y14:AA15)),"")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(5ème1)'!AD14:AF15,"A"))*4)+((COUNTIF('Elève (5ème1)'!AD14:AF15,"B"))*3)+((COUNTIF('Elève (5ème1)'!AD14:AF15,"C"))*2)+((COUNTIF('Elève (5ème1)'!AD14:AF15,"D"))*1))/(COUNTA(AD14:AF15)),"")</f>
        <v/>
      </c>
      <c r="AH13" s="128" t="str">
        <f t="shared" si="6"/>
        <v/>
      </c>
      <c r="AI13" s="177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>4</v>
      </c>
      <c r="AJ13" s="130" t="str">
        <f t="shared" si="7"/>
        <v>A</v>
      </c>
      <c r="AK13" s="152"/>
      <c r="AL13" s="185"/>
      <c r="AM13" s="185"/>
      <c r="AN13" s="106">
        <f>IFERROR((((COUNTIF('Elève (5ème1)'!AK14:AM15,"A"))*4)+((COUNTIF('Elève (5ème1)'!AK14:AM15,"B"))*3)+((COUNTIF('Elève (5ème1)'!AK14:AM15,"C"))*2)+((COUNTIF('Elève (5ème1)'!AK14:AM15,"D"))*1))/(COUNTA(AK14:AM15)),"")</f>
        <v>1</v>
      </c>
      <c r="AO13" s="107" t="str">
        <f t="shared" si="8"/>
        <v>D</v>
      </c>
      <c r="AP13" s="145"/>
      <c r="AQ13" s="186"/>
      <c r="AR13" s="146"/>
      <c r="AS13" s="106" t="str">
        <f>IFERROR((((COUNTIF('Elève (5ème1)'!AP14:AR15,"A"))*4)+((COUNTIF('Elève (5ème1)'!AP14:AR15,"B"))*3)+((COUNTIF('Elève (5ème1)'!AP14:AR15,"C"))*2)+((COUNTIF('Elève (5ème1)'!AP14:AR15,"D"))*1))/(COUNTA(AP14:AR15)),"")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(5ème1)'!AU14:AW15,"A"))*4)+((COUNTIF('Elève (5ème1)'!AU14:AW15,"B"))*3)+((COUNTIF('Elève (5ème1)'!AU14:AW15,"C"))*2)+((COUNTIF('Elève (5ème1)'!AU14:AW15,"D"))*1))/(COUNTA(AU14:AW15)),"")</f>
        <v/>
      </c>
      <c r="AY13" s="128" t="str">
        <f t="shared" si="10"/>
        <v/>
      </c>
      <c r="AZ13" s="177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>1</v>
      </c>
      <c r="BA13" s="130" t="str">
        <f t="shared" si="11"/>
        <v>D</v>
      </c>
      <c r="BB13" s="152"/>
      <c r="BC13" s="185"/>
      <c r="BD13" s="185"/>
      <c r="BE13" s="106">
        <f>IFERROR((((COUNTIF('Elève (5ème1)'!BB14:BD15,"A"))*4)+((COUNTIF('Elève (5ème1)'!BB14:BD15,"B"))*3)+((COUNTIF('Elève (5ème1)'!BB14:BD15,"C"))*2)+((COUNTIF('Elève (5ème1)'!BB14:BD15,"D"))*1))/(COUNTA(BB14:BD15)),"")</f>
        <v>3</v>
      </c>
      <c r="BF13" s="107" t="str">
        <f t="shared" si="12"/>
        <v>B</v>
      </c>
      <c r="BG13" s="145"/>
      <c r="BH13" s="186"/>
      <c r="BI13" s="146"/>
      <c r="BJ13" s="106" t="str">
        <f>IFERROR((((COUNTIF('Elève (5ème1)'!BG14:BI15,"A"))*4)+((COUNTIF('Elève (5ème1)'!BG14:BI15,"B"))*3)+((COUNTIF('Elève (5ème1)'!BG14:BI15,"C"))*2)+((COUNTIF('Elève (5ème1)'!BG14:BI15,"D"))*1))/(COUNTA(BG14:BI15)),"")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(5ème1)'!BL14:BN15,"A"))*4)+((COUNTIF('Elève (5ème1)'!BL14:BN15,"B"))*3)+((COUNTIF('Elève (5ème1)'!BL14:BN15,"C"))*2)+((COUNTIF('Elève (5ème1)'!BL14:BN15,"D"))*1))/(COUNTA(BL14:BN15)),"")</f>
        <v/>
      </c>
      <c r="BP13" s="128" t="str">
        <f t="shared" si="14"/>
        <v/>
      </c>
      <c r="BQ13" s="177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>3</v>
      </c>
      <c r="BR13" s="130" t="str">
        <f t="shared" si="15"/>
        <v>B</v>
      </c>
      <c r="BS13" s="152"/>
      <c r="BT13" s="185"/>
      <c r="BU13" s="185"/>
      <c r="BV13" s="106">
        <f>IFERROR((((COUNTIF('Elève (5ème1)'!BS14:BU15,"A"))*4)+((COUNTIF('Elève (5ème1)'!BS14:BU15,"B"))*3)+((COUNTIF('Elève (5ème1)'!BS14:BU15,"C"))*2)+((COUNTIF('Elève (5ème1)'!BS14:BU15,"D"))*1))/(COUNTA(BS14:BU15)),"")</f>
        <v>4</v>
      </c>
      <c r="BW13" s="107" t="str">
        <f t="shared" si="16"/>
        <v>A</v>
      </c>
      <c r="BX13" s="145"/>
      <c r="BY13" s="186"/>
      <c r="BZ13" s="146"/>
      <c r="CA13" s="106" t="str">
        <f>IFERROR((((COUNTIF('Elève (5ème1)'!BX14:BZ15,"A"))*4)+((COUNTIF('Elève (5ème1)'!BX14:BZ15,"B"))*3)+((COUNTIF('Elève (5ème1)'!BX14:BZ15,"C"))*2)+((COUNTIF('Elève (5ème1)'!BX14:BZ15,"D"))*1))/(COUNTA(BX14:BZ15)),"")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(5ème1)'!CC14:CE15,"A"))*4)+((COUNTIF('Elève (5ème1)'!CC14:CE15,"B"))*3)+((COUNTIF('Elève (5ème1)'!CC14:CE15,"C"))*2)+((COUNTIF('Elève (5ème1)'!CC14:CE15,"D"))*1))/(COUNTA(CC14:CE15)),"")</f>
        <v/>
      </c>
      <c r="CG13" s="128" t="str">
        <f t="shared" si="18"/>
        <v/>
      </c>
      <c r="CH13" s="177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>4</v>
      </c>
      <c r="CI13" s="130" t="str">
        <f t="shared" si="19"/>
        <v>A</v>
      </c>
      <c r="CJ13" s="152"/>
      <c r="CK13" s="185"/>
      <c r="CL13" s="185"/>
      <c r="CM13" s="106">
        <f>IFERROR((((COUNTIF('Elève (5ème1)'!CJ14:CL15,"A"))*4)+((COUNTIF('Elève (5ème1)'!CJ14:CL15,"B"))*3)+((COUNTIF('Elève (5ème1)'!CJ14:CL15,"C"))*2)+((COUNTIF('Elève (5ème1)'!CJ14:CL15,"D"))*1))/(COUNTA(CJ14:CL15)),"")</f>
        <v>4</v>
      </c>
      <c r="CN13" s="107" t="str">
        <f t="shared" si="20"/>
        <v>A</v>
      </c>
      <c r="CO13" s="145"/>
      <c r="CP13" s="186"/>
      <c r="CQ13" s="146"/>
      <c r="CR13" s="106" t="str">
        <f>IFERROR((((COUNTIF('Elève (5ème1)'!CO14:CQ15,"A"))*4)+((COUNTIF('Elève (5ème1)'!CO14:CQ15,"B"))*3)+((COUNTIF('Elève (5ème1)'!CO14:CQ15,"C"))*2)+((COUNTIF('Elève (5ème1)'!CO14:CQ15,"D"))*1))/(COUNTA(CO14:CQ15)),"")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(5ème1)'!CT14:CV15,"A"))*4)+((COUNTIF('Elève (5ème1)'!CT14:CV15,"B"))*3)+((COUNTIF('Elève (5ème1)'!CT14:CV15,"C"))*2)+((COUNTIF('Elève (5ème1)'!CT14:CV15,"D"))*1))/(COUNTA(CT14:CV15)),"")</f>
        <v/>
      </c>
      <c r="CX13" s="128" t="str">
        <f t="shared" si="22"/>
        <v/>
      </c>
      <c r="CY13" s="177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>4</v>
      </c>
      <c r="CZ13" s="130" t="str">
        <f t="shared" si="23"/>
        <v>A</v>
      </c>
      <c r="DA13" s="152"/>
      <c r="DB13" s="185"/>
      <c r="DC13" s="185"/>
      <c r="DD13" s="106">
        <f>IFERROR((((COUNTIF('Elève (5ème1)'!DA14:DC15,"A"))*4)+((COUNTIF('Elève (5ème1)'!DA14:DC15,"B"))*3)+((COUNTIF('Elève (5ème1)'!DA14:DC15,"C"))*2)+((COUNTIF('Elève (5ème1)'!DA14:DC15,"D"))*1))/(COUNTA(DA14:DC15)),"")</f>
        <v>4</v>
      </c>
      <c r="DE13" s="107" t="str">
        <f t="shared" si="24"/>
        <v>A</v>
      </c>
      <c r="DF13" s="145"/>
      <c r="DG13" s="186"/>
      <c r="DH13" s="146"/>
      <c r="DI13" s="106" t="str">
        <f>IFERROR((((COUNTIF('Elève (5ème1)'!DF14:DH15,"A"))*4)+((COUNTIF('Elève (5ème1)'!DF14:DH15,"B"))*3)+((COUNTIF('Elève (5ème1)'!DF14:DH15,"C"))*2)+((COUNTIF('Elève (5ème1)'!DF14:DH15,"D"))*1))/(COUNTA(DF14:DH15)),"")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(5ème1)'!DK14:DM15,"A"))*4)+((COUNTIF('Elève (5ème1)'!DK14:DM15,"B"))*3)+((COUNTIF('Elève (5ème1)'!DK14:DM15,"C"))*2)+((COUNTIF('Elève (5ème1)'!DK14:DM15,"D"))*1))/(COUNTA(DK14:DM15)),"")</f>
        <v/>
      </c>
      <c r="DO13" s="128" t="str">
        <f t="shared" si="26"/>
        <v/>
      </c>
      <c r="DP13" s="177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>4</v>
      </c>
      <c r="DQ13" s="130" t="str">
        <f t="shared" si="27"/>
        <v>A</v>
      </c>
      <c r="DR13" s="152"/>
      <c r="DS13" s="185"/>
      <c r="DT13" s="185"/>
      <c r="DU13" s="106">
        <f>IFERROR((((COUNTIF('Elève (5ème1)'!DR14:DT15,"A"))*4)+((COUNTIF('Elève (5ème1)'!DR14:DT15,"B"))*3)+((COUNTIF('Elève (5ème1)'!DR14:DT15,"C"))*2)+((COUNTIF('Elève (5ème1)'!DR14:DT15,"D"))*1))/(COUNTA(DR14:DT15)),"")</f>
        <v>4</v>
      </c>
      <c r="DV13" s="107" t="str">
        <f t="shared" si="28"/>
        <v>A</v>
      </c>
      <c r="DW13" s="145"/>
      <c r="DX13" s="186"/>
      <c r="DY13" s="146"/>
      <c r="DZ13" s="106" t="str">
        <f>IFERROR((((COUNTIF('Elève (5ème1)'!DW14:DY15,"A"))*4)+((COUNTIF('Elève (5ème1)'!DW14:DY15,"B"))*3)+((COUNTIF('Elève (5ème1)'!DW14:DY15,"C"))*2)+((COUNTIF('Elève (5ème1)'!DW14:DY15,"D"))*1))/(COUNTA(DW14:DY15)),"")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(5ème1)'!EB14:ED15,"A"))*4)+((COUNTIF('Elève (5ème1)'!EB14:ED15,"B"))*3)+((COUNTIF('Elève (5ème1)'!EB14:ED15,"C"))*2)+((COUNTIF('Elève (5ème1)'!EB14:ED15,"D"))*1))/(COUNTA(EB14:ED15)),"")</f>
        <v/>
      </c>
      <c r="EF13" s="128" t="str">
        <f t="shared" si="30"/>
        <v/>
      </c>
      <c r="EG13" s="177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>4</v>
      </c>
      <c r="EH13" s="130" t="str">
        <f t="shared" si="31"/>
        <v>A</v>
      </c>
      <c r="EI13" s="152"/>
      <c r="EJ13" s="185"/>
      <c r="EK13" s="185"/>
      <c r="EL13" s="106">
        <f>IFERROR((((COUNTIF('Elève (5ème1)'!EI14:EK15,"A"))*4)+((COUNTIF('Elève (5ème1)'!EI14:EK15,"B"))*3)+((COUNTIF('Elève (5ème1)'!EI14:EK15,"C"))*2)+((COUNTIF('Elève (5ème1)'!EI14:EK15,"D"))*1))/(COUNTA(EI14:EK15)),"")</f>
        <v>3</v>
      </c>
      <c r="EM13" s="107" t="str">
        <f t="shared" si="32"/>
        <v>B</v>
      </c>
      <c r="EN13" s="145"/>
      <c r="EO13" s="186"/>
      <c r="EP13" s="146"/>
      <c r="EQ13" s="106" t="str">
        <f>IFERROR((((COUNTIF('Elève (5ème1)'!EN14:EP15,"A"))*4)+((COUNTIF('Elève (5ème1)'!EN14:EP15,"B"))*3)+((COUNTIF('Elève (5ème1)'!EN14:EP15,"C"))*2)+((COUNTIF('Elève (5ème1)'!EN14:EP15,"D"))*1))/(COUNTA(EN14:EP15)),"")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(5ème1)'!ES14:EU15,"A"))*4)+((COUNTIF('Elève (5ème1)'!ES14:EU15,"B"))*3)+((COUNTIF('Elève (5ème1)'!ES14:EU15,"C"))*2)+((COUNTIF('Elève (5ème1)'!ES14:EU15,"D"))*1))/(COUNTA(ES14:EU15)),"")</f>
        <v/>
      </c>
      <c r="EW13" s="128" t="str">
        <f t="shared" si="34"/>
        <v/>
      </c>
      <c r="EX13" s="177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>3</v>
      </c>
      <c r="EY13" s="130" t="str">
        <f t="shared" si="35"/>
        <v>B</v>
      </c>
      <c r="EZ13" s="152"/>
      <c r="FA13" s="185"/>
      <c r="FB13" s="185"/>
      <c r="FC13" s="106">
        <f>IFERROR((((COUNTIF('Elève (5ème1)'!EZ14:FB15,"A"))*4)+((COUNTIF('Elève (5ème1)'!EZ14:FB15,"B"))*3)+((COUNTIF('Elève (5ème1)'!EZ14:FB15,"C"))*2)+((COUNTIF('Elève (5ème1)'!EZ14:FB15,"D"))*1))/(COUNTA(EZ14:FB15)),"")</f>
        <v>4</v>
      </c>
      <c r="FD13" s="107" t="str">
        <f t="shared" si="36"/>
        <v>A</v>
      </c>
      <c r="FE13" s="145"/>
      <c r="FF13" s="186"/>
      <c r="FG13" s="146"/>
      <c r="FH13" s="106" t="str">
        <f>IFERROR((((COUNTIF('Elève (5ème1)'!FE14:FG15,"A"))*4)+((COUNTIF('Elève (5ème1)'!FE14:FG15,"B"))*3)+((COUNTIF('Elève (5ème1)'!FE14:FG15,"C"))*2)+((COUNTIF('Elève (5ème1)'!FE14:FG15,"D"))*1))/(COUNTA(FE14:FG15)),"")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(5ème1)'!FJ14:FL15,"A"))*4)+((COUNTIF('Elève (5ème1)'!FJ14:FL15,"B"))*3)+((COUNTIF('Elève (5ème1)'!FJ14:FL15,"C"))*2)+((COUNTIF('Elève (5ème1)'!FJ14:FL15,"D"))*1))/(COUNTA(FJ14:FL15)),"")</f>
        <v/>
      </c>
      <c r="FN13" s="128" t="str">
        <f t="shared" si="38"/>
        <v/>
      </c>
      <c r="FO13" s="177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>4</v>
      </c>
      <c r="FP13" s="130" t="str">
        <f t="shared" si="39"/>
        <v>A</v>
      </c>
      <c r="FQ13" s="152"/>
      <c r="FR13" s="185"/>
      <c r="FS13" s="185"/>
      <c r="FT13" s="106">
        <f>IFERROR((((COUNTIF('Elève (5ème1)'!FQ14:FS15,"A"))*4)+((COUNTIF('Elève (5ème1)'!FQ14:FS15,"B"))*3)+((COUNTIF('Elève (5ème1)'!FQ14:FS15,"C"))*2)+((COUNTIF('Elève (5ème1)'!FQ14:FS15,"D"))*1))/(COUNTA(FQ14:FS15)),"")</f>
        <v>4</v>
      </c>
      <c r="FU13" s="107" t="str">
        <f t="shared" si="40"/>
        <v>A</v>
      </c>
      <c r="FV13" s="145"/>
      <c r="FW13" s="186"/>
      <c r="FX13" s="146"/>
      <c r="FY13" s="106" t="str">
        <f>IFERROR((((COUNTIF('Elève (5ème1)'!FV14:FX15,"A"))*4)+((COUNTIF('Elève (5ème1)'!FV14:FX15,"B"))*3)+((COUNTIF('Elève (5ème1)'!FV14:FX15,"C"))*2)+((COUNTIF('Elève (5ème1)'!FV14:FX15,"D"))*1))/(COUNTA(FV14:FX15)),"")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(5ème1)'!GA14:GC15,"A"))*4)+((COUNTIF('Elève (5ème1)'!GA14:GC15,"B"))*3)+((COUNTIF('Elève (5ème1)'!GA14:GC15,"C"))*2)+((COUNTIF('Elève (5ème1)'!GA14:GC15,"D"))*1))/(COUNTA(GA14:GC15)),"")</f>
        <v/>
      </c>
      <c r="GE13" s="128" t="str">
        <f t="shared" si="42"/>
        <v/>
      </c>
      <c r="GF13" s="177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>4</v>
      </c>
      <c r="GG13" s="130" t="str">
        <f t="shared" si="43"/>
        <v>A</v>
      </c>
      <c r="GH13" s="152"/>
      <c r="GI13" s="185"/>
      <c r="GJ13" s="185"/>
      <c r="GK13" s="106">
        <f>IFERROR((((COUNTIF('Elève (5ème1)'!GH14:GJ15,"A"))*4)+((COUNTIF('Elève (5ème1)'!GH14:GJ15,"B"))*3)+((COUNTIF('Elève (5ème1)'!GH14:GJ15,"C"))*2)+((COUNTIF('Elève (5ème1)'!GH14:GJ15,"D"))*1))/(COUNTA(GH14:GJ15)),"")</f>
        <v>4</v>
      </c>
      <c r="GL13" s="107" t="str">
        <f t="shared" si="44"/>
        <v>A</v>
      </c>
      <c r="GM13" s="145"/>
      <c r="GN13" s="186"/>
      <c r="GO13" s="146"/>
      <c r="GP13" s="106" t="str">
        <f>IFERROR((((COUNTIF('Elève (5ème1)'!GM14:GO15,"A"))*4)+((COUNTIF('Elève (5ème1)'!GM14:GO15,"B"))*3)+((COUNTIF('Elève (5ème1)'!GM14:GO15,"C"))*2)+((COUNTIF('Elève (5ème1)'!GM14:GO15,"D"))*1))/(COUNTA(GM14:GO15)),"")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(5ème1)'!GR14:GT15,"A"))*4)+((COUNTIF('Elève (5ème1)'!GR14:GT15,"B"))*3)+((COUNTIF('Elève (5ème1)'!GR14:GT15,"C"))*2)+((COUNTIF('Elève (5ème1)'!GR14:GT15,"D"))*1))/(COUNTA(GR14:GT15)),"")</f>
        <v/>
      </c>
      <c r="GV13" s="128" t="str">
        <f t="shared" si="46"/>
        <v/>
      </c>
      <c r="GW13" s="177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>4</v>
      </c>
      <c r="GX13" s="130" t="str">
        <f t="shared" si="47"/>
        <v>A</v>
      </c>
      <c r="GY13" s="152"/>
      <c r="GZ13" s="185"/>
      <c r="HA13" s="185"/>
      <c r="HB13" s="106">
        <f>IFERROR((((COUNTIF('Elève (5ème1)'!GY14:HA15,"A"))*4)+((COUNTIF('Elève (5ème1)'!GY14:HA15,"B"))*3)+((COUNTIF('Elève (5ème1)'!GY14:HA15,"C"))*2)+((COUNTIF('Elève (5ème1)'!GY14:HA15,"D"))*1))/(COUNTA(GY14:HA15)),"")</f>
        <v>4</v>
      </c>
      <c r="HC13" s="107" t="str">
        <f t="shared" si="48"/>
        <v>A</v>
      </c>
      <c r="HD13" s="145"/>
      <c r="HE13" s="186"/>
      <c r="HF13" s="146"/>
      <c r="HG13" s="106" t="str">
        <f>IFERROR((((COUNTIF('Elève (5ème1)'!HD14:HF15,"A"))*4)+((COUNTIF('Elève (5ème1)'!HD14:HF15,"B"))*3)+((COUNTIF('Elève (5ème1)'!HD14:HF15,"C"))*2)+((COUNTIF('Elève (5ème1)'!HD14:HF15,"D"))*1))/(COUNTA(HD14:HF15)),"")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(5ème1)'!HI14:HK15,"A"))*4)+((COUNTIF('Elève (5ème1)'!HI14:HK15,"B"))*3)+((COUNTIF('Elève (5ème1)'!HI14:HK15,"C"))*2)+((COUNTIF('Elève (5ème1)'!HI14:HK15,"D"))*1))/(COUNTA(HI14:HK15)),"")</f>
        <v/>
      </c>
      <c r="HM13" s="128" t="str">
        <f t="shared" si="50"/>
        <v/>
      </c>
      <c r="HN13" s="177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>4</v>
      </c>
      <c r="HO13" s="130" t="str">
        <f t="shared" si="51"/>
        <v>A</v>
      </c>
      <c r="HP13" s="152"/>
      <c r="HQ13" s="185"/>
      <c r="HR13" s="185"/>
      <c r="HS13" s="106">
        <f>IFERROR((((COUNTIF('Elève (5ème1)'!HP14:HR15,"A"))*4)+((COUNTIF('Elève (5ème1)'!HP14:HR15,"B"))*3)+((COUNTIF('Elève (5ème1)'!HP14:HR15,"C"))*2)+((COUNTIF('Elève (5ème1)'!HP14:HR15,"D"))*1))/(COUNTA(HP14:HR15)),"")</f>
        <v>4</v>
      </c>
      <c r="HT13" s="107" t="str">
        <f t="shared" si="52"/>
        <v>A</v>
      </c>
      <c r="HU13" s="145"/>
      <c r="HV13" s="186"/>
      <c r="HW13" s="146"/>
      <c r="HX13" s="106" t="str">
        <f>IFERROR((((COUNTIF('Elève (5ème1)'!HU14:HW15,"A"))*4)+((COUNTIF('Elève (5ème1)'!HU14:HW15,"B"))*3)+((COUNTIF('Elève (5ème1)'!HU14:HW15,"C"))*2)+((COUNTIF('Elève (5ème1)'!HU14:HW15,"D"))*1))/(COUNTA(HU14:HW15)),"")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(5ème1)'!HZ14:IB15,"A"))*4)+((COUNTIF('Elève (5ème1)'!HZ14:IB15,"B"))*3)+((COUNTIF('Elève (5ème1)'!HZ14:IB15,"C"))*2)+((COUNTIF('Elève (5ème1)'!HZ14:IB15,"D"))*1))/(COUNTA(HZ14:IB15)),"")</f>
        <v/>
      </c>
      <c r="ID13" s="128" t="str">
        <f t="shared" si="54"/>
        <v/>
      </c>
      <c r="IE13" s="177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>4</v>
      </c>
      <c r="IF13" s="130" t="str">
        <f t="shared" si="55"/>
        <v>A</v>
      </c>
      <c r="IG13" s="152"/>
      <c r="IH13" s="185"/>
      <c r="II13" s="185"/>
      <c r="IJ13" s="106">
        <f>IFERROR((((COUNTIF('Elève (5ème1)'!IG14:II15,"A"))*4)+((COUNTIF('Elève (5ème1)'!IG14:II15,"B"))*3)+((COUNTIF('Elève (5ème1)'!IG14:II15,"C"))*2)+((COUNTIF('Elève (5ème1)'!IG14:II15,"D"))*1))/(COUNTA(IG14:II15)),"")</f>
        <v>4</v>
      </c>
      <c r="IK13" s="107" t="str">
        <f t="shared" si="56"/>
        <v>A</v>
      </c>
      <c r="IL13" s="145"/>
      <c r="IM13" s="186"/>
      <c r="IN13" s="146"/>
      <c r="IO13" s="106" t="str">
        <f>IFERROR((((COUNTIF('Elève (5ème1)'!IL14:IN15,"A"))*4)+((COUNTIF('Elève (5ème1)'!IL14:IN15,"B"))*3)+((COUNTIF('Elève (5ème1)'!IL14:IN15,"C"))*2)+((COUNTIF('Elève (5ème1)'!IL14:IN15,"D"))*1))/(COUNTA(IL14:IN15)),"")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(5ème1)'!IQ14:IS15,"A"))*4)+((COUNTIF('Elève (5ème1)'!IQ14:IS15,"B"))*3)+((COUNTIF('Elève (5ème1)'!IQ14:IS15,"C"))*2)+((COUNTIF('Elève (5ème1)'!IQ14:IS15,"D"))*1))/(COUNTA(IQ14:IS15)),"")</f>
        <v/>
      </c>
      <c r="IU13" s="128" t="str">
        <f t="shared" si="58"/>
        <v/>
      </c>
      <c r="IV13" s="177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>4</v>
      </c>
      <c r="IW13" s="130" t="str">
        <f t="shared" si="59"/>
        <v>A</v>
      </c>
      <c r="IX13" s="152"/>
      <c r="IY13" s="185"/>
      <c r="IZ13" s="185"/>
      <c r="JA13" s="106">
        <f>IFERROR((((COUNTIF('Elève (5ème1)'!IX14:IZ15,"A"))*4)+((COUNTIF('Elève (5ème1)'!IX14:IZ15,"B"))*3)+((COUNTIF('Elève (5ème1)'!IX14:IZ15,"C"))*2)+((COUNTIF('Elève (5ème1)'!IX14:IZ15,"D"))*1))/(COUNTA(IX14:IZ15)),"")</f>
        <v>4</v>
      </c>
      <c r="JB13" s="107" t="str">
        <f t="shared" si="60"/>
        <v>A</v>
      </c>
      <c r="JC13" s="145"/>
      <c r="JD13" s="186"/>
      <c r="JE13" s="146"/>
      <c r="JF13" s="106" t="str">
        <f>IFERROR((((COUNTIF('Elève (5ème1)'!JC14:JE15,"A"))*4)+((COUNTIF('Elève (5ème1)'!JC14:JE15,"B"))*3)+((COUNTIF('Elève (5ème1)'!JC14:JE15,"C"))*2)+((COUNTIF('Elève (5ème1)'!JC14:JE15,"D"))*1))/(COUNTA(JC14:JE15)),"")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(5ème1)'!JH14:JJ15,"A"))*4)+((COUNTIF('Elève (5ème1)'!JH14:JJ15,"B"))*3)+((COUNTIF('Elève (5ème1)'!JH14:JJ15,"C"))*2)+((COUNTIF('Elève (5ème1)'!JH14:JJ15,"D"))*1))/(COUNTA(JH14:JJ15)),"")</f>
        <v/>
      </c>
      <c r="JL13" s="128" t="str">
        <f t="shared" si="62"/>
        <v/>
      </c>
      <c r="JM13" s="177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>4</v>
      </c>
      <c r="JN13" s="130" t="str">
        <f t="shared" si="63"/>
        <v>A</v>
      </c>
      <c r="JO13" s="152"/>
      <c r="JP13" s="185"/>
      <c r="JQ13" s="185"/>
      <c r="JR13" s="106">
        <f>IFERROR((((COUNTIF('Elève (5ème1)'!JO14:JQ15,"A"))*4)+((COUNTIF('Elève (5ème1)'!JO14:JQ15,"B"))*3)+((COUNTIF('Elève (5ème1)'!JO14:JQ15,"C"))*2)+((COUNTIF('Elève (5ème1)'!JO14:JQ15,"D"))*1))/(COUNTA(JO14:JQ15)),"")</f>
        <v>4</v>
      </c>
      <c r="JS13" s="107" t="str">
        <f t="shared" si="64"/>
        <v>A</v>
      </c>
      <c r="JT13" s="145"/>
      <c r="JU13" s="186"/>
      <c r="JV13" s="146"/>
      <c r="JW13" s="106" t="str">
        <f>IFERROR((((COUNTIF('Elève (5ème1)'!JT14:JV15,"A"))*4)+((COUNTIF('Elève (5ème1)'!JT14:JV15,"B"))*3)+((COUNTIF('Elève (5ème1)'!JT14:JV15,"C"))*2)+((COUNTIF('Elève (5ème1)'!JT14:JV15,"D"))*1))/(COUNTA(JT14:JV15)),"")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(5ème1)'!JY14:KA15,"A"))*4)+((COUNTIF('Elève (5ème1)'!JY14:KA15,"B"))*3)+((COUNTIF('Elève (5ème1)'!JY14:KA15,"C"))*2)+((COUNTIF('Elève (5ème1)'!JY14:KA15,"D"))*1))/(COUNTA(JY14:KA15)),"")</f>
        <v/>
      </c>
      <c r="KC13" s="128" t="str">
        <f t="shared" si="66"/>
        <v/>
      </c>
      <c r="KD13" s="177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>4</v>
      </c>
      <c r="KE13" s="130" t="str">
        <f t="shared" si="67"/>
        <v>A</v>
      </c>
      <c r="KF13" s="152"/>
      <c r="KG13" s="185"/>
      <c r="KH13" s="185"/>
      <c r="KI13" s="106">
        <f>IFERROR((((COUNTIF('Elève (5ème1)'!KF14:KH15,"A"))*4)+((COUNTIF('Elève (5ème1)'!KF14:KH15,"B"))*3)+((COUNTIF('Elève (5ème1)'!KF14:KH15,"C"))*2)+((COUNTIF('Elève (5ème1)'!KF14:KH15,"D"))*1))/(COUNTA(KF14:KH15)),"")</f>
        <v>4</v>
      </c>
      <c r="KJ13" s="107" t="str">
        <f t="shared" si="68"/>
        <v>A</v>
      </c>
      <c r="KK13" s="145"/>
      <c r="KL13" s="186"/>
      <c r="KM13" s="146"/>
      <c r="KN13" s="106" t="str">
        <f>IFERROR((((COUNTIF('Elève (5ème1)'!KK14:KM15,"A"))*4)+((COUNTIF('Elève (5ème1)'!KK14:KM15,"B"))*3)+((COUNTIF('Elève (5ème1)'!KK14:KM15,"C"))*2)+((COUNTIF('Elève (5ème1)'!KK14:KM15,"D"))*1))/(COUNTA(KK14:KM15)),"")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(5ème1)'!KP14:KR15,"A"))*4)+((COUNTIF('Elève (5ème1)'!KP14:KR15,"B"))*3)+((COUNTIF('Elève (5ème1)'!KP14:KR15,"C"))*2)+((COUNTIF('Elève (5ème1)'!KP14:KR15,"D"))*1))/(COUNTA(KP14:KR15)),"")</f>
        <v/>
      </c>
      <c r="KT13" s="128" t="str">
        <f t="shared" si="70"/>
        <v/>
      </c>
      <c r="KU13" s="177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>4</v>
      </c>
      <c r="KV13" s="130" t="str">
        <f t="shared" si="71"/>
        <v>A</v>
      </c>
      <c r="KW13" s="152"/>
      <c r="KX13" s="185"/>
      <c r="KY13" s="185"/>
      <c r="KZ13" s="106">
        <f>IFERROR((((COUNTIF('Elève (5ème1)'!KW14:KY15,"A"))*4)+((COUNTIF('Elève (5ème1)'!KW14:KY15,"B"))*3)+((COUNTIF('Elève (5ème1)'!KW14:KY15,"C"))*2)+((COUNTIF('Elève (5ème1)'!KW14:KY15,"D"))*1))/(COUNTA(KW14:KY15)),"")</f>
        <v>3</v>
      </c>
      <c r="LA13" s="107" t="str">
        <f t="shared" si="72"/>
        <v>B</v>
      </c>
      <c r="LB13" s="145"/>
      <c r="LC13" s="186"/>
      <c r="LD13" s="146"/>
      <c r="LE13" s="106" t="str">
        <f>IFERROR((((COUNTIF('Elève (5ème1)'!LB14:LD15,"A"))*4)+((COUNTIF('Elève (5ème1)'!LB14:LD15,"B"))*3)+((COUNTIF('Elève (5ème1)'!LB14:LD15,"C"))*2)+((COUNTIF('Elève (5ème1)'!LB14:LD15,"D"))*1))/(COUNTA(LB14:LD15)),"")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(5ème1)'!LG14:LI15,"A"))*4)+((COUNTIF('Elève (5ème1)'!LG14:LI15,"B"))*3)+((COUNTIF('Elève (5ème1)'!LG14:LI15,"C"))*2)+((COUNTIF('Elève (5ème1)'!LG14:LI15,"D"))*1))/(COUNTA(LG14:LI15)),"")</f>
        <v/>
      </c>
      <c r="LK13" s="128" t="str">
        <f t="shared" si="74"/>
        <v/>
      </c>
      <c r="LL13" s="177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>3</v>
      </c>
      <c r="LM13" s="130" t="str">
        <f t="shared" si="75"/>
        <v>B</v>
      </c>
      <c r="LN13" s="152"/>
      <c r="LO13" s="185"/>
      <c r="LP13" s="185"/>
      <c r="LQ13" s="106">
        <f>IFERROR((((COUNTIF('Elève (5ème1)'!LN14:LP15,"A"))*4)+((COUNTIF('Elève (5ème1)'!LN14:LP15,"B"))*3)+((COUNTIF('Elève (5ème1)'!LN14:LP15,"C"))*2)+((COUNTIF('Elève (5ème1)'!LN14:LP15,"D"))*1))/(COUNTA(LN14:LP15)),"")</f>
        <v>4</v>
      </c>
      <c r="LR13" s="107" t="str">
        <f t="shared" si="76"/>
        <v>A</v>
      </c>
      <c r="LS13" s="145"/>
      <c r="LT13" s="186"/>
      <c r="LU13" s="146"/>
      <c r="LV13" s="106" t="str">
        <f>IFERROR((((COUNTIF('Elève (5ème1)'!LS14:LU15,"A"))*4)+((COUNTIF('Elève (5ème1)'!LS14:LU15,"B"))*3)+((COUNTIF('Elève (5ème1)'!LS14:LU15,"C"))*2)+((COUNTIF('Elève (5ème1)'!LS14:LU15,"D"))*1))/(COUNTA(LS14:LU15)),"")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(5ème1)'!LX14:LZ15,"A"))*4)+((COUNTIF('Elève (5ème1)'!LX14:LZ15,"B"))*3)+((COUNTIF('Elève (5ème1)'!LX14:LZ15,"C"))*2)+((COUNTIF('Elève (5ème1)'!LX14:LZ15,"D"))*1))/(COUNTA(LX14:LZ15)),"")</f>
        <v/>
      </c>
      <c r="MB13" s="128" t="str">
        <f t="shared" si="78"/>
        <v/>
      </c>
      <c r="MC13" s="177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>4</v>
      </c>
      <c r="MD13" s="130" t="str">
        <f t="shared" si="79"/>
        <v>A</v>
      </c>
      <c r="ME13" s="152"/>
      <c r="MF13" s="185"/>
      <c r="MG13" s="185"/>
      <c r="MH13" s="106">
        <f>IFERROR((((COUNTIF('Elève (5ème1)'!ME14:MG15,"A"))*4)+((COUNTIF('Elève (5ème1)'!ME14:MG15,"B"))*3)+((COUNTIF('Elève (5ème1)'!ME14:MG15,"C"))*2)+((COUNTIF('Elève (5ème1)'!ME14:MG15,"D"))*1))/(COUNTA(ME14:MG15)),"")</f>
        <v>4</v>
      </c>
      <c r="MI13" s="107" t="str">
        <f t="shared" si="80"/>
        <v>A</v>
      </c>
      <c r="MJ13" s="145"/>
      <c r="MK13" s="186"/>
      <c r="ML13" s="146"/>
      <c r="MM13" s="106" t="str">
        <f>IFERROR((((COUNTIF('Elève (5ème1)'!MJ14:ML15,"A"))*4)+((COUNTIF('Elève (5ème1)'!MJ14:ML15,"B"))*3)+((COUNTIF('Elève (5ème1)'!MJ14:ML15,"C"))*2)+((COUNTIF('Elève (5ème1)'!MJ14:ML15,"D"))*1))/(COUNTA(MJ14:ML15)),"")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(5ème1)'!MO14:MQ15,"A"))*4)+((COUNTIF('Elève (5ème1)'!MO14:MQ15,"B"))*3)+((COUNTIF('Elève (5ème1)'!MO14:MQ15,"C"))*2)+((COUNTIF('Elève (5ème1)'!MO14:MQ15,"D"))*1))/(COUNTA(MO14:MQ15)),"")</f>
        <v/>
      </c>
      <c r="MS13" s="128" t="str">
        <f t="shared" si="82"/>
        <v/>
      </c>
      <c r="MT13" s="177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>4</v>
      </c>
      <c r="MU13" s="130" t="str">
        <f t="shared" si="83"/>
        <v>A</v>
      </c>
      <c r="MV13" s="152"/>
      <c r="MW13" s="185"/>
      <c r="MX13" s="185"/>
      <c r="MY13" s="106">
        <f>IFERROR((((COUNTIF('Elève (5ème1)'!MV14:MX15,"A"))*4)+((COUNTIF('Elève (5ème1)'!MV14:MX15,"B"))*3)+((COUNTIF('Elève (5ème1)'!MV14:MX15,"C"))*2)+((COUNTIF('Elève (5ème1)'!MV14:MX15,"D"))*1))/(COUNTA(MV14:MX15)),"")</f>
        <v>1</v>
      </c>
      <c r="MZ13" s="107" t="str">
        <f t="shared" si="84"/>
        <v>D</v>
      </c>
      <c r="NA13" s="145"/>
      <c r="NB13" s="186"/>
      <c r="NC13" s="146"/>
      <c r="ND13" s="106" t="str">
        <f>IFERROR((((COUNTIF('Elève (5ème1)'!NA14:NC15,"A"))*4)+((COUNTIF('Elève (5ème1)'!NA14:NC15,"B"))*3)+((COUNTIF('Elève (5ème1)'!NA14:NC15,"C"))*2)+((COUNTIF('Elève (5ème1)'!NA14:NC15,"D"))*1))/(COUNTA(NA14:NC15)),"")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(5ème1)'!NF14:NH15,"A"))*4)+((COUNTIF('Elève (5ème1)'!NF14:NH15,"B"))*3)+((COUNTIF('Elève (5ème1)'!NF14:NH15,"C"))*2)+((COUNTIF('Elève (5ème1)'!NF14:NH15,"D"))*1))/(COUNTA(NF14:NH15)),"")</f>
        <v/>
      </c>
      <c r="NJ13" s="128" t="str">
        <f t="shared" si="86"/>
        <v/>
      </c>
      <c r="NK13" s="177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>1</v>
      </c>
      <c r="NL13" s="130" t="str">
        <f t="shared" si="87"/>
        <v>D</v>
      </c>
      <c r="NM13" s="152"/>
      <c r="NN13" s="185"/>
      <c r="NO13" s="185"/>
      <c r="NP13" s="106">
        <f>IFERROR((((COUNTIF('Elève (5ème1)'!NM14:NO15,"A"))*4)+((COUNTIF('Elève (5ème1)'!NM14:NO15,"B"))*3)+((COUNTIF('Elève (5ème1)'!NM14:NO15,"C"))*2)+((COUNTIF('Elève (5ème1)'!NM14:NO15,"D"))*1))/(COUNTA(NM14:NO15)),"")</f>
        <v>4</v>
      </c>
      <c r="NQ13" s="107" t="str">
        <f t="shared" si="88"/>
        <v>A</v>
      </c>
      <c r="NR13" s="145"/>
      <c r="NS13" s="186"/>
      <c r="NT13" s="146"/>
      <c r="NU13" s="106" t="str">
        <f>IFERROR((((COUNTIF('Elève (5ème1)'!NR14:NT15,"A"))*4)+((COUNTIF('Elève (5ème1)'!NR14:NT15,"B"))*3)+((COUNTIF('Elève (5ème1)'!NR14:NT15,"C"))*2)+((COUNTIF('Elève (5ème1)'!NR14:NT15,"D"))*1))/(COUNTA(NR14:NT15)),"")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(5ème1)'!NW14:NY15,"A"))*4)+((COUNTIF('Elève (5ème1)'!NW14:NY15,"B"))*3)+((COUNTIF('Elève (5ème1)'!NW14:NY15,"C"))*2)+((COUNTIF('Elève (5ème1)'!NW14:NY15,"D"))*1))/(COUNTA(NW14:NY15)),"")</f>
        <v/>
      </c>
      <c r="OA13" s="128" t="str">
        <f t="shared" si="90"/>
        <v/>
      </c>
      <c r="OB13" s="177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>4</v>
      </c>
      <c r="OC13" s="130" t="str">
        <f t="shared" si="91"/>
        <v>A</v>
      </c>
      <c r="OD13" s="152"/>
      <c r="OE13" s="185"/>
      <c r="OF13" s="185"/>
      <c r="OG13" s="106">
        <f>IFERROR((((COUNTIF('Elève (5ème1)'!OD14:OF15,"A"))*4)+((COUNTIF('Elève (5ème1)'!OD14:OF15,"B"))*3)+((COUNTIF('Elève (5ème1)'!OD14:OF15,"C"))*2)+((COUNTIF('Elève (5ème1)'!OD14:OF15,"D"))*1))/(COUNTA(OD14:OF15)),"")</f>
        <v>4</v>
      </c>
      <c r="OH13" s="107" t="str">
        <f t="shared" si="92"/>
        <v>A</v>
      </c>
      <c r="OI13" s="145"/>
      <c r="OJ13" s="186"/>
      <c r="OK13" s="146"/>
      <c r="OL13" s="106" t="str">
        <f>IFERROR((((COUNTIF('Elève (5ème1)'!OI14:OK15,"A"))*4)+((COUNTIF('Elève (5ème1)'!OI14:OK15,"B"))*3)+((COUNTIF('Elève (5ème1)'!OI14:OK15,"C"))*2)+((COUNTIF('Elève (5ème1)'!OI14:OK15,"D"))*1))/(COUNTA(OI14:OK15)),"")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(5ème1)'!ON14:OP15,"A"))*4)+((COUNTIF('Elève (5ème1)'!ON14:OP15,"B"))*3)+((COUNTIF('Elève (5ème1)'!ON14:OP15,"C"))*2)+((COUNTIF('Elève (5ème1)'!ON14:OP15,"D"))*1))/(COUNTA(ON14:OP15)),"")</f>
        <v/>
      </c>
      <c r="OR13" s="128" t="str">
        <f t="shared" si="94"/>
        <v/>
      </c>
      <c r="OS13" s="177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>4</v>
      </c>
      <c r="OT13" s="130" t="str">
        <f t="shared" si="95"/>
        <v>A</v>
      </c>
      <c r="OU13" s="152"/>
      <c r="OV13" s="185"/>
      <c r="OW13" s="185"/>
      <c r="OX13" s="106">
        <f>IFERROR((((COUNTIF('Elève (5ème1)'!OU14:OW15,"A"))*4)+((COUNTIF('Elève (5ème1)'!OU14:OW15,"B"))*3)+((COUNTIF('Elève (5ème1)'!OU14:OW15,"C"))*2)+((COUNTIF('Elève (5ème1)'!OU14:OW15,"D"))*1))/(COUNTA(OU14:OW15)),"")</f>
        <v>4</v>
      </c>
      <c r="OY13" s="107" t="str">
        <f t="shared" si="96"/>
        <v>A</v>
      </c>
      <c r="OZ13" s="145"/>
      <c r="PA13" s="186"/>
      <c r="PB13" s="146"/>
      <c r="PC13" s="106" t="str">
        <f>IFERROR((((COUNTIF('Elève (5ème1)'!OZ14:PB15,"A"))*4)+((COUNTIF('Elève (5ème1)'!OZ14:PB15,"B"))*3)+((COUNTIF('Elève (5ème1)'!OZ14:PB15,"C"))*2)+((COUNTIF('Elève (5ème1)'!OZ14:PB15,"D"))*1))/(COUNTA(OZ14:PB15)),"")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(5ème1)'!PE14:PG15,"A"))*4)+((COUNTIF('Elève (5ème1)'!PE14:PG15,"B"))*3)+((COUNTIF('Elève (5ème1)'!PE14:PG15,"C"))*2)+((COUNTIF('Elève (5ème1)'!PE14:PG15,"D"))*1))/(COUNTA(PE14:PG15)),"")</f>
        <v/>
      </c>
      <c r="PI13" s="128" t="str">
        <f t="shared" si="98"/>
        <v/>
      </c>
      <c r="PJ13" s="177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>4</v>
      </c>
      <c r="PK13" s="130" t="str">
        <f t="shared" si="99"/>
        <v>A</v>
      </c>
      <c r="PL13" s="152"/>
      <c r="PM13" s="185"/>
      <c r="PN13" s="185"/>
      <c r="PO13" s="106">
        <f>IFERROR((((COUNTIF('Elève (5ème1)'!PL14:PN15,"A"))*4)+((COUNTIF('Elève (5ème1)'!PL14:PN15,"B"))*3)+((COUNTIF('Elève (5ème1)'!PL14:PN15,"C"))*2)+((COUNTIF('Elève (5ème1)'!PL14:PN15,"D"))*1))/(COUNTA(PL14:PN15)),"")</f>
        <v>4</v>
      </c>
      <c r="PP13" s="107" t="str">
        <f t="shared" si="100"/>
        <v>A</v>
      </c>
      <c r="PQ13" s="145"/>
      <c r="PR13" s="186"/>
      <c r="PS13" s="146"/>
      <c r="PT13" s="106" t="str">
        <f>IFERROR((((COUNTIF('Elève (5ème1)'!PQ14:PS15,"A"))*4)+((COUNTIF('Elève (5ème1)'!PQ14:PS15,"B"))*3)+((COUNTIF('Elève (5ème1)'!PQ14:PS15,"C"))*2)+((COUNTIF('Elève (5ème1)'!PQ14:PS15,"D"))*1))/(COUNTA(PQ14:PS15)),"")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(5ème1)'!PV14:PX15,"A"))*4)+((COUNTIF('Elève (5ème1)'!PV14:PX15,"B"))*3)+((COUNTIF('Elève (5ème1)'!PV14:PX15,"C"))*2)+((COUNTIF('Elève (5ème1)'!PV14:PX15,"D"))*1))/(COUNTA(PV14:PX15)),"")</f>
        <v/>
      </c>
      <c r="PZ13" s="128" t="str">
        <f t="shared" si="102"/>
        <v/>
      </c>
      <c r="QA13" s="177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>4</v>
      </c>
      <c r="QB13" s="130" t="str">
        <f t="shared" si="103"/>
        <v>A</v>
      </c>
      <c r="QC13" s="152"/>
      <c r="QD13" s="185"/>
      <c r="QE13" s="185"/>
      <c r="QF13" s="106">
        <f>IFERROR((((COUNTIF('Elève (5ème1)'!QC14:QE15,"A"))*4)+((COUNTIF('Elève (5ème1)'!QC14:QE15,"B"))*3)+((COUNTIF('Elève (5ème1)'!QC14:QE15,"C"))*2)+((COUNTIF('Elève (5ème1)'!QC14:QE15,"D"))*1))/(COUNTA(QC14:QE15)),"")</f>
        <v>4</v>
      </c>
      <c r="QG13" s="107" t="str">
        <f t="shared" si="104"/>
        <v>A</v>
      </c>
      <c r="QH13" s="145"/>
      <c r="QI13" s="186"/>
      <c r="QJ13" s="146"/>
      <c r="QK13" s="106" t="str">
        <f>IFERROR((((COUNTIF('Elève (5ème1)'!QH14:QJ15,"A"))*4)+((COUNTIF('Elève (5ème1)'!QH14:QJ15,"B"))*3)+((COUNTIF('Elève (5ème1)'!QH14:QJ15,"C"))*2)+((COUNTIF('Elève (5ème1)'!QH14:QJ15,"D"))*1))/(COUNTA(QH14:QJ15)),"")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(5ème1)'!QM14:QO15,"A"))*4)+((COUNTIF('Elève (5ème1)'!QM14:QO15,"B"))*3)+((COUNTIF('Elève (5ème1)'!QM14:QO15,"C"))*2)+((COUNTIF('Elève (5ème1)'!QM14:QO15,"D"))*1))/(COUNTA(QM14:QO15)),"")</f>
        <v/>
      </c>
      <c r="QQ13" s="128" t="str">
        <f t="shared" si="106"/>
        <v/>
      </c>
      <c r="QR13" s="177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>4</v>
      </c>
      <c r="QS13" s="130" t="str">
        <f t="shared" si="107"/>
        <v>A</v>
      </c>
      <c r="QT13" s="152"/>
      <c r="QU13" s="185"/>
      <c r="QV13" s="185"/>
      <c r="QW13" s="106">
        <f>IFERROR((((COUNTIF('Elève (5ème1)'!QT14:QV15,"A"))*4)+((COUNTIF('Elève (5ème1)'!QT14:QV15,"B"))*3)+((COUNTIF('Elève (5ème1)'!QT14:QV15,"C"))*2)+((COUNTIF('Elève (5ème1)'!QT14:QV15,"D"))*1))/(COUNTA(QT14:QV15)),"")</f>
        <v>2</v>
      </c>
      <c r="QX13" s="107" t="str">
        <f t="shared" si="108"/>
        <v>C</v>
      </c>
      <c r="QY13" s="145"/>
      <c r="QZ13" s="186"/>
      <c r="RA13" s="146"/>
      <c r="RB13" s="106" t="str">
        <f>IFERROR((((COUNTIF('Elève (5ème1)'!QY14:RA15,"A"))*4)+((COUNTIF('Elève (5ème1)'!QY14:RA15,"B"))*3)+((COUNTIF('Elève (5ème1)'!QY14:RA15,"C"))*2)+((COUNTIF('Elève (5ème1)'!QY14:RA15,"D"))*1))/(COUNTA(QY14:RA15)),"")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(5ème1)'!RD14:RF15,"A"))*4)+((COUNTIF('Elève (5ème1)'!RD14:RF15,"B"))*3)+((COUNTIF('Elève (5ème1)'!RD14:RF15,"C"))*2)+((COUNTIF('Elève (5ème1)'!RD14:RF15,"D"))*1))/(COUNTA(RD14:RF15)),"")</f>
        <v/>
      </c>
      <c r="RH13" s="128" t="str">
        <f t="shared" si="110"/>
        <v/>
      </c>
      <c r="RI13" s="177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>2</v>
      </c>
      <c r="RJ13" s="130" t="str">
        <f t="shared" si="111"/>
        <v>C</v>
      </c>
      <c r="RK13" s="152"/>
      <c r="RL13" s="185"/>
      <c r="RM13" s="185"/>
      <c r="RN13" s="106">
        <f>IFERROR((((COUNTIF('Elève (5ème1)'!RK14:RM15,"A"))*4)+((COUNTIF('Elève (5ème1)'!RK14:RM15,"B"))*3)+((COUNTIF('Elève (5ème1)'!RK14:RM15,"C"))*2)+((COUNTIF('Elève (5ème1)'!RK14:RM15,"D"))*1))/(COUNTA(RK14:RM15)),"")</f>
        <v>4</v>
      </c>
      <c r="RO13" s="107" t="str">
        <f t="shared" si="112"/>
        <v>A</v>
      </c>
      <c r="RP13" s="145"/>
      <c r="RQ13" s="186"/>
      <c r="RR13" s="146"/>
      <c r="RS13" s="106" t="str">
        <f>IFERROR((((COUNTIF('Elève (5ème1)'!RP14:RR15,"A"))*4)+((COUNTIF('Elève (5ème1)'!RP14:RR15,"B"))*3)+((COUNTIF('Elève (5ème1)'!RP14:RR15,"C"))*2)+((COUNTIF('Elève (5ème1)'!RP14:RR15,"D"))*1))/(COUNTA(RP14:RR15)),"")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(5ème1)'!RU14:RW15,"A"))*4)+((COUNTIF('Elève (5ème1)'!RU14:RW15,"B"))*3)+((COUNTIF('Elève (5ème1)'!RU14:RW15,"C"))*2)+((COUNTIF('Elève (5ème1)'!RU14:RW15,"D"))*1))/(COUNTA(RU14:RW15)),"")</f>
        <v/>
      </c>
      <c r="RY13" s="128" t="str">
        <f t="shared" si="114"/>
        <v/>
      </c>
      <c r="RZ13" s="177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>4</v>
      </c>
      <c r="SA13" s="130" t="str">
        <f t="shared" si="115"/>
        <v>A</v>
      </c>
      <c r="SB13" s="152"/>
      <c r="SC13" s="185"/>
      <c r="SD13" s="185"/>
      <c r="SE13" s="106">
        <f>IFERROR((((COUNTIF('Elève (5ème1)'!SB14:SD15,"A"))*4)+((COUNTIF('Elève (5ème1)'!SB14:SD15,"B"))*3)+((COUNTIF('Elève (5ème1)'!SB14:SD15,"C"))*2)+((COUNTIF('Elève (5ème1)'!SB14:SD15,"D"))*1))/(COUNTA(SB14:SD15)),"")</f>
        <v>4</v>
      </c>
      <c r="SF13" s="107" t="str">
        <f t="shared" si="116"/>
        <v>A</v>
      </c>
      <c r="SG13" s="145"/>
      <c r="SH13" s="186"/>
      <c r="SI13" s="146"/>
      <c r="SJ13" s="106" t="str">
        <f>IFERROR((((COUNTIF('Elève (5ème1)'!SG14:SI15,"A"))*4)+((COUNTIF('Elève (5ème1)'!SG14:SI15,"B"))*3)+((COUNTIF('Elève (5ème1)'!SG14:SI15,"C"))*2)+((COUNTIF('Elève (5ème1)'!SG14:SI15,"D"))*1))/(COUNTA(SG14:SI15)),"")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(5ème1)'!SL14:SN15,"A"))*4)+((COUNTIF('Elève (5ème1)'!SL14:SN15,"B"))*3)+((COUNTIF('Elève (5ème1)'!SL14:SN15,"C"))*2)+((COUNTIF('Elève (5ème1)'!SL14:SN15,"D"))*1))/(COUNTA(SL14:SN15)),"")</f>
        <v/>
      </c>
      <c r="SP13" s="128" t="str">
        <f t="shared" si="118"/>
        <v/>
      </c>
      <c r="SQ13" s="177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>4</v>
      </c>
      <c r="SR13" s="130" t="str">
        <f t="shared" si="119"/>
        <v>A</v>
      </c>
    </row>
    <row r="14" spans="1:512" s="72" customFormat="1" ht="18" customHeight="1" x14ac:dyDescent="0.25">
      <c r="A14" s="221" t="s">
        <v>19</v>
      </c>
      <c r="B14" s="222"/>
      <c r="C14" s="156" t="s">
        <v>27</v>
      </c>
      <c r="D14" s="157"/>
      <c r="E14" s="158"/>
      <c r="F14" s="108">
        <f>IFERROR((((COUNTIF('Elève (5ème1)'!C14:E14,"A"))*4)+((COUNTIF('Elève (5ème1)'!C14:E14,"B"))*3)+((COUNTIF('Elève (5ème1)'!C14:E14,"C"))*2)+((COUNTIF('Elève (5ème1)'!C14:E14,"D"))*1))/(COUNTA(C14:E14)),"")</f>
        <v>4</v>
      </c>
      <c r="G14" s="109" t="str">
        <f t="shared" si="0"/>
        <v>A</v>
      </c>
      <c r="H14" s="81"/>
      <c r="I14" s="82"/>
      <c r="J14" s="83"/>
      <c r="K14" s="108" t="str">
        <f>IFERROR((((COUNTIF('Elève (5ème1)'!H14:J14,"A"))*4)+((COUNTIF('Elève (5ème1)'!H14:J14,"B"))*3)+((COUNTIF('Elève (5ème1)'!H14:J14,"C"))*2)+((COUNTIF('Elève (5ème1)'!H14:J14,"D"))*1))/(COUNTA(H14:J14)),"")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(5ème1)'!M14:O14,"A"))*4)+((COUNTIF('Elève (5ème1)'!M14:O14,"B"))*3)+((COUNTIF('Elève (5ème1)'!M14:O14,"C"))*2)+((COUNTIF('Elève (5ème1)'!M14:O14,"D"))*1))/(COUNTA(M14:O14)),"")</f>
        <v/>
      </c>
      <c r="Q14" s="139" t="str">
        <f t="shared" si="2"/>
        <v/>
      </c>
      <c r="R14" s="178">
        <f>IF(COUNT(F14,K14,P14)=0,"",SUM(F14,K14,P14)/COUNT(F14,K14,P14))</f>
        <v>4</v>
      </c>
      <c r="S14" s="131" t="str">
        <f t="shared" si="3"/>
        <v>A</v>
      </c>
      <c r="T14" s="156" t="s">
        <v>27</v>
      </c>
      <c r="U14" s="157"/>
      <c r="V14" s="158"/>
      <c r="W14" s="108">
        <f>IFERROR((((COUNTIF('Elève (5ème1)'!T14:V14,"A"))*4)+((COUNTIF('Elève (5ème1)'!T14:V14,"B"))*3)+((COUNTIF('Elève (5ème1)'!T14:V14,"C"))*2)+((COUNTIF('Elève (5ème1)'!T14:V14,"D"))*1))/(COUNTA(T14:V14)),"")</f>
        <v>4</v>
      </c>
      <c r="X14" s="109" t="str">
        <f t="shared" si="4"/>
        <v>A</v>
      </c>
      <c r="Y14" s="81"/>
      <c r="Z14" s="82"/>
      <c r="AA14" s="83"/>
      <c r="AB14" s="108" t="str">
        <f>IFERROR((((COUNTIF('Elève (5ème1)'!Y14:AA14,"A"))*4)+((COUNTIF('Elève (5ème1)'!Y14:AA14,"B"))*3)+((COUNTIF('Elève (5ème1)'!Y14:AA14,"C"))*2)+((COUNTIF('Elève (5ème1)'!Y14:AA14,"D"))*1))/(COUNTA(Y14:AA14)),"")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(5ème1)'!AD14:AF14,"A"))*4)+((COUNTIF('Elève (5ème1)'!AD14:AF14,"B"))*3)+((COUNTIF('Elève (5ème1)'!AD14:AF14,"C"))*2)+((COUNTIF('Elève (5ème1)'!AD14:AF14,"D"))*1))/(COUNTA(AD14:AF14)),"")</f>
        <v/>
      </c>
      <c r="AH14" s="139" t="str">
        <f t="shared" si="6"/>
        <v/>
      </c>
      <c r="AI14" s="178">
        <f>IF(COUNT(W14,AB14,AG14)=0,"",SUM(W14,AB14,AG14)/COUNT(W14,AB14,AG14))</f>
        <v>4</v>
      </c>
      <c r="AJ14" s="131" t="str">
        <f t="shared" si="7"/>
        <v>A</v>
      </c>
      <c r="AK14" s="156" t="s">
        <v>30</v>
      </c>
      <c r="AL14" s="157"/>
      <c r="AM14" s="158"/>
      <c r="AN14" s="108">
        <f>IFERROR((((COUNTIF('Elève (5ème1)'!AK14:AM14,"A"))*4)+((COUNTIF('Elève (5ème1)'!AK14:AM14,"B"))*3)+((COUNTIF('Elève (5ème1)'!AK14:AM14,"C"))*2)+((COUNTIF('Elève (5ème1)'!AK14:AM14,"D"))*1))/(COUNTA(AK14:AM14)),"")</f>
        <v>1</v>
      </c>
      <c r="AO14" s="109" t="str">
        <f t="shared" si="8"/>
        <v>D</v>
      </c>
      <c r="AP14" s="81"/>
      <c r="AQ14" s="82"/>
      <c r="AR14" s="83"/>
      <c r="AS14" s="108" t="str">
        <f>IFERROR((((COUNTIF('Elève (5ème1)'!AP14:AR14,"A"))*4)+((COUNTIF('Elève (5ème1)'!AP14:AR14,"B"))*3)+((COUNTIF('Elève (5ème1)'!AP14:AR14,"C"))*2)+((COUNTIF('Elève (5ème1)'!AP14:AR14,"D"))*1))/(COUNTA(AP14:AR14)),"")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(5ème1)'!AU14:AW14,"A"))*4)+((COUNTIF('Elève (5ème1)'!AU14:AW14,"B"))*3)+((COUNTIF('Elève (5ème1)'!AU14:AW14,"C"))*2)+((COUNTIF('Elève (5ème1)'!AU14:AW14,"D"))*1))/(COUNTA(AU14:AW14)),"")</f>
        <v/>
      </c>
      <c r="AY14" s="139" t="str">
        <f t="shared" si="10"/>
        <v/>
      </c>
      <c r="AZ14" s="178">
        <f>IF(COUNT(AN14,AS14,AX14)=0,"",SUM(AN14,AS14,AX14)/COUNT(AN14,AS14,AX14))</f>
        <v>1</v>
      </c>
      <c r="BA14" s="131" t="str">
        <f t="shared" si="11"/>
        <v>D</v>
      </c>
      <c r="BB14" s="156" t="s">
        <v>28</v>
      </c>
      <c r="BC14" s="157"/>
      <c r="BD14" s="158"/>
      <c r="BE14" s="108">
        <f>IFERROR((((COUNTIF('Elève (5ème1)'!BB14:BD14,"A"))*4)+((COUNTIF('Elève (5ème1)'!BB14:BD14,"B"))*3)+((COUNTIF('Elève (5ème1)'!BB14:BD14,"C"))*2)+((COUNTIF('Elève (5ème1)'!BB14:BD14,"D"))*1))/(COUNTA(BB14:BD14)),"")</f>
        <v>3</v>
      </c>
      <c r="BF14" s="109" t="str">
        <f t="shared" si="12"/>
        <v>B</v>
      </c>
      <c r="BG14" s="81"/>
      <c r="BH14" s="82"/>
      <c r="BI14" s="83"/>
      <c r="BJ14" s="108" t="str">
        <f>IFERROR((((COUNTIF('Elève (5ème1)'!BG14:BI14,"A"))*4)+((COUNTIF('Elève (5ème1)'!BG14:BI14,"B"))*3)+((COUNTIF('Elève (5ème1)'!BG14:BI14,"C"))*2)+((COUNTIF('Elève (5ème1)'!BG14:BI14,"D"))*1))/(COUNTA(BG14:BI14)),"")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(5ème1)'!BL14:BN14,"A"))*4)+((COUNTIF('Elève (5ème1)'!BL14:BN14,"B"))*3)+((COUNTIF('Elève (5ème1)'!BL14:BN14,"C"))*2)+((COUNTIF('Elève (5ème1)'!BL14:BN14,"D"))*1))/(COUNTA(BL14:BN14)),"")</f>
        <v/>
      </c>
      <c r="BP14" s="139" t="str">
        <f t="shared" si="14"/>
        <v/>
      </c>
      <c r="BQ14" s="178">
        <f>IF(COUNT(BE14,BJ14,BO14)=0,"",SUM(BE14,BJ14,BO14)/COUNT(BE14,BJ14,BO14))</f>
        <v>3</v>
      </c>
      <c r="BR14" s="131" t="str">
        <f t="shared" si="15"/>
        <v>B</v>
      </c>
      <c r="BS14" s="156" t="s">
        <v>27</v>
      </c>
      <c r="BT14" s="157"/>
      <c r="BU14" s="158"/>
      <c r="BV14" s="108">
        <f>IFERROR((((COUNTIF('Elève (5ème1)'!BS14:BU14,"A"))*4)+((COUNTIF('Elève (5ème1)'!BS14:BU14,"B"))*3)+((COUNTIF('Elève (5ème1)'!BS14:BU14,"C"))*2)+((COUNTIF('Elève (5ème1)'!BS14:BU14,"D"))*1))/(COUNTA(BS14:BU14)),"")</f>
        <v>4</v>
      </c>
      <c r="BW14" s="109" t="str">
        <f t="shared" si="16"/>
        <v>A</v>
      </c>
      <c r="BX14" s="81"/>
      <c r="BY14" s="82"/>
      <c r="BZ14" s="83"/>
      <c r="CA14" s="108" t="str">
        <f>IFERROR((((COUNTIF('Elève (5ème1)'!BX14:BZ14,"A"))*4)+((COUNTIF('Elève (5ème1)'!BX14:BZ14,"B"))*3)+((COUNTIF('Elève (5ème1)'!BX14:BZ14,"C"))*2)+((COUNTIF('Elève (5ème1)'!BX14:BZ14,"D"))*1))/(COUNTA(BX14:BZ14)),"")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(5ème1)'!CC14:CE14,"A"))*4)+((COUNTIF('Elève (5ème1)'!CC14:CE14,"B"))*3)+((COUNTIF('Elève (5ème1)'!CC14:CE14,"C"))*2)+((COUNTIF('Elève (5ème1)'!CC14:CE14,"D"))*1))/(COUNTA(CC14:CE14)),"")</f>
        <v/>
      </c>
      <c r="CG14" s="139" t="str">
        <f t="shared" si="18"/>
        <v/>
      </c>
      <c r="CH14" s="178">
        <f>IF(COUNT(BV14,CA14,CF14)=0,"",SUM(BV14,CA14,CF14)/COUNT(BV14,CA14,CF14))</f>
        <v>4</v>
      </c>
      <c r="CI14" s="131" t="str">
        <f t="shared" si="19"/>
        <v>A</v>
      </c>
      <c r="CJ14" s="156" t="s">
        <v>27</v>
      </c>
      <c r="CK14" s="157"/>
      <c r="CL14" s="158"/>
      <c r="CM14" s="108">
        <f>IFERROR((((COUNTIF('Elève (5ème1)'!CJ14:CL14,"A"))*4)+((COUNTIF('Elève (5ème1)'!CJ14:CL14,"B"))*3)+((COUNTIF('Elève (5ème1)'!CJ14:CL14,"C"))*2)+((COUNTIF('Elève (5ème1)'!CJ14:CL14,"D"))*1))/(COUNTA(CJ14:CL14)),"")</f>
        <v>4</v>
      </c>
      <c r="CN14" s="109" t="str">
        <f t="shared" si="20"/>
        <v>A</v>
      </c>
      <c r="CO14" s="81"/>
      <c r="CP14" s="82"/>
      <c r="CQ14" s="83"/>
      <c r="CR14" s="108" t="str">
        <f>IFERROR((((COUNTIF('Elève (5ème1)'!CO14:CQ14,"A"))*4)+((COUNTIF('Elève (5ème1)'!CO14:CQ14,"B"))*3)+((COUNTIF('Elève (5ème1)'!CO14:CQ14,"C"))*2)+((COUNTIF('Elève (5ème1)'!CO14:CQ14,"D"))*1))/(COUNTA(CO14:CQ14)),"")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(5ème1)'!CT14:CV14,"A"))*4)+((COUNTIF('Elève (5ème1)'!CT14:CV14,"B"))*3)+((COUNTIF('Elève (5ème1)'!CT14:CV14,"C"))*2)+((COUNTIF('Elève (5ème1)'!CT14:CV14,"D"))*1))/(COUNTA(CT14:CV14)),"")</f>
        <v/>
      </c>
      <c r="CX14" s="139" t="str">
        <f t="shared" si="22"/>
        <v/>
      </c>
      <c r="CY14" s="178">
        <f>IF(COUNT(CM14,CR14,CW14)=0,"",SUM(CM14,CR14,CW14)/COUNT(CM14,CR14,CW14))</f>
        <v>4</v>
      </c>
      <c r="CZ14" s="131" t="str">
        <f t="shared" si="23"/>
        <v>A</v>
      </c>
      <c r="DA14" s="156" t="s">
        <v>27</v>
      </c>
      <c r="DB14" s="157"/>
      <c r="DC14" s="158"/>
      <c r="DD14" s="108">
        <f>IFERROR((((COUNTIF('Elève (5ème1)'!DA14:DC14,"A"))*4)+((COUNTIF('Elève (5ème1)'!DA14:DC14,"B"))*3)+((COUNTIF('Elève (5ème1)'!DA14:DC14,"C"))*2)+((COUNTIF('Elève (5ème1)'!DA14:DC14,"D"))*1))/(COUNTA(DA14:DC14)),"")</f>
        <v>4</v>
      </c>
      <c r="DE14" s="109" t="str">
        <f t="shared" si="24"/>
        <v>A</v>
      </c>
      <c r="DF14" s="81"/>
      <c r="DG14" s="82"/>
      <c r="DH14" s="83"/>
      <c r="DI14" s="108" t="str">
        <f>IFERROR((((COUNTIF('Elève (5ème1)'!DF14:DH14,"A"))*4)+((COUNTIF('Elève (5ème1)'!DF14:DH14,"B"))*3)+((COUNTIF('Elève (5ème1)'!DF14:DH14,"C"))*2)+((COUNTIF('Elève (5ème1)'!DF14:DH14,"D"))*1))/(COUNTA(DF14:DH14)),"")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(5ème1)'!DK14:DM14,"A"))*4)+((COUNTIF('Elève (5ème1)'!DK14:DM14,"B"))*3)+((COUNTIF('Elève (5ème1)'!DK14:DM14,"C"))*2)+((COUNTIF('Elève (5ème1)'!DK14:DM14,"D"))*1))/(COUNTA(DK14:DM14)),"")</f>
        <v/>
      </c>
      <c r="DO14" s="139" t="str">
        <f t="shared" si="26"/>
        <v/>
      </c>
      <c r="DP14" s="178">
        <f>IF(COUNT(DD14,DI14,DN14)=0,"",SUM(DD14,DI14,DN14)/COUNT(DD14,DI14,DN14))</f>
        <v>4</v>
      </c>
      <c r="DQ14" s="131" t="str">
        <f t="shared" si="27"/>
        <v>A</v>
      </c>
      <c r="DR14" s="156" t="s">
        <v>27</v>
      </c>
      <c r="DS14" s="157"/>
      <c r="DT14" s="158"/>
      <c r="DU14" s="108">
        <f>IFERROR((((COUNTIF('Elève (5ème1)'!DR14:DT14,"A"))*4)+((COUNTIF('Elève (5ème1)'!DR14:DT14,"B"))*3)+((COUNTIF('Elève (5ème1)'!DR14:DT14,"C"))*2)+((COUNTIF('Elève (5ème1)'!DR14:DT14,"D"))*1))/(COUNTA(DR14:DT14)),"")</f>
        <v>4</v>
      </c>
      <c r="DV14" s="109" t="str">
        <f t="shared" si="28"/>
        <v>A</v>
      </c>
      <c r="DW14" s="81"/>
      <c r="DX14" s="82"/>
      <c r="DY14" s="83"/>
      <c r="DZ14" s="108" t="str">
        <f>IFERROR((((COUNTIF('Elève (5ème1)'!DW14:DY14,"A"))*4)+((COUNTIF('Elève (5ème1)'!DW14:DY14,"B"))*3)+((COUNTIF('Elève (5ème1)'!DW14:DY14,"C"))*2)+((COUNTIF('Elève (5ème1)'!DW14:DY14,"D"))*1))/(COUNTA(DW14:DY14)),"")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(5ème1)'!EB14:ED14,"A"))*4)+((COUNTIF('Elève (5ème1)'!EB14:ED14,"B"))*3)+((COUNTIF('Elève (5ème1)'!EB14:ED14,"C"))*2)+((COUNTIF('Elève (5ème1)'!EB14:ED14,"D"))*1))/(COUNTA(EB14:ED14)),"")</f>
        <v/>
      </c>
      <c r="EF14" s="139" t="str">
        <f t="shared" si="30"/>
        <v/>
      </c>
      <c r="EG14" s="178">
        <f>IF(COUNT(DU14,DZ14,EE14)=0,"",SUM(DU14,DZ14,EE14)/COUNT(DU14,DZ14,EE14))</f>
        <v>4</v>
      </c>
      <c r="EH14" s="131" t="str">
        <f t="shared" si="31"/>
        <v>A</v>
      </c>
      <c r="EI14" s="156" t="s">
        <v>28</v>
      </c>
      <c r="EJ14" s="157"/>
      <c r="EK14" s="158"/>
      <c r="EL14" s="108">
        <f>IFERROR((((COUNTIF('Elève (5ème1)'!EI14:EK14,"A"))*4)+((COUNTIF('Elève (5ème1)'!EI14:EK14,"B"))*3)+((COUNTIF('Elève (5ème1)'!EI14:EK14,"C"))*2)+((COUNTIF('Elève (5ème1)'!EI14:EK14,"D"))*1))/(COUNTA(EI14:EK14)),"")</f>
        <v>3</v>
      </c>
      <c r="EM14" s="109" t="str">
        <f t="shared" si="32"/>
        <v>B</v>
      </c>
      <c r="EN14" s="81"/>
      <c r="EO14" s="82"/>
      <c r="EP14" s="83"/>
      <c r="EQ14" s="108" t="str">
        <f>IFERROR((((COUNTIF('Elève (5ème1)'!EN14:EP14,"A"))*4)+((COUNTIF('Elève (5ème1)'!EN14:EP14,"B"))*3)+((COUNTIF('Elève (5ème1)'!EN14:EP14,"C"))*2)+((COUNTIF('Elève (5ème1)'!EN14:EP14,"D"))*1))/(COUNTA(EN14:EP14)),"")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(5ème1)'!ES14:EU14,"A"))*4)+((COUNTIF('Elève (5ème1)'!ES14:EU14,"B"))*3)+((COUNTIF('Elève (5ème1)'!ES14:EU14,"C"))*2)+((COUNTIF('Elève (5ème1)'!ES14:EU14,"D"))*1))/(COUNTA(ES14:EU14)),"")</f>
        <v/>
      </c>
      <c r="EW14" s="139" t="str">
        <f t="shared" si="34"/>
        <v/>
      </c>
      <c r="EX14" s="178">
        <f>IF(COUNT(EL14,EQ14,EV14)=0,"",SUM(EL14,EQ14,EV14)/COUNT(EL14,EQ14,EV14))</f>
        <v>3</v>
      </c>
      <c r="EY14" s="131" t="str">
        <f t="shared" si="35"/>
        <v>B</v>
      </c>
      <c r="EZ14" s="156" t="s">
        <v>27</v>
      </c>
      <c r="FA14" s="157"/>
      <c r="FB14" s="158"/>
      <c r="FC14" s="108">
        <f>IFERROR((((COUNTIF('Elève (5ème1)'!EZ14:FB14,"A"))*4)+((COUNTIF('Elève (5ème1)'!EZ14:FB14,"B"))*3)+((COUNTIF('Elève (5ème1)'!EZ14:FB14,"C"))*2)+((COUNTIF('Elève (5ème1)'!EZ14:FB14,"D"))*1))/(COUNTA(EZ14:FB14)),"")</f>
        <v>4</v>
      </c>
      <c r="FD14" s="109" t="str">
        <f t="shared" si="36"/>
        <v>A</v>
      </c>
      <c r="FE14" s="81"/>
      <c r="FF14" s="82"/>
      <c r="FG14" s="83"/>
      <c r="FH14" s="108" t="str">
        <f>IFERROR((((COUNTIF('Elève (5ème1)'!FE14:FG14,"A"))*4)+((COUNTIF('Elève (5ème1)'!FE14:FG14,"B"))*3)+((COUNTIF('Elève (5ème1)'!FE14:FG14,"C"))*2)+((COUNTIF('Elève (5ème1)'!FE14:FG14,"D"))*1))/(COUNTA(FE14:FG14)),"")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(5ème1)'!FJ14:FL14,"A"))*4)+((COUNTIF('Elève (5ème1)'!FJ14:FL14,"B"))*3)+((COUNTIF('Elève (5ème1)'!FJ14:FL14,"C"))*2)+((COUNTIF('Elève (5ème1)'!FJ14:FL14,"D"))*1))/(COUNTA(FJ14:FL14)),"")</f>
        <v/>
      </c>
      <c r="FN14" s="139" t="str">
        <f t="shared" si="38"/>
        <v/>
      </c>
      <c r="FO14" s="178">
        <f>IF(COUNT(FC14,FH14,FM14)=0,"",SUM(FC14,FH14,FM14)/COUNT(FC14,FH14,FM14))</f>
        <v>4</v>
      </c>
      <c r="FP14" s="131" t="str">
        <f t="shared" si="39"/>
        <v>A</v>
      </c>
      <c r="FQ14" s="156" t="s">
        <v>27</v>
      </c>
      <c r="FR14" s="157"/>
      <c r="FS14" s="158"/>
      <c r="FT14" s="108">
        <f>IFERROR((((COUNTIF('Elève (5ème1)'!FQ14:FS14,"A"))*4)+((COUNTIF('Elève (5ème1)'!FQ14:FS14,"B"))*3)+((COUNTIF('Elève (5ème1)'!FQ14:FS14,"C"))*2)+((COUNTIF('Elève (5ème1)'!FQ14:FS14,"D"))*1))/(COUNTA(FQ14:FS14)),"")</f>
        <v>4</v>
      </c>
      <c r="FU14" s="109" t="str">
        <f t="shared" si="40"/>
        <v>A</v>
      </c>
      <c r="FV14" s="81"/>
      <c r="FW14" s="82"/>
      <c r="FX14" s="83"/>
      <c r="FY14" s="108" t="str">
        <f>IFERROR((((COUNTIF('Elève (5ème1)'!FV14:FX14,"A"))*4)+((COUNTIF('Elève (5ème1)'!FV14:FX14,"B"))*3)+((COUNTIF('Elève (5ème1)'!FV14:FX14,"C"))*2)+((COUNTIF('Elève (5ème1)'!FV14:FX14,"D"))*1))/(COUNTA(FV14:FX14)),"")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(5ème1)'!GA14:GC14,"A"))*4)+((COUNTIF('Elève (5ème1)'!GA14:GC14,"B"))*3)+((COUNTIF('Elève (5ème1)'!GA14:GC14,"C"))*2)+((COUNTIF('Elève (5ème1)'!GA14:GC14,"D"))*1))/(COUNTA(GA14:GC14)),"")</f>
        <v/>
      </c>
      <c r="GE14" s="139" t="str">
        <f t="shared" si="42"/>
        <v/>
      </c>
      <c r="GF14" s="178">
        <f>IF(COUNT(FT14,FY14,GD14)=0,"",SUM(FT14,FY14,GD14)/COUNT(FT14,FY14,GD14))</f>
        <v>4</v>
      </c>
      <c r="GG14" s="131" t="str">
        <f t="shared" si="43"/>
        <v>A</v>
      </c>
      <c r="GH14" s="156" t="s">
        <v>27</v>
      </c>
      <c r="GI14" s="157"/>
      <c r="GJ14" s="158"/>
      <c r="GK14" s="108">
        <f>IFERROR((((COUNTIF('Elève (5ème1)'!GH14:GJ14,"A"))*4)+((COUNTIF('Elève (5ème1)'!GH14:GJ14,"B"))*3)+((COUNTIF('Elève (5ème1)'!GH14:GJ14,"C"))*2)+((COUNTIF('Elève (5ème1)'!GH14:GJ14,"D"))*1))/(COUNTA(GH14:GJ14)),"")</f>
        <v>4</v>
      </c>
      <c r="GL14" s="109" t="str">
        <f t="shared" si="44"/>
        <v>A</v>
      </c>
      <c r="GM14" s="81"/>
      <c r="GN14" s="82"/>
      <c r="GO14" s="83"/>
      <c r="GP14" s="108" t="str">
        <f>IFERROR((((COUNTIF('Elève (5ème1)'!GM14:GO14,"A"))*4)+((COUNTIF('Elève (5ème1)'!GM14:GO14,"B"))*3)+((COUNTIF('Elève (5ème1)'!GM14:GO14,"C"))*2)+((COUNTIF('Elève (5ème1)'!GM14:GO14,"D"))*1))/(COUNTA(GM14:GO14)),"")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(5ème1)'!GR14:GT14,"A"))*4)+((COUNTIF('Elève (5ème1)'!GR14:GT14,"B"))*3)+((COUNTIF('Elève (5ème1)'!GR14:GT14,"C"))*2)+((COUNTIF('Elève (5ème1)'!GR14:GT14,"D"))*1))/(COUNTA(GR14:GT14)),"")</f>
        <v/>
      </c>
      <c r="GV14" s="139" t="str">
        <f t="shared" si="46"/>
        <v/>
      </c>
      <c r="GW14" s="178">
        <f>IF(COUNT(GK14,GP14,GU14)=0,"",SUM(GK14,GP14,GU14)/COUNT(GK14,GP14,GU14))</f>
        <v>4</v>
      </c>
      <c r="GX14" s="131" t="str">
        <f t="shared" si="47"/>
        <v>A</v>
      </c>
      <c r="GY14" s="156" t="s">
        <v>27</v>
      </c>
      <c r="GZ14" s="157"/>
      <c r="HA14" s="158"/>
      <c r="HB14" s="108">
        <f>IFERROR((((COUNTIF('Elève (5ème1)'!GY14:HA14,"A"))*4)+((COUNTIF('Elève (5ème1)'!GY14:HA14,"B"))*3)+((COUNTIF('Elève (5ème1)'!GY14:HA14,"C"))*2)+((COUNTIF('Elève (5ème1)'!GY14:HA14,"D"))*1))/(COUNTA(GY14:HA14)),"")</f>
        <v>4</v>
      </c>
      <c r="HC14" s="109" t="str">
        <f t="shared" si="48"/>
        <v>A</v>
      </c>
      <c r="HD14" s="81"/>
      <c r="HE14" s="82"/>
      <c r="HF14" s="83"/>
      <c r="HG14" s="108" t="str">
        <f>IFERROR((((COUNTIF('Elève (5ème1)'!HD14:HF14,"A"))*4)+((COUNTIF('Elève (5ème1)'!HD14:HF14,"B"))*3)+((COUNTIF('Elève (5ème1)'!HD14:HF14,"C"))*2)+((COUNTIF('Elève (5ème1)'!HD14:HF14,"D"))*1))/(COUNTA(HD14:HF14)),"")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(5ème1)'!HI14:HK14,"A"))*4)+((COUNTIF('Elève (5ème1)'!HI14:HK14,"B"))*3)+((COUNTIF('Elève (5ème1)'!HI14:HK14,"C"))*2)+((COUNTIF('Elève (5ème1)'!HI14:HK14,"D"))*1))/(COUNTA(HI14:HK14)),"")</f>
        <v/>
      </c>
      <c r="HM14" s="139" t="str">
        <f t="shared" si="50"/>
        <v/>
      </c>
      <c r="HN14" s="178">
        <f>IF(COUNT(HB14,HG14,HL14)=0,"",SUM(HB14,HG14,HL14)/COUNT(HB14,HG14,HL14))</f>
        <v>4</v>
      </c>
      <c r="HO14" s="131" t="str">
        <f t="shared" si="51"/>
        <v>A</v>
      </c>
      <c r="HP14" s="156" t="s">
        <v>27</v>
      </c>
      <c r="HQ14" s="157"/>
      <c r="HR14" s="158"/>
      <c r="HS14" s="108">
        <f>IFERROR((((COUNTIF('Elève (5ème1)'!HP14:HR14,"A"))*4)+((COUNTIF('Elève (5ème1)'!HP14:HR14,"B"))*3)+((COUNTIF('Elève (5ème1)'!HP14:HR14,"C"))*2)+((COUNTIF('Elève (5ème1)'!HP14:HR14,"D"))*1))/(COUNTA(HP14:HR14)),"")</f>
        <v>4</v>
      </c>
      <c r="HT14" s="109" t="str">
        <f t="shared" si="52"/>
        <v>A</v>
      </c>
      <c r="HU14" s="81"/>
      <c r="HV14" s="82"/>
      <c r="HW14" s="83"/>
      <c r="HX14" s="108" t="str">
        <f>IFERROR((((COUNTIF('Elève (5ème1)'!HU14:HW14,"A"))*4)+((COUNTIF('Elève (5ème1)'!HU14:HW14,"B"))*3)+((COUNTIF('Elève (5ème1)'!HU14:HW14,"C"))*2)+((COUNTIF('Elève (5ème1)'!HU14:HW14,"D"))*1))/(COUNTA(HU14:HW14)),"")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(5ème1)'!HZ14:IB14,"A"))*4)+((COUNTIF('Elève (5ème1)'!HZ14:IB14,"B"))*3)+((COUNTIF('Elève (5ème1)'!HZ14:IB14,"C"))*2)+((COUNTIF('Elève (5ème1)'!HZ14:IB14,"D"))*1))/(COUNTA(HZ14:IB14)),"")</f>
        <v/>
      </c>
      <c r="ID14" s="139" t="str">
        <f t="shared" si="54"/>
        <v/>
      </c>
      <c r="IE14" s="178">
        <f>IF(COUNT(HS14,HX14,IC14)=0,"",SUM(HS14,HX14,IC14)/COUNT(HS14,HX14,IC14))</f>
        <v>4</v>
      </c>
      <c r="IF14" s="131" t="str">
        <f t="shared" si="55"/>
        <v>A</v>
      </c>
      <c r="IG14" s="156" t="s">
        <v>27</v>
      </c>
      <c r="IH14" s="157"/>
      <c r="II14" s="158"/>
      <c r="IJ14" s="108">
        <f>IFERROR((((COUNTIF('Elève (5ème1)'!IG14:II14,"A"))*4)+((COUNTIF('Elève (5ème1)'!IG14:II14,"B"))*3)+((COUNTIF('Elève (5ème1)'!IG14:II14,"C"))*2)+((COUNTIF('Elève (5ème1)'!IG14:II14,"D"))*1))/(COUNTA(IG14:II14)),"")</f>
        <v>4</v>
      </c>
      <c r="IK14" s="109" t="str">
        <f t="shared" si="56"/>
        <v>A</v>
      </c>
      <c r="IL14" s="81"/>
      <c r="IM14" s="82"/>
      <c r="IN14" s="83"/>
      <c r="IO14" s="108" t="str">
        <f>IFERROR((((COUNTIF('Elève (5ème1)'!IL14:IN14,"A"))*4)+((COUNTIF('Elève (5ème1)'!IL14:IN14,"B"))*3)+((COUNTIF('Elève (5ème1)'!IL14:IN14,"C"))*2)+((COUNTIF('Elève (5ème1)'!IL14:IN14,"D"))*1))/(COUNTA(IL14:IN14)),"")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(5ème1)'!IQ14:IS14,"A"))*4)+((COUNTIF('Elève (5ème1)'!IQ14:IS14,"B"))*3)+((COUNTIF('Elève (5ème1)'!IQ14:IS14,"C"))*2)+((COUNTIF('Elève (5ème1)'!IQ14:IS14,"D"))*1))/(COUNTA(IQ14:IS14)),"")</f>
        <v/>
      </c>
      <c r="IU14" s="139" t="str">
        <f t="shared" si="58"/>
        <v/>
      </c>
      <c r="IV14" s="178">
        <f>IF(COUNT(IJ14,IO14,IT14)=0,"",SUM(IJ14,IO14,IT14)/COUNT(IJ14,IO14,IT14))</f>
        <v>4</v>
      </c>
      <c r="IW14" s="131" t="str">
        <f t="shared" si="59"/>
        <v>A</v>
      </c>
      <c r="IX14" s="156" t="s">
        <v>27</v>
      </c>
      <c r="IY14" s="157"/>
      <c r="IZ14" s="158"/>
      <c r="JA14" s="108">
        <f>IFERROR((((COUNTIF('Elève (5ème1)'!IX14:IZ14,"A"))*4)+((COUNTIF('Elève (5ème1)'!IX14:IZ14,"B"))*3)+((COUNTIF('Elève (5ème1)'!IX14:IZ14,"C"))*2)+((COUNTIF('Elève (5ème1)'!IX14:IZ14,"D"))*1))/(COUNTA(IX14:IZ14)),"")</f>
        <v>4</v>
      </c>
      <c r="JB14" s="109" t="str">
        <f t="shared" si="60"/>
        <v>A</v>
      </c>
      <c r="JC14" s="81"/>
      <c r="JD14" s="82"/>
      <c r="JE14" s="83"/>
      <c r="JF14" s="108" t="str">
        <f>IFERROR((((COUNTIF('Elève (5ème1)'!JC14:JE14,"A"))*4)+((COUNTIF('Elève (5ème1)'!JC14:JE14,"B"))*3)+((COUNTIF('Elève (5ème1)'!JC14:JE14,"C"))*2)+((COUNTIF('Elève (5ème1)'!JC14:JE14,"D"))*1))/(COUNTA(JC14:JE14)),"")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(5ème1)'!JH14:JJ14,"A"))*4)+((COUNTIF('Elève (5ème1)'!JH14:JJ14,"B"))*3)+((COUNTIF('Elève (5ème1)'!JH14:JJ14,"C"))*2)+((COUNTIF('Elève (5ème1)'!JH14:JJ14,"D"))*1))/(COUNTA(JH14:JJ14)),"")</f>
        <v/>
      </c>
      <c r="JL14" s="139" t="str">
        <f t="shared" si="62"/>
        <v/>
      </c>
      <c r="JM14" s="178">
        <f>IF(COUNT(JA14,JF14,JK14)=0,"",SUM(JA14,JF14,JK14)/COUNT(JA14,JF14,JK14))</f>
        <v>4</v>
      </c>
      <c r="JN14" s="131" t="str">
        <f t="shared" si="63"/>
        <v>A</v>
      </c>
      <c r="JO14" s="156" t="s">
        <v>27</v>
      </c>
      <c r="JP14" s="157"/>
      <c r="JQ14" s="158"/>
      <c r="JR14" s="108">
        <f>IFERROR((((COUNTIF('Elève (5ème1)'!JO14:JQ14,"A"))*4)+((COUNTIF('Elève (5ème1)'!JO14:JQ14,"B"))*3)+((COUNTIF('Elève (5ème1)'!JO14:JQ14,"C"))*2)+((COUNTIF('Elève (5ème1)'!JO14:JQ14,"D"))*1))/(COUNTA(JO14:JQ14)),"")</f>
        <v>4</v>
      </c>
      <c r="JS14" s="109" t="str">
        <f t="shared" si="64"/>
        <v>A</v>
      </c>
      <c r="JT14" s="81"/>
      <c r="JU14" s="82"/>
      <c r="JV14" s="83"/>
      <c r="JW14" s="108" t="str">
        <f>IFERROR((((COUNTIF('Elève (5ème1)'!JT14:JV14,"A"))*4)+((COUNTIF('Elève (5ème1)'!JT14:JV14,"B"))*3)+((COUNTIF('Elève (5ème1)'!JT14:JV14,"C"))*2)+((COUNTIF('Elève (5ème1)'!JT14:JV14,"D"))*1))/(COUNTA(JT14:JV14)),"")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(5ème1)'!JY14:KA14,"A"))*4)+((COUNTIF('Elève (5ème1)'!JY14:KA14,"B"))*3)+((COUNTIF('Elève (5ème1)'!JY14:KA14,"C"))*2)+((COUNTIF('Elève (5ème1)'!JY14:KA14,"D"))*1))/(COUNTA(JY14:KA14)),"")</f>
        <v/>
      </c>
      <c r="KC14" s="139" t="str">
        <f t="shared" si="66"/>
        <v/>
      </c>
      <c r="KD14" s="178">
        <f>IF(COUNT(JR14,JW14,KB14)=0,"",SUM(JR14,JW14,KB14)/COUNT(JR14,JW14,KB14))</f>
        <v>4</v>
      </c>
      <c r="KE14" s="131" t="str">
        <f t="shared" si="67"/>
        <v>A</v>
      </c>
      <c r="KF14" s="156" t="s">
        <v>27</v>
      </c>
      <c r="KG14" s="157"/>
      <c r="KH14" s="158"/>
      <c r="KI14" s="108">
        <f>IFERROR((((COUNTIF('Elève (5ème1)'!KF14:KH14,"A"))*4)+((COUNTIF('Elève (5ème1)'!KF14:KH14,"B"))*3)+((COUNTIF('Elève (5ème1)'!KF14:KH14,"C"))*2)+((COUNTIF('Elève (5ème1)'!KF14:KH14,"D"))*1))/(COUNTA(KF14:KH14)),"")</f>
        <v>4</v>
      </c>
      <c r="KJ14" s="109" t="str">
        <f t="shared" si="68"/>
        <v>A</v>
      </c>
      <c r="KK14" s="81"/>
      <c r="KL14" s="82"/>
      <c r="KM14" s="83"/>
      <c r="KN14" s="108" t="str">
        <f>IFERROR((((COUNTIF('Elève (5ème1)'!KK14:KM14,"A"))*4)+((COUNTIF('Elève (5ème1)'!KK14:KM14,"B"))*3)+((COUNTIF('Elève (5ème1)'!KK14:KM14,"C"))*2)+((COUNTIF('Elève (5ème1)'!KK14:KM14,"D"))*1))/(COUNTA(KK14:KM14)),"")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(5ème1)'!KP14:KR14,"A"))*4)+((COUNTIF('Elève (5ème1)'!KP14:KR14,"B"))*3)+((COUNTIF('Elève (5ème1)'!KP14:KR14,"C"))*2)+((COUNTIF('Elève (5ème1)'!KP14:KR14,"D"))*1))/(COUNTA(KP14:KR14)),"")</f>
        <v/>
      </c>
      <c r="KT14" s="139" t="str">
        <f t="shared" si="70"/>
        <v/>
      </c>
      <c r="KU14" s="178">
        <f>IF(COUNT(KI14,KN14,KS14)=0,"",SUM(KI14,KN14,KS14)/COUNT(KI14,KN14,KS14))</f>
        <v>4</v>
      </c>
      <c r="KV14" s="131" t="str">
        <f t="shared" si="71"/>
        <v>A</v>
      </c>
      <c r="KW14" s="156" t="s">
        <v>28</v>
      </c>
      <c r="KX14" s="157"/>
      <c r="KY14" s="158"/>
      <c r="KZ14" s="108">
        <f>IFERROR((((COUNTIF('Elève (5ème1)'!KW14:KY14,"A"))*4)+((COUNTIF('Elève (5ème1)'!KW14:KY14,"B"))*3)+((COUNTIF('Elève (5ème1)'!KW14:KY14,"C"))*2)+((COUNTIF('Elève (5ème1)'!KW14:KY14,"D"))*1))/(COUNTA(KW14:KY14)),"")</f>
        <v>3</v>
      </c>
      <c r="LA14" s="109" t="str">
        <f t="shared" si="72"/>
        <v>B</v>
      </c>
      <c r="LB14" s="81"/>
      <c r="LC14" s="82"/>
      <c r="LD14" s="83"/>
      <c r="LE14" s="108" t="str">
        <f>IFERROR((((COUNTIF('Elève (5ème1)'!LB14:LD14,"A"))*4)+((COUNTIF('Elève (5ème1)'!LB14:LD14,"B"))*3)+((COUNTIF('Elève (5ème1)'!LB14:LD14,"C"))*2)+((COUNTIF('Elève (5ème1)'!LB14:LD14,"D"))*1))/(COUNTA(LB14:LD14)),"")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(5ème1)'!LG14:LI14,"A"))*4)+((COUNTIF('Elève (5ème1)'!LG14:LI14,"B"))*3)+((COUNTIF('Elève (5ème1)'!LG14:LI14,"C"))*2)+((COUNTIF('Elève (5ème1)'!LG14:LI14,"D"))*1))/(COUNTA(LG14:LI14)),"")</f>
        <v/>
      </c>
      <c r="LK14" s="139" t="str">
        <f t="shared" si="74"/>
        <v/>
      </c>
      <c r="LL14" s="178">
        <f>IF(COUNT(KZ14,LE14,LJ14)=0,"",SUM(KZ14,LE14,LJ14)/COUNT(KZ14,LE14,LJ14))</f>
        <v>3</v>
      </c>
      <c r="LM14" s="131" t="str">
        <f t="shared" si="75"/>
        <v>B</v>
      </c>
      <c r="LN14" s="156" t="s">
        <v>27</v>
      </c>
      <c r="LO14" s="157"/>
      <c r="LP14" s="158"/>
      <c r="LQ14" s="108">
        <f>IFERROR((((COUNTIF('Elève (5ème1)'!LN14:LP14,"A"))*4)+((COUNTIF('Elève (5ème1)'!LN14:LP14,"B"))*3)+((COUNTIF('Elève (5ème1)'!LN14:LP14,"C"))*2)+((COUNTIF('Elève (5ème1)'!LN14:LP14,"D"))*1))/(COUNTA(LN14:LP14)),"")</f>
        <v>4</v>
      </c>
      <c r="LR14" s="109" t="str">
        <f t="shared" si="76"/>
        <v>A</v>
      </c>
      <c r="LS14" s="81"/>
      <c r="LT14" s="82"/>
      <c r="LU14" s="83"/>
      <c r="LV14" s="108" t="str">
        <f>IFERROR((((COUNTIF('Elève (5ème1)'!LS14:LU14,"A"))*4)+((COUNTIF('Elève (5ème1)'!LS14:LU14,"B"))*3)+((COUNTIF('Elève (5ème1)'!LS14:LU14,"C"))*2)+((COUNTIF('Elève (5ème1)'!LS14:LU14,"D"))*1))/(COUNTA(LS14:LU14)),"")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(5ème1)'!LX14:LZ14,"A"))*4)+((COUNTIF('Elève (5ème1)'!LX14:LZ14,"B"))*3)+((COUNTIF('Elève (5ème1)'!LX14:LZ14,"C"))*2)+((COUNTIF('Elève (5ème1)'!LX14:LZ14,"D"))*1))/(COUNTA(LX14:LZ14)),"")</f>
        <v/>
      </c>
      <c r="MB14" s="139" t="str">
        <f t="shared" si="78"/>
        <v/>
      </c>
      <c r="MC14" s="178">
        <f>IF(COUNT(LQ14,LV14,MA14)=0,"",SUM(LQ14,LV14,MA14)/COUNT(LQ14,LV14,MA14))</f>
        <v>4</v>
      </c>
      <c r="MD14" s="131" t="str">
        <f t="shared" si="79"/>
        <v>A</v>
      </c>
      <c r="ME14" s="156" t="s">
        <v>27</v>
      </c>
      <c r="MF14" s="157"/>
      <c r="MG14" s="158"/>
      <c r="MH14" s="108">
        <f>IFERROR((((COUNTIF('Elève (5ème1)'!ME14:MG14,"A"))*4)+((COUNTIF('Elève (5ème1)'!ME14:MG14,"B"))*3)+((COUNTIF('Elève (5ème1)'!ME14:MG14,"C"))*2)+((COUNTIF('Elève (5ème1)'!ME14:MG14,"D"))*1))/(COUNTA(ME14:MG14)),"")</f>
        <v>4</v>
      </c>
      <c r="MI14" s="109" t="str">
        <f t="shared" si="80"/>
        <v>A</v>
      </c>
      <c r="MJ14" s="81"/>
      <c r="MK14" s="82"/>
      <c r="ML14" s="83"/>
      <c r="MM14" s="108" t="str">
        <f>IFERROR((((COUNTIF('Elève (5ème1)'!MJ14:ML14,"A"))*4)+((COUNTIF('Elève (5ème1)'!MJ14:ML14,"B"))*3)+((COUNTIF('Elève (5ème1)'!MJ14:ML14,"C"))*2)+((COUNTIF('Elève (5ème1)'!MJ14:ML14,"D"))*1))/(COUNTA(MJ14:ML14)),"")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(5ème1)'!MO14:MQ14,"A"))*4)+((COUNTIF('Elève (5ème1)'!MO14:MQ14,"B"))*3)+((COUNTIF('Elève (5ème1)'!MO14:MQ14,"C"))*2)+((COUNTIF('Elève (5ème1)'!MO14:MQ14,"D"))*1))/(COUNTA(MO14:MQ14)),"")</f>
        <v/>
      </c>
      <c r="MS14" s="139" t="str">
        <f t="shared" si="82"/>
        <v/>
      </c>
      <c r="MT14" s="178">
        <f>IF(COUNT(MH14,MM14,MR14)=0,"",SUM(MH14,MM14,MR14)/COUNT(MH14,MM14,MR14))</f>
        <v>4</v>
      </c>
      <c r="MU14" s="131" t="str">
        <f t="shared" si="83"/>
        <v>A</v>
      </c>
      <c r="MV14" s="156" t="s">
        <v>30</v>
      </c>
      <c r="MW14" s="157"/>
      <c r="MX14" s="158"/>
      <c r="MY14" s="108">
        <f>IFERROR((((COUNTIF('Elève (5ème1)'!MV14:MX14,"A"))*4)+((COUNTIF('Elève (5ème1)'!MV14:MX14,"B"))*3)+((COUNTIF('Elève (5ème1)'!MV14:MX14,"C"))*2)+((COUNTIF('Elève (5ème1)'!MV14:MX14,"D"))*1))/(COUNTA(MV14:MX14)),"")</f>
        <v>1</v>
      </c>
      <c r="MZ14" s="109" t="str">
        <f t="shared" si="84"/>
        <v>D</v>
      </c>
      <c r="NA14" s="81"/>
      <c r="NB14" s="82"/>
      <c r="NC14" s="83"/>
      <c r="ND14" s="108" t="str">
        <f>IFERROR((((COUNTIF('Elève (5ème1)'!NA14:NC14,"A"))*4)+((COUNTIF('Elève (5ème1)'!NA14:NC14,"B"))*3)+((COUNTIF('Elève (5ème1)'!NA14:NC14,"C"))*2)+((COUNTIF('Elève (5ème1)'!NA14:NC14,"D"))*1))/(COUNTA(NA14:NC14)),"")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(5ème1)'!NF14:NH14,"A"))*4)+((COUNTIF('Elève (5ème1)'!NF14:NH14,"B"))*3)+((COUNTIF('Elève (5ème1)'!NF14:NH14,"C"))*2)+((COUNTIF('Elève (5ème1)'!NF14:NH14,"D"))*1))/(COUNTA(NF14:NH14)),"")</f>
        <v/>
      </c>
      <c r="NJ14" s="139" t="str">
        <f t="shared" si="86"/>
        <v/>
      </c>
      <c r="NK14" s="178">
        <f>IF(COUNT(MY14,ND14,NI14)=0,"",SUM(MY14,ND14,NI14)/COUNT(MY14,ND14,NI14))</f>
        <v>1</v>
      </c>
      <c r="NL14" s="131" t="str">
        <f t="shared" si="87"/>
        <v>D</v>
      </c>
      <c r="NM14" s="156" t="s">
        <v>27</v>
      </c>
      <c r="NN14" s="157"/>
      <c r="NO14" s="158"/>
      <c r="NP14" s="108">
        <f>IFERROR((((COUNTIF('Elève (5ème1)'!NM14:NO14,"A"))*4)+((COUNTIF('Elève (5ème1)'!NM14:NO14,"B"))*3)+((COUNTIF('Elève (5ème1)'!NM14:NO14,"C"))*2)+((COUNTIF('Elève (5ème1)'!NM14:NO14,"D"))*1))/(COUNTA(NM14:NO14)),"")</f>
        <v>4</v>
      </c>
      <c r="NQ14" s="109" t="str">
        <f t="shared" si="88"/>
        <v>A</v>
      </c>
      <c r="NR14" s="81"/>
      <c r="NS14" s="82"/>
      <c r="NT14" s="83"/>
      <c r="NU14" s="108" t="str">
        <f>IFERROR((((COUNTIF('Elève (5ème1)'!NR14:NT14,"A"))*4)+((COUNTIF('Elève (5ème1)'!NR14:NT14,"B"))*3)+((COUNTIF('Elève (5ème1)'!NR14:NT14,"C"))*2)+((COUNTIF('Elève (5ème1)'!NR14:NT14,"D"))*1))/(COUNTA(NR14:NT14)),"")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(5ème1)'!NW14:NY14,"A"))*4)+((COUNTIF('Elève (5ème1)'!NW14:NY14,"B"))*3)+((COUNTIF('Elève (5ème1)'!NW14:NY14,"C"))*2)+((COUNTIF('Elève (5ème1)'!NW14:NY14,"D"))*1))/(COUNTA(NW14:NY14)),"")</f>
        <v/>
      </c>
      <c r="OA14" s="139" t="str">
        <f t="shared" si="90"/>
        <v/>
      </c>
      <c r="OB14" s="178">
        <f>IF(COUNT(NP14,NU14,NZ14)=0,"",SUM(NP14,NU14,NZ14)/COUNT(NP14,NU14,NZ14))</f>
        <v>4</v>
      </c>
      <c r="OC14" s="131" t="str">
        <f t="shared" si="91"/>
        <v>A</v>
      </c>
      <c r="OD14" s="156" t="s">
        <v>27</v>
      </c>
      <c r="OE14" s="157"/>
      <c r="OF14" s="158"/>
      <c r="OG14" s="108">
        <f>IFERROR((((COUNTIF('Elève (5ème1)'!OD14:OF14,"A"))*4)+((COUNTIF('Elève (5ème1)'!OD14:OF14,"B"))*3)+((COUNTIF('Elève (5ème1)'!OD14:OF14,"C"))*2)+((COUNTIF('Elève (5ème1)'!OD14:OF14,"D"))*1))/(COUNTA(OD14:OF14)),"")</f>
        <v>4</v>
      </c>
      <c r="OH14" s="109" t="str">
        <f t="shared" si="92"/>
        <v>A</v>
      </c>
      <c r="OI14" s="81"/>
      <c r="OJ14" s="82"/>
      <c r="OK14" s="83"/>
      <c r="OL14" s="108" t="str">
        <f>IFERROR((((COUNTIF('Elève (5ème1)'!OI14:OK14,"A"))*4)+((COUNTIF('Elève (5ème1)'!OI14:OK14,"B"))*3)+((COUNTIF('Elève (5ème1)'!OI14:OK14,"C"))*2)+((COUNTIF('Elève (5ème1)'!OI14:OK14,"D"))*1))/(COUNTA(OI14:OK14)),"")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(5ème1)'!ON14:OP14,"A"))*4)+((COUNTIF('Elève (5ème1)'!ON14:OP14,"B"))*3)+((COUNTIF('Elève (5ème1)'!ON14:OP14,"C"))*2)+((COUNTIF('Elève (5ème1)'!ON14:OP14,"D"))*1))/(COUNTA(ON14:OP14)),"")</f>
        <v/>
      </c>
      <c r="OR14" s="139" t="str">
        <f t="shared" si="94"/>
        <v/>
      </c>
      <c r="OS14" s="178">
        <f>IF(COUNT(OG14,OL14,OQ14)=0,"",SUM(OG14,OL14,OQ14)/COUNT(OG14,OL14,OQ14))</f>
        <v>4</v>
      </c>
      <c r="OT14" s="131" t="str">
        <f t="shared" si="95"/>
        <v>A</v>
      </c>
      <c r="OU14" s="156" t="s">
        <v>27</v>
      </c>
      <c r="OV14" s="157"/>
      <c r="OW14" s="158"/>
      <c r="OX14" s="108">
        <f>IFERROR((((COUNTIF('Elève (5ème1)'!OU14:OW14,"A"))*4)+((COUNTIF('Elève (5ème1)'!OU14:OW14,"B"))*3)+((COUNTIF('Elève (5ème1)'!OU14:OW14,"C"))*2)+((COUNTIF('Elève (5ème1)'!OU14:OW14,"D"))*1))/(COUNTA(OU14:OW14)),"")</f>
        <v>4</v>
      </c>
      <c r="OY14" s="109" t="str">
        <f t="shared" si="96"/>
        <v>A</v>
      </c>
      <c r="OZ14" s="81"/>
      <c r="PA14" s="82"/>
      <c r="PB14" s="83"/>
      <c r="PC14" s="108" t="str">
        <f>IFERROR((((COUNTIF('Elève (5ème1)'!OZ14:PB14,"A"))*4)+((COUNTIF('Elève (5ème1)'!OZ14:PB14,"B"))*3)+((COUNTIF('Elève (5ème1)'!OZ14:PB14,"C"))*2)+((COUNTIF('Elève (5ème1)'!OZ14:PB14,"D"))*1))/(COUNTA(OZ14:PB14)),"")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(5ème1)'!PE14:PG14,"A"))*4)+((COUNTIF('Elève (5ème1)'!PE14:PG14,"B"))*3)+((COUNTIF('Elève (5ème1)'!PE14:PG14,"C"))*2)+((COUNTIF('Elève (5ème1)'!PE14:PG14,"D"))*1))/(COUNTA(PE14:PG14)),"")</f>
        <v/>
      </c>
      <c r="PI14" s="139" t="str">
        <f t="shared" si="98"/>
        <v/>
      </c>
      <c r="PJ14" s="178">
        <f>IF(COUNT(OX14,PC14,PH14)=0,"",SUM(OX14,PC14,PH14)/COUNT(OX14,PC14,PH14))</f>
        <v>4</v>
      </c>
      <c r="PK14" s="131" t="str">
        <f t="shared" si="99"/>
        <v>A</v>
      </c>
      <c r="PL14" s="156" t="s">
        <v>27</v>
      </c>
      <c r="PM14" s="157"/>
      <c r="PN14" s="158"/>
      <c r="PO14" s="108">
        <f>IFERROR((((COUNTIF('Elève (5ème1)'!PL14:PN14,"A"))*4)+((COUNTIF('Elève (5ème1)'!PL14:PN14,"B"))*3)+((COUNTIF('Elève (5ème1)'!PL14:PN14,"C"))*2)+((COUNTIF('Elève (5ème1)'!PL14:PN14,"D"))*1))/(COUNTA(PL14:PN14)),"")</f>
        <v>4</v>
      </c>
      <c r="PP14" s="109" t="str">
        <f t="shared" si="100"/>
        <v>A</v>
      </c>
      <c r="PQ14" s="81"/>
      <c r="PR14" s="82"/>
      <c r="PS14" s="83"/>
      <c r="PT14" s="108" t="str">
        <f>IFERROR((((COUNTIF('Elève (5ème1)'!PQ14:PS14,"A"))*4)+((COUNTIF('Elève (5ème1)'!PQ14:PS14,"B"))*3)+((COUNTIF('Elève (5ème1)'!PQ14:PS14,"C"))*2)+((COUNTIF('Elève (5ème1)'!PQ14:PS14,"D"))*1))/(COUNTA(PQ14:PS14)),"")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(5ème1)'!PV14:PX14,"A"))*4)+((COUNTIF('Elève (5ème1)'!PV14:PX14,"B"))*3)+((COUNTIF('Elève (5ème1)'!PV14:PX14,"C"))*2)+((COUNTIF('Elève (5ème1)'!PV14:PX14,"D"))*1))/(COUNTA(PV14:PX14)),"")</f>
        <v/>
      </c>
      <c r="PZ14" s="139" t="str">
        <f t="shared" si="102"/>
        <v/>
      </c>
      <c r="QA14" s="178">
        <f>IF(COUNT(PO14,PT14,PY14)=0,"",SUM(PO14,PT14,PY14)/COUNT(PO14,PT14,PY14))</f>
        <v>4</v>
      </c>
      <c r="QB14" s="131" t="str">
        <f t="shared" si="103"/>
        <v>A</v>
      </c>
      <c r="QC14" s="156" t="s">
        <v>27</v>
      </c>
      <c r="QD14" s="157"/>
      <c r="QE14" s="158"/>
      <c r="QF14" s="108">
        <f>IFERROR((((COUNTIF('Elève (5ème1)'!QC14:QE14,"A"))*4)+((COUNTIF('Elève (5ème1)'!QC14:QE14,"B"))*3)+((COUNTIF('Elève (5ème1)'!QC14:QE14,"C"))*2)+((COUNTIF('Elève (5ème1)'!QC14:QE14,"D"))*1))/(COUNTA(QC14:QE14)),"")</f>
        <v>4</v>
      </c>
      <c r="QG14" s="109" t="str">
        <f t="shared" si="104"/>
        <v>A</v>
      </c>
      <c r="QH14" s="81"/>
      <c r="QI14" s="82"/>
      <c r="QJ14" s="83"/>
      <c r="QK14" s="108" t="str">
        <f>IFERROR((((COUNTIF('Elève (5ème1)'!QH14:QJ14,"A"))*4)+((COUNTIF('Elève (5ème1)'!QH14:QJ14,"B"))*3)+((COUNTIF('Elève (5ème1)'!QH14:QJ14,"C"))*2)+((COUNTIF('Elève (5ème1)'!QH14:QJ14,"D"))*1))/(COUNTA(QH14:QJ14)),"")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(5ème1)'!QM14:QO14,"A"))*4)+((COUNTIF('Elève (5ème1)'!QM14:QO14,"B"))*3)+((COUNTIF('Elève (5ème1)'!QM14:QO14,"C"))*2)+((COUNTIF('Elève (5ème1)'!QM14:QO14,"D"))*1))/(COUNTA(QM14:QO14)),"")</f>
        <v/>
      </c>
      <c r="QQ14" s="139" t="str">
        <f t="shared" si="106"/>
        <v/>
      </c>
      <c r="QR14" s="178">
        <f>IF(COUNT(QF14,QK14,QP14)=0,"",SUM(QF14,QK14,QP14)/COUNT(QF14,QK14,QP14))</f>
        <v>4</v>
      </c>
      <c r="QS14" s="131" t="str">
        <f t="shared" si="107"/>
        <v>A</v>
      </c>
      <c r="QT14" s="156" t="s">
        <v>29</v>
      </c>
      <c r="QU14" s="157"/>
      <c r="QV14" s="158"/>
      <c r="QW14" s="108">
        <f>IFERROR((((COUNTIF('Elève (5ème1)'!QT14:QV14,"A"))*4)+((COUNTIF('Elève (5ème1)'!QT14:QV14,"B"))*3)+((COUNTIF('Elève (5ème1)'!QT14:QV14,"C"))*2)+((COUNTIF('Elève (5ème1)'!QT14:QV14,"D"))*1))/(COUNTA(QT14:QV14)),"")</f>
        <v>2</v>
      </c>
      <c r="QX14" s="109" t="str">
        <f t="shared" si="108"/>
        <v>C</v>
      </c>
      <c r="QY14" s="81"/>
      <c r="QZ14" s="82"/>
      <c r="RA14" s="83"/>
      <c r="RB14" s="108" t="str">
        <f>IFERROR((((COUNTIF('Elève (5ème1)'!QY14:RA14,"A"))*4)+((COUNTIF('Elève (5ème1)'!QY14:RA14,"B"))*3)+((COUNTIF('Elève (5ème1)'!QY14:RA14,"C"))*2)+((COUNTIF('Elève (5ème1)'!QY14:RA14,"D"))*1))/(COUNTA(QY14:RA14)),"")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(5ème1)'!RD14:RF14,"A"))*4)+((COUNTIF('Elève (5ème1)'!RD14:RF14,"B"))*3)+((COUNTIF('Elève (5ème1)'!RD14:RF14,"C"))*2)+((COUNTIF('Elève (5ème1)'!RD14:RF14,"D"))*1))/(COUNTA(RD14:RF14)),"")</f>
        <v/>
      </c>
      <c r="RH14" s="139" t="str">
        <f t="shared" si="110"/>
        <v/>
      </c>
      <c r="RI14" s="178">
        <f>IF(COUNT(QW14,RB14,RG14)=0,"",SUM(QW14,RB14,RG14)/COUNT(QW14,RB14,RG14))</f>
        <v>2</v>
      </c>
      <c r="RJ14" s="131" t="str">
        <f t="shared" si="111"/>
        <v>C</v>
      </c>
      <c r="RK14" s="156" t="s">
        <v>27</v>
      </c>
      <c r="RL14" s="157"/>
      <c r="RM14" s="158"/>
      <c r="RN14" s="108">
        <f>IFERROR((((COUNTIF('Elève (5ème1)'!RK14:RM14,"A"))*4)+((COUNTIF('Elève (5ème1)'!RK14:RM14,"B"))*3)+((COUNTIF('Elève (5ème1)'!RK14:RM14,"C"))*2)+((COUNTIF('Elève (5ème1)'!RK14:RM14,"D"))*1))/(COUNTA(RK14:RM14)),"")</f>
        <v>4</v>
      </c>
      <c r="RO14" s="109" t="str">
        <f t="shared" si="112"/>
        <v>A</v>
      </c>
      <c r="RP14" s="81"/>
      <c r="RQ14" s="82"/>
      <c r="RR14" s="83"/>
      <c r="RS14" s="108" t="str">
        <f>IFERROR((((COUNTIF('Elève (5ème1)'!RP14:RR14,"A"))*4)+((COUNTIF('Elève (5ème1)'!RP14:RR14,"B"))*3)+((COUNTIF('Elève (5ème1)'!RP14:RR14,"C"))*2)+((COUNTIF('Elève (5ème1)'!RP14:RR14,"D"))*1))/(COUNTA(RP14:RR14)),"")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(5ème1)'!RU14:RW14,"A"))*4)+((COUNTIF('Elève (5ème1)'!RU14:RW14,"B"))*3)+((COUNTIF('Elève (5ème1)'!RU14:RW14,"C"))*2)+((COUNTIF('Elève (5ème1)'!RU14:RW14,"D"))*1))/(COUNTA(RU14:RW14)),"")</f>
        <v/>
      </c>
      <c r="RY14" s="139" t="str">
        <f t="shared" si="114"/>
        <v/>
      </c>
      <c r="RZ14" s="178">
        <f>IF(COUNT(RN14,RS14,RX14)=0,"",SUM(RN14,RS14,RX14)/COUNT(RN14,RS14,RX14))</f>
        <v>4</v>
      </c>
      <c r="SA14" s="131" t="str">
        <f t="shared" si="115"/>
        <v>A</v>
      </c>
      <c r="SB14" s="156" t="s">
        <v>27</v>
      </c>
      <c r="SC14" s="157"/>
      <c r="SD14" s="158"/>
      <c r="SE14" s="108">
        <f>IFERROR((((COUNTIF('Elève (5ème1)'!SB14:SD14,"A"))*4)+((COUNTIF('Elève (5ème1)'!SB14:SD14,"B"))*3)+((COUNTIF('Elève (5ème1)'!SB14:SD14,"C"))*2)+((COUNTIF('Elève (5ème1)'!SB14:SD14,"D"))*1))/(COUNTA(SB14:SD14)),"")</f>
        <v>4</v>
      </c>
      <c r="SF14" s="109" t="str">
        <f t="shared" si="116"/>
        <v>A</v>
      </c>
      <c r="SG14" s="81"/>
      <c r="SH14" s="82"/>
      <c r="SI14" s="83"/>
      <c r="SJ14" s="108" t="str">
        <f>IFERROR((((COUNTIF('Elève (5ème1)'!SG14:SI14,"A"))*4)+((COUNTIF('Elève (5ème1)'!SG14:SI14,"B"))*3)+((COUNTIF('Elève (5ème1)'!SG14:SI14,"C"))*2)+((COUNTIF('Elève (5ème1)'!SG14:SI14,"D"))*1))/(COUNTA(SG14:SI14)),"")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(5ème1)'!SL14:SN14,"A"))*4)+((COUNTIF('Elève (5ème1)'!SL14:SN14,"B"))*3)+((COUNTIF('Elève (5ème1)'!SL14:SN14,"C"))*2)+((COUNTIF('Elève (5ème1)'!SL14:SN14,"D"))*1))/(COUNTA(SL14:SN14)),"")</f>
        <v/>
      </c>
      <c r="SP14" s="139" t="str">
        <f t="shared" si="118"/>
        <v/>
      </c>
      <c r="SQ14" s="178">
        <f>IF(COUNT(SE14,SJ14,SO14)=0,"",SUM(SE14,SJ14,SO14)/COUNT(SE14,SJ14,SO14))</f>
        <v>4</v>
      </c>
      <c r="SR14" s="131" t="str">
        <f t="shared" si="119"/>
        <v>A</v>
      </c>
    </row>
    <row r="15" spans="1:512" s="72" customFormat="1" ht="18" customHeight="1" thickBot="1" x14ac:dyDescent="0.3">
      <c r="A15" s="225" t="s">
        <v>37</v>
      </c>
      <c r="B15" s="226"/>
      <c r="C15" s="159"/>
      <c r="D15" s="160"/>
      <c r="E15" s="161"/>
      <c r="F15" s="112" t="str">
        <f>IFERROR((((COUNTIF('Elève (5ème1)'!C15:E15,"A"))*4)+((COUNTIF('Elève (5ème1)'!C15:E15,"B"))*3)+((COUNTIF('Elève (5ème1)'!C15:E15,"C"))*2)+((COUNTIF('Elève (5ème1)'!C15:E15,"D"))*1))/(COUNTA(C15:E15)),"")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(5ème1)'!H15:J15,"A"))*4)+((COUNTIF('Elève (5ème1)'!H15:J15,"B"))*3)+((COUNTIF('Elève (5ème1)'!H15:J15,"C"))*2)+((COUNTIF('Elève (5ème1)'!H15:J15,"D"))*1))/(COUNTA(H15:J15)),"")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(5ème1)'!M15:O15,"A"))*4)+((COUNTIF('Elève (5ème1)'!M15:O15,"B"))*3)+((COUNTIF('Elève (5ème1)'!M15:O15,"C"))*2)+((COUNTIF('Elève (5ème1)'!M15:O15,"D"))*1))/(COUNTA(M15:O15)),"")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(5ème1)'!T15:V15,"A"))*4)+((COUNTIF('Elève (5ème1)'!T15:V15,"B"))*3)+((COUNTIF('Elève (5ème1)'!T15:V15,"C"))*2)+((COUNTIF('Elève (5ème1)'!T15:V15,"D"))*1))/(COUNTA(T15:V15)),"")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(5ème1)'!Y15:AA15,"A"))*4)+((COUNTIF('Elève (5ème1)'!Y15:AA15,"B"))*3)+((COUNTIF('Elève (5ème1)'!Y15:AA15,"C"))*2)+((COUNTIF('Elève (5ème1)'!Y15:AA15,"D"))*1))/(COUNTA(Y15:AA15)),"")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(5ème1)'!AD15:AF15,"A"))*4)+((COUNTIF('Elève (5ème1)'!AD15:AF15,"B"))*3)+((COUNTIF('Elève (5ème1)'!AD15:AF15,"C"))*2)+((COUNTIF('Elève (5ème1)'!AD15:AF15,"D"))*1))/(COUNTA(AD15:AF15)),"")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(5ème1)'!AK15:AM15,"A"))*4)+((COUNTIF('Elève (5ème1)'!AK15:AM15,"B"))*3)+((COUNTIF('Elève (5ème1)'!AK15:AM15,"C"))*2)+((COUNTIF('Elève (5ème1)'!AK15:AM15,"D"))*1))/(COUNTA(AK15:AM15)),"")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(5ème1)'!AP15:AR15,"A"))*4)+((COUNTIF('Elève (5ème1)'!AP15:AR15,"B"))*3)+((COUNTIF('Elève (5ème1)'!AP15:AR15,"C"))*2)+((COUNTIF('Elève (5ème1)'!AP15:AR15,"D"))*1))/(COUNTA(AP15:AR15)),"")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(5ème1)'!AU15:AW15,"A"))*4)+((COUNTIF('Elève (5ème1)'!AU15:AW15,"B"))*3)+((COUNTIF('Elève (5ème1)'!AU15:AW15,"C"))*2)+((COUNTIF('Elève (5ème1)'!AU15:AW15,"D"))*1))/(COUNTA(AU15:AW15)),"")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(5ème1)'!BB15:BD15,"A"))*4)+((COUNTIF('Elève (5ème1)'!BB15:BD15,"B"))*3)+((COUNTIF('Elève (5ème1)'!BB15:BD15,"C"))*2)+((COUNTIF('Elève (5ème1)'!BB15:BD15,"D"))*1))/(COUNTA(BB15:BD15)),"")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(5ème1)'!BG15:BI15,"A"))*4)+((COUNTIF('Elève (5ème1)'!BG15:BI15,"B"))*3)+((COUNTIF('Elève (5ème1)'!BG15:BI15,"C"))*2)+((COUNTIF('Elève (5ème1)'!BG15:BI15,"D"))*1))/(COUNTA(BG15:BI15)),"")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(5ème1)'!BL15:BN15,"A"))*4)+((COUNTIF('Elève (5ème1)'!BL15:BN15,"B"))*3)+((COUNTIF('Elève (5ème1)'!BL15:BN15,"C"))*2)+((COUNTIF('Elève (5ème1)'!BL15:BN15,"D"))*1))/(COUNTA(BL15:BN15)),"")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(5ème1)'!BS15:BU15,"A"))*4)+((COUNTIF('Elève (5ème1)'!BS15:BU15,"B"))*3)+((COUNTIF('Elève (5ème1)'!BS15:BU15,"C"))*2)+((COUNTIF('Elève (5ème1)'!BS15:BU15,"D"))*1))/(COUNTA(BS15:BU15)),"")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(5ème1)'!BX15:BZ15,"A"))*4)+((COUNTIF('Elève (5ème1)'!BX15:BZ15,"B"))*3)+((COUNTIF('Elève (5ème1)'!BX15:BZ15,"C"))*2)+((COUNTIF('Elève (5ème1)'!BX15:BZ15,"D"))*1))/(COUNTA(BX15:BZ15)),"")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(5ème1)'!CC15:CE15,"A"))*4)+((COUNTIF('Elève (5ème1)'!CC15:CE15,"B"))*3)+((COUNTIF('Elève (5ème1)'!CC15:CE15,"C"))*2)+((COUNTIF('Elève (5ème1)'!CC15:CE15,"D"))*1))/(COUNTA(CC15:CE15)),"")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(5ème1)'!CJ15:CL15,"A"))*4)+((COUNTIF('Elève (5ème1)'!CJ15:CL15,"B"))*3)+((COUNTIF('Elève (5ème1)'!CJ15:CL15,"C"))*2)+((COUNTIF('Elève (5ème1)'!CJ15:CL15,"D"))*1))/(COUNTA(CJ15:CL15)),"")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(5ème1)'!CO15:CQ15,"A"))*4)+((COUNTIF('Elève (5ème1)'!CO15:CQ15,"B"))*3)+((COUNTIF('Elève (5ème1)'!CO15:CQ15,"C"))*2)+((COUNTIF('Elève (5ème1)'!CO15:CQ15,"D"))*1))/(COUNTA(CO15:CQ15)),"")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(5ème1)'!CT15:CV15,"A"))*4)+((COUNTIF('Elève (5ème1)'!CT15:CV15,"B"))*3)+((COUNTIF('Elève (5ème1)'!CT15:CV15,"C"))*2)+((COUNTIF('Elève (5ème1)'!CT15:CV15,"D"))*1))/(COUNTA(CT15:CV15)),"")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(5ème1)'!DA15:DC15,"A"))*4)+((COUNTIF('Elève (5ème1)'!DA15:DC15,"B"))*3)+((COUNTIF('Elève (5ème1)'!DA15:DC15,"C"))*2)+((COUNTIF('Elève (5ème1)'!DA15:DC15,"D"))*1))/(COUNTA(DA15:DC15)),"")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(5ème1)'!DF15:DH15,"A"))*4)+((COUNTIF('Elève (5ème1)'!DF15:DH15,"B"))*3)+((COUNTIF('Elève (5ème1)'!DF15:DH15,"C"))*2)+((COUNTIF('Elève (5ème1)'!DF15:DH15,"D"))*1))/(COUNTA(DF15:DH15)),"")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(5ème1)'!DK15:DM15,"A"))*4)+((COUNTIF('Elève (5ème1)'!DK15:DM15,"B"))*3)+((COUNTIF('Elève (5ème1)'!DK15:DM15,"C"))*2)+((COUNTIF('Elève (5ème1)'!DK15:DM15,"D"))*1))/(COUNTA(DK15:DM15)),"")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(5ème1)'!DR15:DT15,"A"))*4)+((COUNTIF('Elève (5ème1)'!DR15:DT15,"B"))*3)+((COUNTIF('Elève (5ème1)'!DR15:DT15,"C"))*2)+((COUNTIF('Elève (5ème1)'!DR15:DT15,"D"))*1))/(COUNTA(DR15:DT15)),"")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(5ème1)'!DW15:DY15,"A"))*4)+((COUNTIF('Elève (5ème1)'!DW15:DY15,"B"))*3)+((COUNTIF('Elève (5ème1)'!DW15:DY15,"C"))*2)+((COUNTIF('Elève (5ème1)'!DW15:DY15,"D"))*1))/(COUNTA(DW15:DY15)),"")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(5ème1)'!EB15:ED15,"A"))*4)+((COUNTIF('Elève (5ème1)'!EB15:ED15,"B"))*3)+((COUNTIF('Elève (5ème1)'!EB15:ED15,"C"))*2)+((COUNTIF('Elève (5ème1)'!EB15:ED15,"D"))*1))/(COUNTA(EB15:ED15)),"")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(5ème1)'!EI15:EK15,"A"))*4)+((COUNTIF('Elève (5ème1)'!EI15:EK15,"B"))*3)+((COUNTIF('Elève (5ème1)'!EI15:EK15,"C"))*2)+((COUNTIF('Elève (5ème1)'!EI15:EK15,"D"))*1))/(COUNTA(EI15:EK15)),"")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(5ème1)'!EN15:EP15,"A"))*4)+((COUNTIF('Elève (5ème1)'!EN15:EP15,"B"))*3)+((COUNTIF('Elève (5ème1)'!EN15:EP15,"C"))*2)+((COUNTIF('Elève (5ème1)'!EN15:EP15,"D"))*1))/(COUNTA(EN15:EP15)),"")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(5ème1)'!ES15:EU15,"A"))*4)+((COUNTIF('Elève (5ème1)'!ES15:EU15,"B"))*3)+((COUNTIF('Elève (5ème1)'!ES15:EU15,"C"))*2)+((COUNTIF('Elève (5ème1)'!ES15:EU15,"D"))*1))/(COUNTA(ES15:EU15)),"")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(5ème1)'!EZ15:FB15,"A"))*4)+((COUNTIF('Elève (5ème1)'!EZ15:FB15,"B"))*3)+((COUNTIF('Elève (5ème1)'!EZ15:FB15,"C"))*2)+((COUNTIF('Elève (5ème1)'!EZ15:FB15,"D"))*1))/(COUNTA(EZ15:FB15)),"")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(5ème1)'!FE15:FG15,"A"))*4)+((COUNTIF('Elève (5ème1)'!FE15:FG15,"B"))*3)+((COUNTIF('Elève (5ème1)'!FE15:FG15,"C"))*2)+((COUNTIF('Elève (5ème1)'!FE15:FG15,"D"))*1))/(COUNTA(FE15:FG15)),"")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(5ème1)'!FJ15:FL15,"A"))*4)+((COUNTIF('Elève (5ème1)'!FJ15:FL15,"B"))*3)+((COUNTIF('Elève (5ème1)'!FJ15:FL15,"C"))*2)+((COUNTIF('Elève (5ème1)'!FJ15:FL15,"D"))*1))/(COUNTA(FJ15:FL15)),"")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(5ème1)'!FQ15:FS15,"A"))*4)+((COUNTIF('Elève (5ème1)'!FQ15:FS15,"B"))*3)+((COUNTIF('Elève (5ème1)'!FQ15:FS15,"C"))*2)+((COUNTIF('Elève (5ème1)'!FQ15:FS15,"D"))*1))/(COUNTA(FQ15:FS15)),"")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(5ème1)'!FV15:FX15,"A"))*4)+((COUNTIF('Elève (5ème1)'!FV15:FX15,"B"))*3)+((COUNTIF('Elève (5ème1)'!FV15:FX15,"C"))*2)+((COUNTIF('Elève (5ème1)'!FV15:FX15,"D"))*1))/(COUNTA(FV15:FX15)),"")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(5ème1)'!GA15:GC15,"A"))*4)+((COUNTIF('Elève (5ème1)'!GA15:GC15,"B"))*3)+((COUNTIF('Elève (5ème1)'!GA15:GC15,"C"))*2)+((COUNTIF('Elève (5ème1)'!GA15:GC15,"D"))*1))/(COUNTA(GA15:GC15)),"")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(5ème1)'!GH15:GJ15,"A"))*4)+((COUNTIF('Elève (5ème1)'!GH15:GJ15,"B"))*3)+((COUNTIF('Elève (5ème1)'!GH15:GJ15,"C"))*2)+((COUNTIF('Elève (5ème1)'!GH15:GJ15,"D"))*1))/(COUNTA(GH15:GJ15)),"")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(5ème1)'!GM15:GO15,"A"))*4)+((COUNTIF('Elève (5ème1)'!GM15:GO15,"B"))*3)+((COUNTIF('Elève (5ème1)'!GM15:GO15,"C"))*2)+((COUNTIF('Elève (5ème1)'!GM15:GO15,"D"))*1))/(COUNTA(GM15:GO15)),"")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(5ème1)'!GR15:GT15,"A"))*4)+((COUNTIF('Elève (5ème1)'!GR15:GT15,"B"))*3)+((COUNTIF('Elève (5ème1)'!GR15:GT15,"C"))*2)+((COUNTIF('Elève (5ème1)'!GR15:GT15,"D"))*1))/(COUNTA(GR15:GT15)),"")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(5ème1)'!GY15:HA15,"A"))*4)+((COUNTIF('Elève (5ème1)'!GY15:HA15,"B"))*3)+((COUNTIF('Elève (5ème1)'!GY15:HA15,"C"))*2)+((COUNTIF('Elève (5ème1)'!GY15:HA15,"D"))*1))/(COUNTA(GY15:HA15)),"")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(5ème1)'!HD15:HF15,"A"))*4)+((COUNTIF('Elève (5ème1)'!HD15:HF15,"B"))*3)+((COUNTIF('Elève (5ème1)'!HD15:HF15,"C"))*2)+((COUNTIF('Elève (5ème1)'!HD15:HF15,"D"))*1))/(COUNTA(HD15:HF15)),"")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(5ème1)'!HI15:HK15,"A"))*4)+((COUNTIF('Elève (5ème1)'!HI15:HK15,"B"))*3)+((COUNTIF('Elève (5ème1)'!HI15:HK15,"C"))*2)+((COUNTIF('Elève (5ème1)'!HI15:HK15,"D"))*1))/(COUNTA(HI15:HK15)),"")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(5ème1)'!HP15:HR15,"A"))*4)+((COUNTIF('Elève (5ème1)'!HP15:HR15,"B"))*3)+((COUNTIF('Elève (5ème1)'!HP15:HR15,"C"))*2)+((COUNTIF('Elève (5ème1)'!HP15:HR15,"D"))*1))/(COUNTA(HP15:HR15)),"")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(5ème1)'!HU15:HW15,"A"))*4)+((COUNTIF('Elève (5ème1)'!HU15:HW15,"B"))*3)+((COUNTIF('Elève (5ème1)'!HU15:HW15,"C"))*2)+((COUNTIF('Elève (5ème1)'!HU15:HW15,"D"))*1))/(COUNTA(HU15:HW15)),"")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(5ème1)'!HZ15:IB15,"A"))*4)+((COUNTIF('Elève (5ème1)'!HZ15:IB15,"B"))*3)+((COUNTIF('Elève (5ème1)'!HZ15:IB15,"C"))*2)+((COUNTIF('Elève (5ème1)'!HZ15:IB15,"D"))*1))/(COUNTA(HZ15:IB15)),"")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(5ème1)'!IG15:II15,"A"))*4)+((COUNTIF('Elève (5ème1)'!IG15:II15,"B"))*3)+((COUNTIF('Elève (5ème1)'!IG15:II15,"C"))*2)+((COUNTIF('Elève (5ème1)'!IG15:II15,"D"))*1))/(COUNTA(IG15:II15)),"")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(5ème1)'!IL15:IN15,"A"))*4)+((COUNTIF('Elève (5ème1)'!IL15:IN15,"B"))*3)+((COUNTIF('Elève (5ème1)'!IL15:IN15,"C"))*2)+((COUNTIF('Elève (5ème1)'!IL15:IN15,"D"))*1))/(COUNTA(IL15:IN15)),"")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(5ème1)'!IQ15:IS15,"A"))*4)+((COUNTIF('Elève (5ème1)'!IQ15:IS15,"B"))*3)+((COUNTIF('Elève (5ème1)'!IQ15:IS15,"C"))*2)+((COUNTIF('Elève (5ème1)'!IQ15:IS15,"D"))*1))/(COUNTA(IQ15:IS15)),"")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(5ème1)'!IX15:IZ15,"A"))*4)+((COUNTIF('Elève (5ème1)'!IX15:IZ15,"B"))*3)+((COUNTIF('Elève (5ème1)'!IX15:IZ15,"C"))*2)+((COUNTIF('Elève (5ème1)'!IX15:IZ15,"D"))*1))/(COUNTA(IX15:IZ15)),"")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(5ème1)'!JC15:JE15,"A"))*4)+((COUNTIF('Elève (5ème1)'!JC15:JE15,"B"))*3)+((COUNTIF('Elève (5ème1)'!JC15:JE15,"C"))*2)+((COUNTIF('Elève (5ème1)'!JC15:JE15,"D"))*1))/(COUNTA(JC15:JE15)),"")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(5ème1)'!JH15:JJ15,"A"))*4)+((COUNTIF('Elève (5ème1)'!JH15:JJ15,"B"))*3)+((COUNTIF('Elève (5ème1)'!JH15:JJ15,"C"))*2)+((COUNTIF('Elève (5ème1)'!JH15:JJ15,"D"))*1))/(COUNTA(JH15:JJ15)),"")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(5ème1)'!JO15:JQ15,"A"))*4)+((COUNTIF('Elève (5ème1)'!JO15:JQ15,"B"))*3)+((COUNTIF('Elève (5ème1)'!JO15:JQ15,"C"))*2)+((COUNTIF('Elève (5ème1)'!JO15:JQ15,"D"))*1))/(COUNTA(JO15:JQ15)),"")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(5ème1)'!JT15:JV15,"A"))*4)+((COUNTIF('Elève (5ème1)'!JT15:JV15,"B"))*3)+((COUNTIF('Elève (5ème1)'!JT15:JV15,"C"))*2)+((COUNTIF('Elève (5ème1)'!JT15:JV15,"D"))*1))/(COUNTA(JT15:JV15)),"")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(5ème1)'!JY15:KA15,"A"))*4)+((COUNTIF('Elève (5ème1)'!JY15:KA15,"B"))*3)+((COUNTIF('Elève (5ème1)'!JY15:KA15,"C"))*2)+((COUNTIF('Elève (5ème1)'!JY15:KA15,"D"))*1))/(COUNTA(JY15:KA15)),"")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(5ème1)'!KF15:KH15,"A"))*4)+((COUNTIF('Elève (5ème1)'!KF15:KH15,"B"))*3)+((COUNTIF('Elève (5ème1)'!KF15:KH15,"C"))*2)+((COUNTIF('Elève (5ème1)'!KF15:KH15,"D"))*1))/(COUNTA(KF15:KH15)),"")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(5ème1)'!KK15:KM15,"A"))*4)+((COUNTIF('Elève (5ème1)'!KK15:KM15,"B"))*3)+((COUNTIF('Elève (5ème1)'!KK15:KM15,"C"))*2)+((COUNTIF('Elève (5ème1)'!KK15:KM15,"D"))*1))/(COUNTA(KK15:KM15)),"")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(5ème1)'!KP15:KR15,"A"))*4)+((COUNTIF('Elève (5ème1)'!KP15:KR15,"B"))*3)+((COUNTIF('Elève (5ème1)'!KP15:KR15,"C"))*2)+((COUNTIF('Elève (5ème1)'!KP15:KR15,"D"))*1))/(COUNTA(KP15:KR15)),"")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(5ème1)'!KW15:KY15,"A"))*4)+((COUNTIF('Elève (5ème1)'!KW15:KY15,"B"))*3)+((COUNTIF('Elève (5ème1)'!KW15:KY15,"C"))*2)+((COUNTIF('Elève (5ème1)'!KW15:KY15,"D"))*1))/(COUNTA(KW15:KY15)),"")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(5ème1)'!LB15:LD15,"A"))*4)+((COUNTIF('Elève (5ème1)'!LB15:LD15,"B"))*3)+((COUNTIF('Elève (5ème1)'!LB15:LD15,"C"))*2)+((COUNTIF('Elève (5ème1)'!LB15:LD15,"D"))*1))/(COUNTA(LB15:LD15)),"")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(5ème1)'!LG15:LI15,"A"))*4)+((COUNTIF('Elève (5ème1)'!LG15:LI15,"B"))*3)+((COUNTIF('Elève (5ème1)'!LG15:LI15,"C"))*2)+((COUNTIF('Elève (5ème1)'!LG15:LI15,"D"))*1))/(COUNTA(LG15:LI15)),"")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(5ème1)'!LN15:LP15,"A"))*4)+((COUNTIF('Elève (5ème1)'!LN15:LP15,"B"))*3)+((COUNTIF('Elève (5ème1)'!LN15:LP15,"C"))*2)+((COUNTIF('Elève (5ème1)'!LN15:LP15,"D"))*1))/(COUNTA(LN15:LP15)),"")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(5ème1)'!LS15:LU15,"A"))*4)+((COUNTIF('Elève (5ème1)'!LS15:LU15,"B"))*3)+((COUNTIF('Elève (5ème1)'!LS15:LU15,"C"))*2)+((COUNTIF('Elève (5ème1)'!LS15:LU15,"D"))*1))/(COUNTA(LS15:LU15)),"")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(5ème1)'!LX15:LZ15,"A"))*4)+((COUNTIF('Elève (5ème1)'!LX15:LZ15,"B"))*3)+((COUNTIF('Elève (5ème1)'!LX15:LZ15,"C"))*2)+((COUNTIF('Elève (5ème1)'!LX15:LZ15,"D"))*1))/(COUNTA(LX15:LZ15)),"")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(5ème1)'!ME15:MG15,"A"))*4)+((COUNTIF('Elève (5ème1)'!ME15:MG15,"B"))*3)+((COUNTIF('Elève (5ème1)'!ME15:MG15,"C"))*2)+((COUNTIF('Elève (5ème1)'!ME15:MG15,"D"))*1))/(COUNTA(ME15:MG15)),"")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(5ème1)'!MJ15:ML15,"A"))*4)+((COUNTIF('Elève (5ème1)'!MJ15:ML15,"B"))*3)+((COUNTIF('Elève (5ème1)'!MJ15:ML15,"C"))*2)+((COUNTIF('Elève (5ème1)'!MJ15:ML15,"D"))*1))/(COUNTA(MJ15:ML15)),"")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(5ème1)'!MO15:MQ15,"A"))*4)+((COUNTIF('Elève (5ème1)'!MO15:MQ15,"B"))*3)+((COUNTIF('Elève (5ème1)'!MO15:MQ15,"C"))*2)+((COUNTIF('Elève (5ème1)'!MO15:MQ15,"D"))*1))/(COUNTA(MO15:MQ15)),"")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(5ème1)'!MV15:MX15,"A"))*4)+((COUNTIF('Elève (5ème1)'!MV15:MX15,"B"))*3)+((COUNTIF('Elève (5ème1)'!MV15:MX15,"C"))*2)+((COUNTIF('Elève (5ème1)'!MV15:MX15,"D"))*1))/(COUNTA(MV15:MX15)),"")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(5ème1)'!NA15:NC15,"A"))*4)+((COUNTIF('Elève (5ème1)'!NA15:NC15,"B"))*3)+((COUNTIF('Elève (5ème1)'!NA15:NC15,"C"))*2)+((COUNTIF('Elève (5ème1)'!NA15:NC15,"D"))*1))/(COUNTA(NA15:NC15)),"")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(5ème1)'!NF15:NH15,"A"))*4)+((COUNTIF('Elève (5ème1)'!NF15:NH15,"B"))*3)+((COUNTIF('Elève (5ème1)'!NF15:NH15,"C"))*2)+((COUNTIF('Elève (5ème1)'!NF15:NH15,"D"))*1))/(COUNTA(NF15:NH15)),"")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(5ème1)'!NM15:NO15,"A"))*4)+((COUNTIF('Elève (5ème1)'!NM15:NO15,"B"))*3)+((COUNTIF('Elève (5ème1)'!NM15:NO15,"C"))*2)+((COUNTIF('Elève (5ème1)'!NM15:NO15,"D"))*1))/(COUNTA(NM15:NO15)),"")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(5ème1)'!NR15:NT15,"A"))*4)+((COUNTIF('Elève (5ème1)'!NR15:NT15,"B"))*3)+((COUNTIF('Elève (5ème1)'!NR15:NT15,"C"))*2)+((COUNTIF('Elève (5ème1)'!NR15:NT15,"D"))*1))/(COUNTA(NR15:NT15)),"")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(5ème1)'!NW15:NY15,"A"))*4)+((COUNTIF('Elève (5ème1)'!NW15:NY15,"B"))*3)+((COUNTIF('Elève (5ème1)'!NW15:NY15,"C"))*2)+((COUNTIF('Elève (5ème1)'!NW15:NY15,"D"))*1))/(COUNTA(NW15:NY15)),"")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(5ème1)'!OD15:OF15,"A"))*4)+((COUNTIF('Elève (5ème1)'!OD15:OF15,"B"))*3)+((COUNTIF('Elève (5ème1)'!OD15:OF15,"C"))*2)+((COUNTIF('Elève (5ème1)'!OD15:OF15,"D"))*1))/(COUNTA(OD15:OF15)),"")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(5ème1)'!OI15:OK15,"A"))*4)+((COUNTIF('Elève (5ème1)'!OI15:OK15,"B"))*3)+((COUNTIF('Elève (5ème1)'!OI15:OK15,"C"))*2)+((COUNTIF('Elève (5ème1)'!OI15:OK15,"D"))*1))/(COUNTA(OI15:OK15)),"")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(5ème1)'!ON15:OP15,"A"))*4)+((COUNTIF('Elève (5ème1)'!ON15:OP15,"B"))*3)+((COUNTIF('Elève (5ème1)'!ON15:OP15,"C"))*2)+((COUNTIF('Elève (5ème1)'!ON15:OP15,"D"))*1))/(COUNTA(ON15:OP15)),"")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(5ème1)'!OU15:OW15,"A"))*4)+((COUNTIF('Elève (5ème1)'!OU15:OW15,"B"))*3)+((COUNTIF('Elève (5ème1)'!OU15:OW15,"C"))*2)+((COUNTIF('Elève (5ème1)'!OU15:OW15,"D"))*1))/(COUNTA(OU15:OW15)),"")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(5ème1)'!OZ15:PB15,"A"))*4)+((COUNTIF('Elève (5ème1)'!OZ15:PB15,"B"))*3)+((COUNTIF('Elève (5ème1)'!OZ15:PB15,"C"))*2)+((COUNTIF('Elève (5ème1)'!OZ15:PB15,"D"))*1))/(COUNTA(OZ15:PB15)),"")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(5ème1)'!PE15:PG15,"A"))*4)+((COUNTIF('Elève (5ème1)'!PE15:PG15,"B"))*3)+((COUNTIF('Elève (5ème1)'!PE15:PG15,"C"))*2)+((COUNTIF('Elève (5ème1)'!PE15:PG15,"D"))*1))/(COUNTA(PE15:PG15)),"")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(5ème1)'!PL15:PN15,"A"))*4)+((COUNTIF('Elève (5ème1)'!PL15:PN15,"B"))*3)+((COUNTIF('Elève (5ème1)'!PL15:PN15,"C"))*2)+((COUNTIF('Elève (5ème1)'!PL15:PN15,"D"))*1))/(COUNTA(PL15:PN15)),"")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(5ème1)'!PQ15:PS15,"A"))*4)+((COUNTIF('Elève (5ème1)'!PQ15:PS15,"B"))*3)+((COUNTIF('Elève (5ème1)'!PQ15:PS15,"C"))*2)+((COUNTIF('Elève (5ème1)'!PQ15:PS15,"D"))*1))/(COUNTA(PQ15:PS15)),"")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(5ème1)'!PV15:PX15,"A"))*4)+((COUNTIF('Elève (5ème1)'!PV15:PX15,"B"))*3)+((COUNTIF('Elève (5ème1)'!PV15:PX15,"C"))*2)+((COUNTIF('Elève (5ème1)'!PV15:PX15,"D"))*1))/(COUNTA(PV15:PX15)),"")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(5ème1)'!QC15:QE15,"A"))*4)+((COUNTIF('Elève (5ème1)'!QC15:QE15,"B"))*3)+((COUNTIF('Elève (5ème1)'!QC15:QE15,"C"))*2)+((COUNTIF('Elève (5ème1)'!QC15:QE15,"D"))*1))/(COUNTA(QC15:QE15)),"")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(5ème1)'!QH15:QJ15,"A"))*4)+((COUNTIF('Elève (5ème1)'!QH15:QJ15,"B"))*3)+((COUNTIF('Elève (5ème1)'!QH15:QJ15,"C"))*2)+((COUNTIF('Elève (5ème1)'!QH15:QJ15,"D"))*1))/(COUNTA(QH15:QJ15)),"")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(5ème1)'!QM15:QO15,"A"))*4)+((COUNTIF('Elève (5ème1)'!QM15:QO15,"B"))*3)+((COUNTIF('Elève (5ème1)'!QM15:QO15,"C"))*2)+((COUNTIF('Elève (5ème1)'!QM15:QO15,"D"))*1))/(COUNTA(QM15:QO15)),"")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(5ème1)'!QT15:QV15,"A"))*4)+((COUNTIF('Elève (5ème1)'!QT15:QV15,"B"))*3)+((COUNTIF('Elève (5ème1)'!QT15:QV15,"C"))*2)+((COUNTIF('Elève (5ème1)'!QT15:QV15,"D"))*1))/(COUNTA(QT15:QV15)),"")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(5ème1)'!QY15:RA15,"A"))*4)+((COUNTIF('Elève (5ème1)'!QY15:RA15,"B"))*3)+((COUNTIF('Elève (5ème1)'!QY15:RA15,"C"))*2)+((COUNTIF('Elève (5ème1)'!QY15:RA15,"D"))*1))/(COUNTA(QY15:RA15)),"")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(5ème1)'!RD15:RF15,"A"))*4)+((COUNTIF('Elève (5ème1)'!RD15:RF15,"B"))*3)+((COUNTIF('Elève (5ème1)'!RD15:RF15,"C"))*2)+((COUNTIF('Elève (5ème1)'!RD15:RF15,"D"))*1))/(COUNTA(RD15:RF15)),"")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(5ème1)'!RK15:RM15,"A"))*4)+((COUNTIF('Elève (5ème1)'!RK15:RM15,"B"))*3)+((COUNTIF('Elève (5ème1)'!RK15:RM15,"C"))*2)+((COUNTIF('Elève (5ème1)'!RK15:RM15,"D"))*1))/(COUNTA(RK15:RM15)),"")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(5ème1)'!RP15:RR15,"A"))*4)+((COUNTIF('Elève (5ème1)'!RP15:RR15,"B"))*3)+((COUNTIF('Elève (5ème1)'!RP15:RR15,"C"))*2)+((COUNTIF('Elève (5ème1)'!RP15:RR15,"D"))*1))/(COUNTA(RP15:RR15)),"")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(5ème1)'!RU15:RW15,"A"))*4)+((COUNTIF('Elève (5ème1)'!RU15:RW15,"B"))*3)+((COUNTIF('Elève (5ème1)'!RU15:RW15,"C"))*2)+((COUNTIF('Elève (5ème1)'!RU15:RW15,"D"))*1))/(COUNTA(RU15:RW15)),"")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(5ème1)'!SB15:SD15,"A"))*4)+((COUNTIF('Elève (5ème1)'!SB15:SD15,"B"))*3)+((COUNTIF('Elève (5ème1)'!SB15:SD15,"C"))*2)+((COUNTIF('Elève (5ème1)'!SB15:SD15,"D"))*1))/(COUNTA(SB15:SD15)),"")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(5ème1)'!SG15:SI15,"A"))*4)+((COUNTIF('Elève (5ème1)'!SG15:SI15,"B"))*3)+((COUNTIF('Elève (5ème1)'!SG15:SI15,"C"))*2)+((COUNTIF('Elève (5ème1)'!SG15:SI15,"D"))*1))/(COUNTA(SG15:SI15)),"")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(5ème1)'!SL15:SN15,"A"))*4)+((COUNTIF('Elève (5ème1)'!SL15:SN15,"B"))*3)+((COUNTIF('Elève (5ème1)'!SL15:SN15,"C"))*2)+((COUNTIF('Elève (5ème1)'!SL15:SN15,"D"))*1))/(COUNTA(SL15:SN15)),"")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3</v>
      </c>
      <c r="C16" s="152"/>
      <c r="D16" s="185"/>
      <c r="E16" s="185"/>
      <c r="F16" s="106">
        <f>IFERROR((((COUNTIF('Elève (5ème1)'!C17:E19,"A"))*4)+((COUNTIF('Elève (5ème1)'!C17:E19,"B"))*3)+((COUNTIF('Elève (5ème1)'!C17:E19,"C"))*2)+((COUNTIF('Elève (5ème1)'!C17:E19,"D"))*1))/(COUNTA(C17:E19)),"")</f>
        <v>4</v>
      </c>
      <c r="G16" s="107" t="str">
        <f t="shared" si="0"/>
        <v>A</v>
      </c>
      <c r="H16" s="145"/>
      <c r="I16" s="186"/>
      <c r="J16" s="146"/>
      <c r="K16" s="106" t="str">
        <f>IFERROR((((COUNTIF('Elève (5ème1)'!H17:J19,"A"))*4)+((COUNTIF('Elève (5ème1)'!H17:J19,"B"))*3)+((COUNTIF('Elève (5ème1)'!H17:J19,"C"))*2)+((COUNTIF('Elève (5ème1)'!H17:J19,"D"))*1))/(COUNTA(H17:J19)),"")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(5ème1)'!M17:O19,"A"))*4)+((COUNTIF('Elève (5ème1)'!M17:O19,"B"))*3)+((COUNTIF('Elève (5ème1)'!M17:O19,"C"))*2)+((COUNTIF('Elève (5ème1)'!M17:O19,"D"))*1))/(COUNTA(M17:O19)),"")</f>
        <v/>
      </c>
      <c r="Q16" s="128" t="str">
        <f t="shared" si="2"/>
        <v/>
      </c>
      <c r="R16" s="177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>4</v>
      </c>
      <c r="S16" s="130" t="str">
        <f t="shared" si="3"/>
        <v>A</v>
      </c>
      <c r="T16" s="152"/>
      <c r="U16" s="185"/>
      <c r="V16" s="185"/>
      <c r="W16" s="106">
        <f>IFERROR((((COUNTIF('Elève (5ème1)'!T17:V19,"A"))*4)+((COUNTIF('Elève (5ème1)'!T17:V19,"B"))*3)+((COUNTIF('Elève (5ème1)'!T17:V19,"C"))*2)+((COUNTIF('Elève (5ème1)'!T17:V19,"D"))*1))/(COUNTA(T17:V19)),"")</f>
        <v>2</v>
      </c>
      <c r="X16" s="107" t="str">
        <f t="shared" si="4"/>
        <v>C</v>
      </c>
      <c r="Y16" s="145"/>
      <c r="Z16" s="186"/>
      <c r="AA16" s="146"/>
      <c r="AB16" s="106" t="str">
        <f>IFERROR((((COUNTIF('Elève (5ème1)'!Y17:AA19,"A"))*4)+((COUNTIF('Elève (5ème1)'!Y17:AA19,"B"))*3)+((COUNTIF('Elève (5ème1)'!Y17:AA19,"C"))*2)+((COUNTIF('Elève (5ème1)'!Y17:AA19,"D"))*1))/(COUNTA(Y17:AA19)),"")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(5ème1)'!AD17:AF19,"A"))*4)+((COUNTIF('Elève (5ème1)'!AD17:AF19,"B"))*3)+((COUNTIF('Elève (5ème1)'!AD17:AF19,"C"))*2)+((COUNTIF('Elève (5ème1)'!AD17:AF19,"D"))*1))/(COUNTA(AD17:AF19)),"")</f>
        <v/>
      </c>
      <c r="AH16" s="128" t="str">
        <f t="shared" si="6"/>
        <v/>
      </c>
      <c r="AI16" s="177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>2</v>
      </c>
      <c r="AJ16" s="130" t="str">
        <f t="shared" si="7"/>
        <v>C</v>
      </c>
      <c r="AK16" s="152"/>
      <c r="AL16" s="185"/>
      <c r="AM16" s="185"/>
      <c r="AN16" s="106">
        <f>IFERROR((((COUNTIF('Elève (5ème1)'!AK17:AM19,"A"))*4)+((COUNTIF('Elève (5ème1)'!AK17:AM19,"B"))*3)+((COUNTIF('Elève (5ème1)'!AK17:AM19,"C"))*2)+((COUNTIF('Elève (5ème1)'!AK17:AM19,"D"))*1))/(COUNTA(AK17:AM19)),"")</f>
        <v>4</v>
      </c>
      <c r="AO16" s="107" t="str">
        <f t="shared" si="8"/>
        <v>A</v>
      </c>
      <c r="AP16" s="145"/>
      <c r="AQ16" s="186"/>
      <c r="AR16" s="146"/>
      <c r="AS16" s="106" t="str">
        <f>IFERROR((((COUNTIF('Elève (5ème1)'!AP17:AR19,"A"))*4)+((COUNTIF('Elève (5ème1)'!AP17:AR19,"B"))*3)+((COUNTIF('Elève (5ème1)'!AP17:AR19,"C"))*2)+((COUNTIF('Elève (5ème1)'!AP17:AR19,"D"))*1))/(COUNTA(AP17:AR19)),"")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(5ème1)'!AU17:AW19,"A"))*4)+((COUNTIF('Elève (5ème1)'!AU17:AW19,"B"))*3)+((COUNTIF('Elève (5ème1)'!AU17:AW19,"C"))*2)+((COUNTIF('Elève (5ème1)'!AU17:AW19,"D"))*1))/(COUNTA(AU17:AW19)),"")</f>
        <v/>
      </c>
      <c r="AY16" s="128" t="str">
        <f t="shared" si="10"/>
        <v/>
      </c>
      <c r="AZ16" s="177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>4</v>
      </c>
      <c r="BA16" s="130" t="str">
        <f t="shared" si="11"/>
        <v>A</v>
      </c>
      <c r="BB16" s="152"/>
      <c r="BC16" s="185"/>
      <c r="BD16" s="185"/>
      <c r="BE16" s="106">
        <f>IFERROR((((COUNTIF('Elève (5ème1)'!BB17:BD19,"A"))*4)+((COUNTIF('Elève (5ème1)'!BB17:BD19,"B"))*3)+((COUNTIF('Elève (5ème1)'!BB17:BD19,"C"))*2)+((COUNTIF('Elève (5ème1)'!BB17:BD19,"D"))*1))/(COUNTA(BB17:BD19)),"")</f>
        <v>3</v>
      </c>
      <c r="BF16" s="107" t="str">
        <f t="shared" si="12"/>
        <v>B</v>
      </c>
      <c r="BG16" s="145"/>
      <c r="BH16" s="186"/>
      <c r="BI16" s="146"/>
      <c r="BJ16" s="106" t="str">
        <f>IFERROR((((COUNTIF('Elève (5ème1)'!BG17:BI19,"A"))*4)+((COUNTIF('Elève (5ème1)'!BG17:BI19,"B"))*3)+((COUNTIF('Elève (5ème1)'!BG17:BI19,"C"))*2)+((COUNTIF('Elève (5ème1)'!BG17:BI19,"D"))*1))/(COUNTA(BG17:BI19)),"")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(5ème1)'!BL17:BN19,"A"))*4)+((COUNTIF('Elève (5ème1)'!BL17:BN19,"B"))*3)+((COUNTIF('Elève (5ème1)'!BL17:BN19,"C"))*2)+((COUNTIF('Elève (5ème1)'!BL17:BN19,"D"))*1))/(COUNTA(BL17:BN19)),"")</f>
        <v/>
      </c>
      <c r="BP16" s="128" t="str">
        <f t="shared" si="14"/>
        <v/>
      </c>
      <c r="BQ16" s="177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>3</v>
      </c>
      <c r="BR16" s="130" t="str">
        <f t="shared" si="15"/>
        <v>B</v>
      </c>
      <c r="BS16" s="152"/>
      <c r="BT16" s="185"/>
      <c r="BU16" s="185"/>
      <c r="BV16" s="106">
        <f>IFERROR((((COUNTIF('Elève (5ème1)'!BS17:BU19,"A"))*4)+((COUNTIF('Elève (5ème1)'!BS17:BU19,"B"))*3)+((COUNTIF('Elève (5ème1)'!BS17:BU19,"C"))*2)+((COUNTIF('Elève (5ème1)'!BS17:BU19,"D"))*1))/(COUNTA(BS17:BU19)),"")</f>
        <v>4</v>
      </c>
      <c r="BW16" s="107" t="str">
        <f t="shared" si="16"/>
        <v>A</v>
      </c>
      <c r="BX16" s="145"/>
      <c r="BY16" s="186"/>
      <c r="BZ16" s="146"/>
      <c r="CA16" s="106" t="str">
        <f>IFERROR((((COUNTIF('Elève (5ème1)'!BX17:BZ19,"A"))*4)+((COUNTIF('Elève (5ème1)'!BX17:BZ19,"B"))*3)+((COUNTIF('Elève (5ème1)'!BX17:BZ19,"C"))*2)+((COUNTIF('Elève (5ème1)'!BX17:BZ19,"D"))*1))/(COUNTA(BX17:BZ19)),"")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(5ème1)'!CC17:CE19,"A"))*4)+((COUNTIF('Elève (5ème1)'!CC17:CE19,"B"))*3)+((COUNTIF('Elève (5ème1)'!CC17:CE19,"C"))*2)+((COUNTIF('Elève (5ème1)'!CC17:CE19,"D"))*1))/(COUNTA(CC17:CE19)),"")</f>
        <v/>
      </c>
      <c r="CG16" s="128" t="str">
        <f t="shared" si="18"/>
        <v/>
      </c>
      <c r="CH16" s="177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>4</v>
      </c>
      <c r="CI16" s="130" t="str">
        <f t="shared" si="19"/>
        <v>A</v>
      </c>
      <c r="CJ16" s="152"/>
      <c r="CK16" s="185"/>
      <c r="CL16" s="185"/>
      <c r="CM16" s="106">
        <f>IFERROR((((COUNTIF('Elève (5ème1)'!CJ17:CL19,"A"))*4)+((COUNTIF('Elève (5ème1)'!CJ17:CL19,"B"))*3)+((COUNTIF('Elève (5ème1)'!CJ17:CL19,"C"))*2)+((COUNTIF('Elève (5ème1)'!CJ17:CL19,"D"))*1))/(COUNTA(CJ17:CL19)),"")</f>
        <v>4</v>
      </c>
      <c r="CN16" s="107" t="str">
        <f t="shared" si="20"/>
        <v>A</v>
      </c>
      <c r="CO16" s="145"/>
      <c r="CP16" s="186"/>
      <c r="CQ16" s="146"/>
      <c r="CR16" s="106" t="str">
        <f>IFERROR((((COUNTIF('Elève (5ème1)'!CO17:CQ19,"A"))*4)+((COUNTIF('Elève (5ème1)'!CO17:CQ19,"B"))*3)+((COUNTIF('Elève (5ème1)'!CO17:CQ19,"C"))*2)+((COUNTIF('Elève (5ème1)'!CO17:CQ19,"D"))*1))/(COUNTA(CO17:CQ19)),"")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(5ème1)'!CT17:CV19,"A"))*4)+((COUNTIF('Elève (5ème1)'!CT17:CV19,"B"))*3)+((COUNTIF('Elève (5ème1)'!CT17:CV19,"C"))*2)+((COUNTIF('Elève (5ème1)'!CT17:CV19,"D"))*1))/(COUNTA(CT17:CV19)),"")</f>
        <v/>
      </c>
      <c r="CX16" s="128" t="str">
        <f t="shared" si="22"/>
        <v/>
      </c>
      <c r="CY16" s="177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>4</v>
      </c>
      <c r="CZ16" s="130" t="str">
        <f t="shared" si="23"/>
        <v>A</v>
      </c>
      <c r="DA16" s="152"/>
      <c r="DB16" s="185"/>
      <c r="DC16" s="185"/>
      <c r="DD16" s="106">
        <f>IFERROR((((COUNTIF('Elève (5ème1)'!DA17:DC19,"A"))*4)+((COUNTIF('Elève (5ème1)'!DA17:DC19,"B"))*3)+((COUNTIF('Elève (5ème1)'!DA17:DC19,"C"))*2)+((COUNTIF('Elève (5ème1)'!DA17:DC19,"D"))*1))/(COUNTA(DA17:DC19)),"")</f>
        <v>3</v>
      </c>
      <c r="DE16" s="107" t="str">
        <f t="shared" si="24"/>
        <v>B</v>
      </c>
      <c r="DF16" s="145"/>
      <c r="DG16" s="186"/>
      <c r="DH16" s="146"/>
      <c r="DI16" s="106" t="str">
        <f>IFERROR((((COUNTIF('Elève (5ème1)'!DF17:DH19,"A"))*4)+((COUNTIF('Elève (5ème1)'!DF17:DH19,"B"))*3)+((COUNTIF('Elève (5ème1)'!DF17:DH19,"C"))*2)+((COUNTIF('Elève (5ème1)'!DF17:DH19,"D"))*1))/(COUNTA(DF17:DH19)),"")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(5ème1)'!DK17:DM19,"A"))*4)+((COUNTIF('Elève (5ème1)'!DK17:DM19,"B"))*3)+((COUNTIF('Elève (5ème1)'!DK17:DM19,"C"))*2)+((COUNTIF('Elève (5ème1)'!DK17:DM19,"D"))*1))/(COUNTA(DK17:DM19)),"")</f>
        <v/>
      </c>
      <c r="DO16" s="128" t="str">
        <f t="shared" si="26"/>
        <v/>
      </c>
      <c r="DP16" s="177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>3</v>
      </c>
      <c r="DQ16" s="130" t="str">
        <f t="shared" si="27"/>
        <v>B</v>
      </c>
      <c r="DR16" s="152"/>
      <c r="DS16" s="185"/>
      <c r="DT16" s="185"/>
      <c r="DU16" s="106">
        <f>IFERROR((((COUNTIF('Elève (5ème1)'!DR17:DT19,"A"))*4)+((COUNTIF('Elève (5ème1)'!DR17:DT19,"B"))*3)+((COUNTIF('Elève (5ème1)'!DR17:DT19,"C"))*2)+((COUNTIF('Elève (5ème1)'!DR17:DT19,"D"))*1))/(COUNTA(DR17:DT19)),"")</f>
        <v>4</v>
      </c>
      <c r="DV16" s="107" t="str">
        <f t="shared" si="28"/>
        <v>A</v>
      </c>
      <c r="DW16" s="145"/>
      <c r="DX16" s="186"/>
      <c r="DY16" s="146"/>
      <c r="DZ16" s="106" t="str">
        <f>IFERROR((((COUNTIF('Elève (5ème1)'!DW17:DY19,"A"))*4)+((COUNTIF('Elève (5ème1)'!DW17:DY19,"B"))*3)+((COUNTIF('Elève (5ème1)'!DW17:DY19,"C"))*2)+((COUNTIF('Elève (5ème1)'!DW17:DY19,"D"))*1))/(COUNTA(DW17:DY19)),"")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(5ème1)'!EB17:ED19,"A"))*4)+((COUNTIF('Elève (5ème1)'!EB17:ED19,"B"))*3)+((COUNTIF('Elève (5ème1)'!EB17:ED19,"C"))*2)+((COUNTIF('Elève (5ème1)'!EB17:ED19,"D"))*1))/(COUNTA(EB17:ED19)),"")</f>
        <v/>
      </c>
      <c r="EF16" s="128" t="str">
        <f t="shared" si="30"/>
        <v/>
      </c>
      <c r="EG16" s="177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>4</v>
      </c>
      <c r="EH16" s="130" t="str">
        <f t="shared" si="31"/>
        <v>A</v>
      </c>
      <c r="EI16" s="152"/>
      <c r="EJ16" s="185"/>
      <c r="EK16" s="185"/>
      <c r="EL16" s="106">
        <f>IFERROR((((COUNTIF('Elève (5ème1)'!EI17:EK19,"A"))*4)+((COUNTIF('Elève (5ème1)'!EI17:EK19,"B"))*3)+((COUNTIF('Elève (5ème1)'!EI17:EK19,"C"))*2)+((COUNTIF('Elève (5ème1)'!EI17:EK19,"D"))*1))/(COUNTA(EI17:EK19)),"")</f>
        <v>4</v>
      </c>
      <c r="EM16" s="107" t="str">
        <f t="shared" si="32"/>
        <v>A</v>
      </c>
      <c r="EN16" s="145"/>
      <c r="EO16" s="186"/>
      <c r="EP16" s="146"/>
      <c r="EQ16" s="106" t="str">
        <f>IFERROR((((COUNTIF('Elève (5ème1)'!EN17:EP19,"A"))*4)+((COUNTIF('Elève (5ème1)'!EN17:EP19,"B"))*3)+((COUNTIF('Elève (5ème1)'!EN17:EP19,"C"))*2)+((COUNTIF('Elève (5ème1)'!EN17:EP19,"D"))*1))/(COUNTA(EN17:EP19)),"")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(5ème1)'!ES17:EU19,"A"))*4)+((COUNTIF('Elève (5ème1)'!ES17:EU19,"B"))*3)+((COUNTIF('Elève (5ème1)'!ES17:EU19,"C"))*2)+((COUNTIF('Elève (5ème1)'!ES17:EU19,"D"))*1))/(COUNTA(ES17:EU19)),"")</f>
        <v/>
      </c>
      <c r="EW16" s="128" t="str">
        <f t="shared" si="34"/>
        <v/>
      </c>
      <c r="EX16" s="177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>4</v>
      </c>
      <c r="EY16" s="130" t="str">
        <f t="shared" si="35"/>
        <v>A</v>
      </c>
      <c r="EZ16" s="152"/>
      <c r="FA16" s="185"/>
      <c r="FB16" s="185"/>
      <c r="FC16" s="106">
        <f>IFERROR((((COUNTIF('Elève (5ème1)'!EZ17:FB19,"A"))*4)+((COUNTIF('Elève (5ème1)'!EZ17:FB19,"B"))*3)+((COUNTIF('Elève (5ème1)'!EZ17:FB19,"C"))*2)+((COUNTIF('Elève (5ème1)'!EZ17:FB19,"D"))*1))/(COUNTA(EZ17:FB19)),"")</f>
        <v>3</v>
      </c>
      <c r="FD16" s="107" t="str">
        <f t="shared" si="36"/>
        <v>B</v>
      </c>
      <c r="FE16" s="145"/>
      <c r="FF16" s="186"/>
      <c r="FG16" s="146"/>
      <c r="FH16" s="106" t="str">
        <f>IFERROR((((COUNTIF('Elève (5ème1)'!FE17:FG19,"A"))*4)+((COUNTIF('Elève (5ème1)'!FE17:FG19,"B"))*3)+((COUNTIF('Elève (5ème1)'!FE17:FG19,"C"))*2)+((COUNTIF('Elève (5ème1)'!FE17:FG19,"D"))*1))/(COUNTA(FE17:FG19)),"")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(5ème1)'!FJ17:FL19,"A"))*4)+((COUNTIF('Elève (5ème1)'!FJ17:FL19,"B"))*3)+((COUNTIF('Elève (5ème1)'!FJ17:FL19,"C"))*2)+((COUNTIF('Elève (5ème1)'!FJ17:FL19,"D"))*1))/(COUNTA(FJ17:FL19)),"")</f>
        <v/>
      </c>
      <c r="FN16" s="128" t="str">
        <f t="shared" si="38"/>
        <v/>
      </c>
      <c r="FO16" s="177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>3</v>
      </c>
      <c r="FP16" s="130" t="str">
        <f t="shared" si="39"/>
        <v>B</v>
      </c>
      <c r="FQ16" s="152"/>
      <c r="FR16" s="185"/>
      <c r="FS16" s="185"/>
      <c r="FT16" s="106">
        <f>IFERROR((((COUNTIF('Elève (5ème1)'!FQ17:FS19,"A"))*4)+((COUNTIF('Elève (5ème1)'!FQ17:FS19,"B"))*3)+((COUNTIF('Elève (5ème1)'!FQ17:FS19,"C"))*2)+((COUNTIF('Elève (5ème1)'!FQ17:FS19,"D"))*1))/(COUNTA(FQ17:FS19)),"")</f>
        <v>3</v>
      </c>
      <c r="FU16" s="107" t="str">
        <f t="shared" si="40"/>
        <v>B</v>
      </c>
      <c r="FV16" s="145"/>
      <c r="FW16" s="186"/>
      <c r="FX16" s="146"/>
      <c r="FY16" s="106" t="str">
        <f>IFERROR((((COUNTIF('Elève (5ème1)'!FV17:FX19,"A"))*4)+((COUNTIF('Elève (5ème1)'!FV17:FX19,"B"))*3)+((COUNTIF('Elève (5ème1)'!FV17:FX19,"C"))*2)+((COUNTIF('Elève (5ème1)'!FV17:FX19,"D"))*1))/(COUNTA(FV17:FX19)),"")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(5ème1)'!GA17:GC19,"A"))*4)+((COUNTIF('Elève (5ème1)'!GA17:GC19,"B"))*3)+((COUNTIF('Elève (5ème1)'!GA17:GC19,"C"))*2)+((COUNTIF('Elève (5ème1)'!GA17:GC19,"D"))*1))/(COUNTA(GA17:GC19)),"")</f>
        <v/>
      </c>
      <c r="GE16" s="128" t="str">
        <f t="shared" si="42"/>
        <v/>
      </c>
      <c r="GF16" s="177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>3</v>
      </c>
      <c r="GG16" s="130" t="str">
        <f t="shared" si="43"/>
        <v>B</v>
      </c>
      <c r="GH16" s="152"/>
      <c r="GI16" s="185"/>
      <c r="GJ16" s="185"/>
      <c r="GK16" s="106">
        <f>IFERROR((((COUNTIF('Elève (5ème1)'!GH17:GJ19,"A"))*4)+((COUNTIF('Elève (5ème1)'!GH17:GJ19,"B"))*3)+((COUNTIF('Elève (5ème1)'!GH17:GJ19,"C"))*2)+((COUNTIF('Elève (5ème1)'!GH17:GJ19,"D"))*1))/(COUNTA(GH17:GJ19)),"")</f>
        <v>3</v>
      </c>
      <c r="GL16" s="107" t="str">
        <f t="shared" si="44"/>
        <v>B</v>
      </c>
      <c r="GM16" s="145"/>
      <c r="GN16" s="186"/>
      <c r="GO16" s="146"/>
      <c r="GP16" s="106" t="str">
        <f>IFERROR((((COUNTIF('Elève (5ème1)'!GM17:GO19,"A"))*4)+((COUNTIF('Elève (5ème1)'!GM17:GO19,"B"))*3)+((COUNTIF('Elève (5ème1)'!GM17:GO19,"C"))*2)+((COUNTIF('Elève (5ème1)'!GM17:GO19,"D"))*1))/(COUNTA(GM17:GO19)),"")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(5ème1)'!GR17:GT19,"A"))*4)+((COUNTIF('Elève (5ème1)'!GR17:GT19,"B"))*3)+((COUNTIF('Elève (5ème1)'!GR17:GT19,"C"))*2)+((COUNTIF('Elève (5ème1)'!GR17:GT19,"D"))*1))/(COUNTA(GR17:GT19)),"")</f>
        <v/>
      </c>
      <c r="GV16" s="128" t="str">
        <f t="shared" si="46"/>
        <v/>
      </c>
      <c r="GW16" s="177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>3</v>
      </c>
      <c r="GX16" s="130" t="str">
        <f t="shared" si="47"/>
        <v>B</v>
      </c>
      <c r="GY16" s="152"/>
      <c r="GZ16" s="185"/>
      <c r="HA16" s="185"/>
      <c r="HB16" s="106">
        <f>IFERROR((((COUNTIF('Elève (5ème1)'!GY17:HA19,"A"))*4)+((COUNTIF('Elève (5ème1)'!GY17:HA19,"B"))*3)+((COUNTIF('Elève (5ème1)'!GY17:HA19,"C"))*2)+((COUNTIF('Elève (5ème1)'!GY17:HA19,"D"))*1))/(COUNTA(GY17:HA19)),"")</f>
        <v>3</v>
      </c>
      <c r="HC16" s="107" t="str">
        <f t="shared" si="48"/>
        <v>B</v>
      </c>
      <c r="HD16" s="145"/>
      <c r="HE16" s="186"/>
      <c r="HF16" s="146"/>
      <c r="HG16" s="106" t="str">
        <f>IFERROR((((COUNTIF('Elève (5ème1)'!HD17:HF19,"A"))*4)+((COUNTIF('Elève (5ème1)'!HD17:HF19,"B"))*3)+((COUNTIF('Elève (5ème1)'!HD17:HF19,"C"))*2)+((COUNTIF('Elève (5ème1)'!HD17:HF19,"D"))*1))/(COUNTA(HD17:HF19)),"")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(5ème1)'!HI17:HK19,"A"))*4)+((COUNTIF('Elève (5ème1)'!HI17:HK19,"B"))*3)+((COUNTIF('Elève (5ème1)'!HI17:HK19,"C"))*2)+((COUNTIF('Elève (5ème1)'!HI17:HK19,"D"))*1))/(COUNTA(HI17:HK19)),"")</f>
        <v/>
      </c>
      <c r="HM16" s="128" t="str">
        <f t="shared" si="50"/>
        <v/>
      </c>
      <c r="HN16" s="177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>3</v>
      </c>
      <c r="HO16" s="130" t="str">
        <f t="shared" si="51"/>
        <v>B</v>
      </c>
      <c r="HP16" s="152"/>
      <c r="HQ16" s="185"/>
      <c r="HR16" s="185"/>
      <c r="HS16" s="106">
        <f>IFERROR((((COUNTIF('Elève (5ème1)'!HP17:HR19,"A"))*4)+((COUNTIF('Elève (5ème1)'!HP17:HR19,"B"))*3)+((COUNTIF('Elève (5ème1)'!HP17:HR19,"C"))*2)+((COUNTIF('Elève (5ème1)'!HP17:HR19,"D"))*1))/(COUNTA(HP17:HR19)),"")</f>
        <v>3</v>
      </c>
      <c r="HT16" s="107" t="str">
        <f t="shared" si="52"/>
        <v>B</v>
      </c>
      <c r="HU16" s="145"/>
      <c r="HV16" s="186"/>
      <c r="HW16" s="146"/>
      <c r="HX16" s="106" t="str">
        <f>IFERROR((((COUNTIF('Elève (5ème1)'!HU17:HW19,"A"))*4)+((COUNTIF('Elève (5ème1)'!HU17:HW19,"B"))*3)+((COUNTIF('Elève (5ème1)'!HU17:HW19,"C"))*2)+((COUNTIF('Elève (5ème1)'!HU17:HW19,"D"))*1))/(COUNTA(HU17:HW19)),"")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(5ème1)'!HZ17:IB19,"A"))*4)+((COUNTIF('Elève (5ème1)'!HZ17:IB19,"B"))*3)+((COUNTIF('Elève (5ème1)'!HZ17:IB19,"C"))*2)+((COUNTIF('Elève (5ème1)'!HZ17:IB19,"D"))*1))/(COUNTA(HZ17:IB19)),"")</f>
        <v/>
      </c>
      <c r="ID16" s="128" t="str">
        <f t="shared" si="54"/>
        <v/>
      </c>
      <c r="IE16" s="177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>3</v>
      </c>
      <c r="IF16" s="130" t="str">
        <f t="shared" si="55"/>
        <v>B</v>
      </c>
      <c r="IG16" s="152"/>
      <c r="IH16" s="185"/>
      <c r="II16" s="185"/>
      <c r="IJ16" s="106">
        <f>IFERROR((((COUNTIF('Elève (5ème1)'!IG17:II19,"A"))*4)+((COUNTIF('Elève (5ème1)'!IG17:II19,"B"))*3)+((COUNTIF('Elève (5ème1)'!IG17:II19,"C"))*2)+((COUNTIF('Elève (5ème1)'!IG17:II19,"D"))*1))/(COUNTA(IG17:II19)),"")</f>
        <v>4</v>
      </c>
      <c r="IK16" s="107" t="str">
        <f t="shared" si="56"/>
        <v>A</v>
      </c>
      <c r="IL16" s="145"/>
      <c r="IM16" s="186"/>
      <c r="IN16" s="146"/>
      <c r="IO16" s="106" t="str">
        <f>IFERROR((((COUNTIF('Elève (5ème1)'!IL17:IN19,"A"))*4)+((COUNTIF('Elève (5ème1)'!IL17:IN19,"B"))*3)+((COUNTIF('Elève (5ème1)'!IL17:IN19,"C"))*2)+((COUNTIF('Elève (5ème1)'!IL17:IN19,"D"))*1))/(COUNTA(IL17:IN19)),"")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(5ème1)'!IQ17:IS19,"A"))*4)+((COUNTIF('Elève (5ème1)'!IQ17:IS19,"B"))*3)+((COUNTIF('Elève (5ème1)'!IQ17:IS19,"C"))*2)+((COUNTIF('Elève (5ème1)'!IQ17:IS19,"D"))*1))/(COUNTA(IQ17:IS19)),"")</f>
        <v/>
      </c>
      <c r="IU16" s="128" t="str">
        <f t="shared" si="58"/>
        <v/>
      </c>
      <c r="IV16" s="177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>4</v>
      </c>
      <c r="IW16" s="130" t="str">
        <f t="shared" si="59"/>
        <v>A</v>
      </c>
      <c r="IX16" s="152"/>
      <c r="IY16" s="185"/>
      <c r="IZ16" s="185"/>
      <c r="JA16" s="106">
        <f>IFERROR((((COUNTIF('Elève (5ème1)'!IX17:IZ19,"A"))*4)+((COUNTIF('Elève (5ème1)'!IX17:IZ19,"B"))*3)+((COUNTIF('Elève (5ème1)'!IX17:IZ19,"C"))*2)+((COUNTIF('Elève (5ème1)'!IX17:IZ19,"D"))*1))/(COUNTA(IX17:IZ19)),"")</f>
        <v>4</v>
      </c>
      <c r="JB16" s="107" t="str">
        <f t="shared" si="60"/>
        <v>A</v>
      </c>
      <c r="JC16" s="145"/>
      <c r="JD16" s="186"/>
      <c r="JE16" s="146"/>
      <c r="JF16" s="106" t="str">
        <f>IFERROR((((COUNTIF('Elève (5ème1)'!JC17:JE19,"A"))*4)+((COUNTIF('Elève (5ème1)'!JC17:JE19,"B"))*3)+((COUNTIF('Elève (5ème1)'!JC17:JE19,"C"))*2)+((COUNTIF('Elève (5ème1)'!JC17:JE19,"D"))*1))/(COUNTA(JC17:JE19)),"")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(5ème1)'!JH17:JJ19,"A"))*4)+((COUNTIF('Elève (5ème1)'!JH17:JJ19,"B"))*3)+((COUNTIF('Elève (5ème1)'!JH17:JJ19,"C"))*2)+((COUNTIF('Elève (5ème1)'!JH17:JJ19,"D"))*1))/(COUNTA(JH17:JJ19)),"")</f>
        <v/>
      </c>
      <c r="JL16" s="128" t="str">
        <f t="shared" si="62"/>
        <v/>
      </c>
      <c r="JM16" s="177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>4</v>
      </c>
      <c r="JN16" s="130" t="str">
        <f t="shared" si="63"/>
        <v>A</v>
      </c>
      <c r="JO16" s="152"/>
      <c r="JP16" s="185"/>
      <c r="JQ16" s="185"/>
      <c r="JR16" s="106">
        <f>IFERROR((((COUNTIF('Elève (5ème1)'!JO17:JQ19,"A"))*4)+((COUNTIF('Elève (5ème1)'!JO17:JQ19,"B"))*3)+((COUNTIF('Elève (5ème1)'!JO17:JQ19,"C"))*2)+((COUNTIF('Elève (5ème1)'!JO17:JQ19,"D"))*1))/(COUNTA(JO17:JQ19)),"")</f>
        <v>4</v>
      </c>
      <c r="JS16" s="107" t="str">
        <f t="shared" si="64"/>
        <v>A</v>
      </c>
      <c r="JT16" s="145"/>
      <c r="JU16" s="186"/>
      <c r="JV16" s="146"/>
      <c r="JW16" s="106" t="str">
        <f>IFERROR((((COUNTIF('Elève (5ème1)'!JT17:JV19,"A"))*4)+((COUNTIF('Elève (5ème1)'!JT17:JV19,"B"))*3)+((COUNTIF('Elève (5ème1)'!JT17:JV19,"C"))*2)+((COUNTIF('Elève (5ème1)'!JT17:JV19,"D"))*1))/(COUNTA(JT17:JV19)),"")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(5ème1)'!JY17:KA19,"A"))*4)+((COUNTIF('Elève (5ème1)'!JY17:KA19,"B"))*3)+((COUNTIF('Elève (5ème1)'!JY17:KA19,"C"))*2)+((COUNTIF('Elève (5ème1)'!JY17:KA19,"D"))*1))/(COUNTA(JY17:KA19)),"")</f>
        <v/>
      </c>
      <c r="KC16" s="128" t="str">
        <f t="shared" si="66"/>
        <v/>
      </c>
      <c r="KD16" s="177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>4</v>
      </c>
      <c r="KE16" s="130" t="str">
        <f t="shared" si="67"/>
        <v>A</v>
      </c>
      <c r="KF16" s="152"/>
      <c r="KG16" s="185"/>
      <c r="KH16" s="185"/>
      <c r="KI16" s="106">
        <f>IFERROR((((COUNTIF('Elève (5ème1)'!KF17:KH19,"A"))*4)+((COUNTIF('Elève (5ème1)'!KF17:KH19,"B"))*3)+((COUNTIF('Elève (5ème1)'!KF17:KH19,"C"))*2)+((COUNTIF('Elève (5ème1)'!KF17:KH19,"D"))*1))/(COUNTA(KF17:KH19)),"")</f>
        <v>4</v>
      </c>
      <c r="KJ16" s="107" t="str">
        <f t="shared" si="68"/>
        <v>A</v>
      </c>
      <c r="KK16" s="145"/>
      <c r="KL16" s="186"/>
      <c r="KM16" s="146"/>
      <c r="KN16" s="106" t="str">
        <f>IFERROR((((COUNTIF('Elève (5ème1)'!KK17:KM19,"A"))*4)+((COUNTIF('Elève (5ème1)'!KK17:KM19,"B"))*3)+((COUNTIF('Elève (5ème1)'!KK17:KM19,"C"))*2)+((COUNTIF('Elève (5ème1)'!KK17:KM19,"D"))*1))/(COUNTA(KK17:KM19)),"")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(5ème1)'!KP17:KR19,"A"))*4)+((COUNTIF('Elève (5ème1)'!KP17:KR19,"B"))*3)+((COUNTIF('Elève (5ème1)'!KP17:KR19,"C"))*2)+((COUNTIF('Elève (5ème1)'!KP17:KR19,"D"))*1))/(COUNTA(KP17:KR19)),"")</f>
        <v/>
      </c>
      <c r="KT16" s="128" t="str">
        <f t="shared" si="70"/>
        <v/>
      </c>
      <c r="KU16" s="177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>4</v>
      </c>
      <c r="KV16" s="130" t="str">
        <f t="shared" si="71"/>
        <v>A</v>
      </c>
      <c r="KW16" s="152"/>
      <c r="KX16" s="185"/>
      <c r="KY16" s="185"/>
      <c r="KZ16" s="106">
        <f>IFERROR((((COUNTIF('Elève (5ème1)'!KW17:KY19,"A"))*4)+((COUNTIF('Elève (5ème1)'!KW17:KY19,"B"))*3)+((COUNTIF('Elève (5ème1)'!KW17:KY19,"C"))*2)+((COUNTIF('Elève (5ème1)'!KW17:KY19,"D"))*1))/(COUNTA(KW17:KY19)),"")</f>
        <v>3</v>
      </c>
      <c r="LA16" s="107" t="str">
        <f t="shared" si="72"/>
        <v>B</v>
      </c>
      <c r="LB16" s="145"/>
      <c r="LC16" s="186"/>
      <c r="LD16" s="146"/>
      <c r="LE16" s="106" t="str">
        <f>IFERROR((((COUNTIF('Elève (5ème1)'!LB17:LD19,"A"))*4)+((COUNTIF('Elève (5ème1)'!LB17:LD19,"B"))*3)+((COUNTIF('Elève (5ème1)'!LB17:LD19,"C"))*2)+((COUNTIF('Elève (5ème1)'!LB17:LD19,"D"))*1))/(COUNTA(LB17:LD19)),"")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(5ème1)'!LG17:LI19,"A"))*4)+((COUNTIF('Elève (5ème1)'!LG17:LI19,"B"))*3)+((COUNTIF('Elève (5ème1)'!LG17:LI19,"C"))*2)+((COUNTIF('Elève (5ème1)'!LG17:LI19,"D"))*1))/(COUNTA(LG17:LI19)),"")</f>
        <v/>
      </c>
      <c r="LK16" s="128" t="str">
        <f t="shared" si="74"/>
        <v/>
      </c>
      <c r="LL16" s="177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>3</v>
      </c>
      <c r="LM16" s="130" t="str">
        <f t="shared" si="75"/>
        <v>B</v>
      </c>
      <c r="LN16" s="152"/>
      <c r="LO16" s="185"/>
      <c r="LP16" s="185"/>
      <c r="LQ16" s="106">
        <f>IFERROR((((COUNTIF('Elève (5ème1)'!LN17:LP19,"A"))*4)+((COUNTIF('Elève (5ème1)'!LN17:LP19,"B"))*3)+((COUNTIF('Elève (5ème1)'!LN17:LP19,"C"))*2)+((COUNTIF('Elève (5ème1)'!LN17:LP19,"D"))*1))/(COUNTA(LN17:LP19)),"")</f>
        <v>4</v>
      </c>
      <c r="LR16" s="107" t="str">
        <f t="shared" si="76"/>
        <v>A</v>
      </c>
      <c r="LS16" s="145"/>
      <c r="LT16" s="186"/>
      <c r="LU16" s="146"/>
      <c r="LV16" s="106" t="str">
        <f>IFERROR((((COUNTIF('Elève (5ème1)'!LS17:LU19,"A"))*4)+((COUNTIF('Elève (5ème1)'!LS17:LU19,"B"))*3)+((COUNTIF('Elève (5ème1)'!LS17:LU19,"C"))*2)+((COUNTIF('Elève (5ème1)'!LS17:LU19,"D"))*1))/(COUNTA(LS17:LU19)),"")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(5ème1)'!LX17:LZ19,"A"))*4)+((COUNTIF('Elève (5ème1)'!LX17:LZ19,"B"))*3)+((COUNTIF('Elève (5ème1)'!LX17:LZ19,"C"))*2)+((COUNTIF('Elève (5ème1)'!LX17:LZ19,"D"))*1))/(COUNTA(LX17:LZ19)),"")</f>
        <v/>
      </c>
      <c r="MB16" s="128" t="str">
        <f t="shared" si="78"/>
        <v/>
      </c>
      <c r="MC16" s="177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>4</v>
      </c>
      <c r="MD16" s="130" t="str">
        <f t="shared" si="79"/>
        <v>A</v>
      </c>
      <c r="ME16" s="152"/>
      <c r="MF16" s="185"/>
      <c r="MG16" s="185"/>
      <c r="MH16" s="106">
        <f>IFERROR((((COUNTIF('Elève (5ème1)'!ME17:MG19,"A"))*4)+((COUNTIF('Elève (5ème1)'!ME17:MG19,"B"))*3)+((COUNTIF('Elève (5ème1)'!ME17:MG19,"C"))*2)+((COUNTIF('Elève (5ème1)'!ME17:MG19,"D"))*1))/(COUNTA(ME17:MG19)),"")</f>
        <v>3</v>
      </c>
      <c r="MI16" s="107" t="str">
        <f t="shared" si="80"/>
        <v>B</v>
      </c>
      <c r="MJ16" s="145"/>
      <c r="MK16" s="186"/>
      <c r="ML16" s="146"/>
      <c r="MM16" s="106" t="str">
        <f>IFERROR((((COUNTIF('Elève (5ème1)'!MJ17:ML19,"A"))*4)+((COUNTIF('Elève (5ème1)'!MJ17:ML19,"B"))*3)+((COUNTIF('Elève (5ème1)'!MJ17:ML19,"C"))*2)+((COUNTIF('Elève (5ème1)'!MJ17:ML19,"D"))*1))/(COUNTA(MJ17:ML19)),"")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(5ème1)'!MO17:MQ19,"A"))*4)+((COUNTIF('Elève (5ème1)'!MO17:MQ19,"B"))*3)+((COUNTIF('Elève (5ème1)'!MO17:MQ19,"C"))*2)+((COUNTIF('Elève (5ème1)'!MO17:MQ19,"D"))*1))/(COUNTA(MO17:MQ19)),"")</f>
        <v/>
      </c>
      <c r="MS16" s="128" t="str">
        <f t="shared" si="82"/>
        <v/>
      </c>
      <c r="MT16" s="177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>3</v>
      </c>
      <c r="MU16" s="130" t="str">
        <f t="shared" si="83"/>
        <v>B</v>
      </c>
      <c r="MV16" s="152"/>
      <c r="MW16" s="185"/>
      <c r="MX16" s="185"/>
      <c r="MY16" s="106">
        <f>IFERROR((((COUNTIF('Elève (5ème1)'!MV17:MX19,"A"))*4)+((COUNTIF('Elève (5ème1)'!MV17:MX19,"B"))*3)+((COUNTIF('Elève (5ème1)'!MV17:MX19,"C"))*2)+((COUNTIF('Elève (5ème1)'!MV17:MX19,"D"))*1))/(COUNTA(MV17:MX19)),"")</f>
        <v>3</v>
      </c>
      <c r="MZ16" s="107" t="str">
        <f t="shared" si="84"/>
        <v>B</v>
      </c>
      <c r="NA16" s="145"/>
      <c r="NB16" s="186"/>
      <c r="NC16" s="146"/>
      <c r="ND16" s="106" t="str">
        <f>IFERROR((((COUNTIF('Elève (5ème1)'!NA17:NC19,"A"))*4)+((COUNTIF('Elève (5ème1)'!NA17:NC19,"B"))*3)+((COUNTIF('Elève (5ème1)'!NA17:NC19,"C"))*2)+((COUNTIF('Elève (5ème1)'!NA17:NC19,"D"))*1))/(COUNTA(NA17:NC19)),"")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(5ème1)'!NF17:NH19,"A"))*4)+((COUNTIF('Elève (5ème1)'!NF17:NH19,"B"))*3)+((COUNTIF('Elève (5ème1)'!NF17:NH19,"C"))*2)+((COUNTIF('Elève (5ème1)'!NF17:NH19,"D"))*1))/(COUNTA(NF17:NH19)),"")</f>
        <v/>
      </c>
      <c r="NJ16" s="128" t="str">
        <f t="shared" si="86"/>
        <v/>
      </c>
      <c r="NK16" s="177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>3</v>
      </c>
      <c r="NL16" s="130" t="str">
        <f t="shared" si="87"/>
        <v>B</v>
      </c>
      <c r="NM16" s="152"/>
      <c r="NN16" s="185"/>
      <c r="NO16" s="185"/>
      <c r="NP16" s="106">
        <f>IFERROR((((COUNTIF('Elève (5ème1)'!NM17:NO19,"A"))*4)+((COUNTIF('Elève (5ème1)'!NM17:NO19,"B"))*3)+((COUNTIF('Elève (5ème1)'!NM17:NO19,"C"))*2)+((COUNTIF('Elève (5ème1)'!NM17:NO19,"D"))*1))/(COUNTA(NM17:NO19)),"")</f>
        <v>2</v>
      </c>
      <c r="NQ16" s="107" t="str">
        <f t="shared" si="88"/>
        <v>C</v>
      </c>
      <c r="NR16" s="145"/>
      <c r="NS16" s="186"/>
      <c r="NT16" s="146"/>
      <c r="NU16" s="106" t="str">
        <f>IFERROR((((COUNTIF('Elève (5ème1)'!NR17:NT19,"A"))*4)+((COUNTIF('Elève (5ème1)'!NR17:NT19,"B"))*3)+((COUNTIF('Elève (5ème1)'!NR17:NT19,"C"))*2)+((COUNTIF('Elève (5ème1)'!NR17:NT19,"D"))*1))/(COUNTA(NR17:NT19)),"")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(5ème1)'!NW17:NY19,"A"))*4)+((COUNTIF('Elève (5ème1)'!NW17:NY19,"B"))*3)+((COUNTIF('Elève (5ème1)'!NW17:NY19,"C"))*2)+((COUNTIF('Elève (5ème1)'!NW17:NY19,"D"))*1))/(COUNTA(NW17:NY19)),"")</f>
        <v/>
      </c>
      <c r="OA16" s="128" t="str">
        <f t="shared" si="90"/>
        <v/>
      </c>
      <c r="OB16" s="177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>2</v>
      </c>
      <c r="OC16" s="130" t="str">
        <f t="shared" si="91"/>
        <v>C</v>
      </c>
      <c r="OD16" s="152"/>
      <c r="OE16" s="185"/>
      <c r="OF16" s="185"/>
      <c r="OG16" s="106">
        <f>IFERROR((((COUNTIF('Elève (5ème1)'!OD17:OF19,"A"))*4)+((COUNTIF('Elève (5ème1)'!OD17:OF19,"B"))*3)+((COUNTIF('Elève (5ème1)'!OD17:OF19,"C"))*2)+((COUNTIF('Elève (5ème1)'!OD17:OF19,"D"))*1))/(COUNTA(OD17:OF19)),"")</f>
        <v>4</v>
      </c>
      <c r="OH16" s="107" t="str">
        <f t="shared" si="92"/>
        <v>A</v>
      </c>
      <c r="OI16" s="145"/>
      <c r="OJ16" s="186"/>
      <c r="OK16" s="146"/>
      <c r="OL16" s="106" t="str">
        <f>IFERROR((((COUNTIF('Elève (5ème1)'!OI17:OK19,"A"))*4)+((COUNTIF('Elève (5ème1)'!OI17:OK19,"B"))*3)+((COUNTIF('Elève (5ème1)'!OI17:OK19,"C"))*2)+((COUNTIF('Elève (5ème1)'!OI17:OK19,"D"))*1))/(COUNTA(OI17:OK19)),"")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(5ème1)'!ON17:OP19,"A"))*4)+((COUNTIF('Elève (5ème1)'!ON17:OP19,"B"))*3)+((COUNTIF('Elève (5ème1)'!ON17:OP19,"C"))*2)+((COUNTIF('Elève (5ème1)'!ON17:OP19,"D"))*1))/(COUNTA(ON17:OP19)),"")</f>
        <v/>
      </c>
      <c r="OR16" s="128" t="str">
        <f t="shared" si="94"/>
        <v/>
      </c>
      <c r="OS16" s="177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>4</v>
      </c>
      <c r="OT16" s="130" t="str">
        <f t="shared" si="95"/>
        <v>A</v>
      </c>
      <c r="OU16" s="152"/>
      <c r="OV16" s="185"/>
      <c r="OW16" s="185"/>
      <c r="OX16" s="106">
        <f>IFERROR((((COUNTIF('Elève (5ème1)'!OU17:OW19,"A"))*4)+((COUNTIF('Elève (5ème1)'!OU17:OW19,"B"))*3)+((COUNTIF('Elève (5ème1)'!OU17:OW19,"C"))*2)+((COUNTIF('Elève (5ème1)'!OU17:OW19,"D"))*1))/(COUNTA(OU17:OW19)),"")</f>
        <v>3</v>
      </c>
      <c r="OY16" s="107" t="str">
        <f t="shared" si="96"/>
        <v>B</v>
      </c>
      <c r="OZ16" s="145"/>
      <c r="PA16" s="186"/>
      <c r="PB16" s="146"/>
      <c r="PC16" s="106" t="str">
        <f>IFERROR((((COUNTIF('Elève (5ème1)'!OZ17:PB19,"A"))*4)+((COUNTIF('Elève (5ème1)'!OZ17:PB19,"B"))*3)+((COUNTIF('Elève (5ème1)'!OZ17:PB19,"C"))*2)+((COUNTIF('Elève (5ème1)'!OZ17:PB19,"D"))*1))/(COUNTA(OZ17:PB19)),"")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(5ème1)'!PE17:PG19,"A"))*4)+((COUNTIF('Elève (5ème1)'!PE17:PG19,"B"))*3)+((COUNTIF('Elève (5ème1)'!PE17:PG19,"C"))*2)+((COUNTIF('Elève (5ème1)'!PE17:PG19,"D"))*1))/(COUNTA(PE17:PG19)),"")</f>
        <v/>
      </c>
      <c r="PI16" s="128" t="str">
        <f t="shared" si="98"/>
        <v/>
      </c>
      <c r="PJ16" s="177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>3</v>
      </c>
      <c r="PK16" s="130" t="str">
        <f t="shared" si="99"/>
        <v>B</v>
      </c>
      <c r="PL16" s="152"/>
      <c r="PM16" s="185"/>
      <c r="PN16" s="185"/>
      <c r="PO16" s="106">
        <f>IFERROR((((COUNTIF('Elève (5ème1)'!PL17:PN19,"A"))*4)+((COUNTIF('Elève (5ème1)'!PL17:PN19,"B"))*3)+((COUNTIF('Elève (5ème1)'!PL17:PN19,"C"))*2)+((COUNTIF('Elève (5ème1)'!PL17:PN19,"D"))*1))/(COUNTA(PL17:PN19)),"")</f>
        <v>2</v>
      </c>
      <c r="PP16" s="107" t="str">
        <f t="shared" si="100"/>
        <v>C</v>
      </c>
      <c r="PQ16" s="145"/>
      <c r="PR16" s="186"/>
      <c r="PS16" s="146"/>
      <c r="PT16" s="106" t="str">
        <f>IFERROR((((COUNTIF('Elève (5ème1)'!PQ17:PS19,"A"))*4)+((COUNTIF('Elève (5ème1)'!PQ17:PS19,"B"))*3)+((COUNTIF('Elève (5ème1)'!PQ17:PS19,"C"))*2)+((COUNTIF('Elève (5ème1)'!PQ17:PS19,"D"))*1))/(COUNTA(PQ17:PS19)),"")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(5ème1)'!PV17:PX19,"A"))*4)+((COUNTIF('Elève (5ème1)'!PV17:PX19,"B"))*3)+((COUNTIF('Elève (5ème1)'!PV17:PX19,"C"))*2)+((COUNTIF('Elève (5ème1)'!PV17:PX19,"D"))*1))/(COUNTA(PV17:PX19)),"")</f>
        <v/>
      </c>
      <c r="PZ16" s="128" t="str">
        <f t="shared" si="102"/>
        <v/>
      </c>
      <c r="QA16" s="177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>2</v>
      </c>
      <c r="QB16" s="130" t="str">
        <f t="shared" si="103"/>
        <v>C</v>
      </c>
      <c r="QC16" s="152"/>
      <c r="QD16" s="185"/>
      <c r="QE16" s="185"/>
      <c r="QF16" s="106">
        <f>IFERROR((((COUNTIF('Elève (5ème1)'!QC17:QE19,"A"))*4)+((COUNTIF('Elève (5ème1)'!QC17:QE19,"B"))*3)+((COUNTIF('Elève (5ème1)'!QC17:QE19,"C"))*2)+((COUNTIF('Elève (5ème1)'!QC17:QE19,"D"))*1))/(COUNTA(QC17:QE19)),"")</f>
        <v>3</v>
      </c>
      <c r="QG16" s="107" t="str">
        <f t="shared" si="104"/>
        <v>B</v>
      </c>
      <c r="QH16" s="145"/>
      <c r="QI16" s="186"/>
      <c r="QJ16" s="146"/>
      <c r="QK16" s="106" t="str">
        <f>IFERROR((((COUNTIF('Elève (5ème1)'!QH17:QJ19,"A"))*4)+((COUNTIF('Elève (5ème1)'!QH17:QJ19,"B"))*3)+((COUNTIF('Elève (5ème1)'!QH17:QJ19,"C"))*2)+((COUNTIF('Elève (5ème1)'!QH17:QJ19,"D"))*1))/(COUNTA(QH17:QJ19)),"")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(5ème1)'!QM17:QO19,"A"))*4)+((COUNTIF('Elève (5ème1)'!QM17:QO19,"B"))*3)+((COUNTIF('Elève (5ème1)'!QM17:QO19,"C"))*2)+((COUNTIF('Elève (5ème1)'!QM17:QO19,"D"))*1))/(COUNTA(QM17:QO19)),"")</f>
        <v/>
      </c>
      <c r="QQ16" s="128" t="str">
        <f t="shared" si="106"/>
        <v/>
      </c>
      <c r="QR16" s="177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>3</v>
      </c>
      <c r="QS16" s="130" t="str">
        <f t="shared" si="107"/>
        <v>B</v>
      </c>
      <c r="QT16" s="152"/>
      <c r="QU16" s="185"/>
      <c r="QV16" s="185"/>
      <c r="QW16" s="106">
        <f>IFERROR((((COUNTIF('Elève (5ème1)'!QT17:QV19,"A"))*4)+((COUNTIF('Elève (5ème1)'!QT17:QV19,"B"))*3)+((COUNTIF('Elève (5ème1)'!QT17:QV19,"C"))*2)+((COUNTIF('Elève (5ème1)'!QT17:QV19,"D"))*1))/(COUNTA(QT17:QV19)),"")</f>
        <v>4</v>
      </c>
      <c r="QX16" s="107" t="str">
        <f t="shared" si="108"/>
        <v>A</v>
      </c>
      <c r="QY16" s="145"/>
      <c r="QZ16" s="186"/>
      <c r="RA16" s="146"/>
      <c r="RB16" s="106" t="str">
        <f>IFERROR((((COUNTIF('Elève (5ème1)'!QY17:RA19,"A"))*4)+((COUNTIF('Elève (5ème1)'!QY17:RA19,"B"))*3)+((COUNTIF('Elève (5ème1)'!QY17:RA19,"C"))*2)+((COUNTIF('Elève (5ème1)'!QY17:RA19,"D"))*1))/(COUNTA(QY17:RA19)),"")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(5ème1)'!RD17:RF19,"A"))*4)+((COUNTIF('Elève (5ème1)'!RD17:RF19,"B"))*3)+((COUNTIF('Elève (5ème1)'!RD17:RF19,"C"))*2)+((COUNTIF('Elève (5ème1)'!RD17:RF19,"D"))*1))/(COUNTA(RD17:RF19)),"")</f>
        <v/>
      </c>
      <c r="RH16" s="128" t="str">
        <f t="shared" si="110"/>
        <v/>
      </c>
      <c r="RI16" s="177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>4</v>
      </c>
      <c r="RJ16" s="130" t="str">
        <f t="shared" si="111"/>
        <v>A</v>
      </c>
      <c r="RK16" s="152"/>
      <c r="RL16" s="185"/>
      <c r="RM16" s="185"/>
      <c r="RN16" s="106">
        <f>IFERROR((((COUNTIF('Elève (5ème1)'!RK17:RM19,"A"))*4)+((COUNTIF('Elève (5ème1)'!RK17:RM19,"B"))*3)+((COUNTIF('Elève (5ème1)'!RK17:RM19,"C"))*2)+((COUNTIF('Elève (5ème1)'!RK17:RM19,"D"))*1))/(COUNTA(RK17:RM19)),"")</f>
        <v>4</v>
      </c>
      <c r="RO16" s="107" t="str">
        <f t="shared" si="112"/>
        <v>A</v>
      </c>
      <c r="RP16" s="145"/>
      <c r="RQ16" s="186"/>
      <c r="RR16" s="146"/>
      <c r="RS16" s="106" t="str">
        <f>IFERROR((((COUNTIF('Elève (5ème1)'!RP17:RR19,"A"))*4)+((COUNTIF('Elève (5ème1)'!RP17:RR19,"B"))*3)+((COUNTIF('Elève (5ème1)'!RP17:RR19,"C"))*2)+((COUNTIF('Elève (5ème1)'!RP17:RR19,"D"))*1))/(COUNTA(RP17:RR19)),"")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(5ème1)'!RU17:RW19,"A"))*4)+((COUNTIF('Elève (5ème1)'!RU17:RW19,"B"))*3)+((COUNTIF('Elève (5ème1)'!RU17:RW19,"C"))*2)+((COUNTIF('Elève (5ème1)'!RU17:RW19,"D"))*1))/(COUNTA(RU17:RW19)),"")</f>
        <v/>
      </c>
      <c r="RY16" s="128" t="str">
        <f t="shared" si="114"/>
        <v/>
      </c>
      <c r="RZ16" s="177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>4</v>
      </c>
      <c r="SA16" s="130" t="str">
        <f t="shared" si="115"/>
        <v>A</v>
      </c>
      <c r="SB16" s="152"/>
      <c r="SC16" s="185"/>
      <c r="SD16" s="185"/>
      <c r="SE16" s="106">
        <f>IFERROR((((COUNTIF('Elève (5ème1)'!SB17:SD19,"A"))*4)+((COUNTIF('Elève (5ème1)'!SB17:SD19,"B"))*3)+((COUNTIF('Elève (5ème1)'!SB17:SD19,"C"))*2)+((COUNTIF('Elève (5ème1)'!SB17:SD19,"D"))*1))/(COUNTA(SB17:SD19)),"")</f>
        <v>4</v>
      </c>
      <c r="SF16" s="107" t="str">
        <f t="shared" si="116"/>
        <v>A</v>
      </c>
      <c r="SG16" s="145"/>
      <c r="SH16" s="186"/>
      <c r="SI16" s="146"/>
      <c r="SJ16" s="106" t="str">
        <f>IFERROR((((COUNTIF('Elève (5ème1)'!SG17:SI19,"A"))*4)+((COUNTIF('Elève (5ème1)'!SG17:SI19,"B"))*3)+((COUNTIF('Elève (5ème1)'!SG17:SI19,"C"))*2)+((COUNTIF('Elève (5ème1)'!SG17:SI19,"D"))*1))/(COUNTA(SG17:SI19)),"")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(5ème1)'!SL17:SN19,"A"))*4)+((COUNTIF('Elève (5ème1)'!SL17:SN19,"B"))*3)+((COUNTIF('Elève (5ème1)'!SL17:SN19,"C"))*2)+((COUNTIF('Elève (5ème1)'!SL17:SN19,"D"))*1))/(COUNTA(SL17:SN19)),"")</f>
        <v/>
      </c>
      <c r="SP16" s="128" t="str">
        <f t="shared" si="118"/>
        <v/>
      </c>
      <c r="SQ16" s="177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>4</v>
      </c>
      <c r="SR16" s="130" t="str">
        <f t="shared" si="119"/>
        <v>A</v>
      </c>
    </row>
    <row r="17" spans="1:512" s="72" customFormat="1" ht="18" customHeight="1" x14ac:dyDescent="0.25">
      <c r="A17" s="221" t="s">
        <v>21</v>
      </c>
      <c r="B17" s="222"/>
      <c r="C17" s="156" t="s">
        <v>27</v>
      </c>
      <c r="D17" s="157"/>
      <c r="E17" s="158"/>
      <c r="F17" s="108">
        <f>IFERROR((((COUNTIF('Elève (5ème1)'!C17:E17,"A"))*4)+((COUNTIF('Elève (5ème1)'!C17:E17,"B"))*3)+((COUNTIF('Elève (5ème1)'!C17:E17,"C"))*2)+((COUNTIF('Elève (5ème1)'!C17:E17,"D"))*1))/(COUNTA(C17:E17)),"")</f>
        <v>4</v>
      </c>
      <c r="G17" s="109" t="str">
        <f t="shared" si="0"/>
        <v>A</v>
      </c>
      <c r="H17" s="81"/>
      <c r="I17" s="82"/>
      <c r="J17" s="83"/>
      <c r="K17" s="108" t="str">
        <f>IFERROR((((COUNTIF('Elève (5ème1)'!H17:J17,"A"))*4)+((COUNTIF('Elève (5ème1)'!H17:J17,"B"))*3)+((COUNTIF('Elève (5ème1)'!H17:J17,"C"))*2)+((COUNTIF('Elève (5ème1)'!H17:J17,"D"))*1))/(COUNTA(H17:J17)),"")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(5ème1)'!M17:O17,"A"))*4)+((COUNTIF('Elève (5ème1)'!M17:O17,"B"))*3)+((COUNTIF('Elève (5ème1)'!M17:O17,"C"))*2)+((COUNTIF('Elève (5ème1)'!M17:O17,"D"))*1))/(COUNTA(M17:O17)),"")</f>
        <v/>
      </c>
      <c r="Q17" s="109" t="str">
        <f t="shared" si="2"/>
        <v/>
      </c>
      <c r="R17" s="178">
        <f>IF(COUNT(F17,K17,P17)=0,"",SUM(F17,K17,P17)/COUNT(F17,K17,P17))</f>
        <v>4</v>
      </c>
      <c r="S17" s="134" t="str">
        <f t="shared" si="3"/>
        <v>A</v>
      </c>
      <c r="T17" s="156" t="s">
        <v>29</v>
      </c>
      <c r="U17" s="157"/>
      <c r="V17" s="158"/>
      <c r="W17" s="108">
        <f>IFERROR((((COUNTIF('Elève (5ème1)'!T17:V17,"A"))*4)+((COUNTIF('Elève (5ème1)'!T17:V17,"B"))*3)+((COUNTIF('Elève (5ème1)'!T17:V17,"C"))*2)+((COUNTIF('Elève (5ème1)'!T17:V17,"D"))*1))/(COUNTA(T17:V17)),"")</f>
        <v>2</v>
      </c>
      <c r="X17" s="109" t="str">
        <f t="shared" si="4"/>
        <v>C</v>
      </c>
      <c r="Y17" s="81"/>
      <c r="Z17" s="82"/>
      <c r="AA17" s="83"/>
      <c r="AB17" s="108" t="str">
        <f>IFERROR((((COUNTIF('Elève (5ème1)'!Y17:AA17,"A"))*4)+((COUNTIF('Elève (5ème1)'!Y17:AA17,"B"))*3)+((COUNTIF('Elève (5ème1)'!Y17:AA17,"C"))*2)+((COUNTIF('Elève (5ème1)'!Y17:AA17,"D"))*1))/(COUNTA(Y17:AA17)),"")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(5ème1)'!AD17:AF17,"A"))*4)+((COUNTIF('Elève (5ème1)'!AD17:AF17,"B"))*3)+((COUNTIF('Elève (5ème1)'!AD17:AF17,"C"))*2)+((COUNTIF('Elève (5ème1)'!AD17:AF17,"D"))*1))/(COUNTA(AD17:AF17)),"")</f>
        <v/>
      </c>
      <c r="AH17" s="109" t="str">
        <f t="shared" si="6"/>
        <v/>
      </c>
      <c r="AI17" s="178">
        <f>IF(COUNT(W17,AB17,AG17)=0,"",SUM(W17,AB17,AG17)/COUNT(W17,AB17,AG17))</f>
        <v>2</v>
      </c>
      <c r="AJ17" s="134" t="str">
        <f t="shared" si="7"/>
        <v>C</v>
      </c>
      <c r="AK17" s="156" t="s">
        <v>27</v>
      </c>
      <c r="AL17" s="157"/>
      <c r="AM17" s="158"/>
      <c r="AN17" s="108">
        <f>IFERROR((((COUNTIF('Elève (5ème1)'!AK17:AM17,"A"))*4)+((COUNTIF('Elève (5ème1)'!AK17:AM17,"B"))*3)+((COUNTIF('Elève (5ème1)'!AK17:AM17,"C"))*2)+((COUNTIF('Elève (5ème1)'!AK17:AM17,"D"))*1))/(COUNTA(AK17:AM17)),"")</f>
        <v>4</v>
      </c>
      <c r="AO17" s="109" t="str">
        <f t="shared" si="8"/>
        <v>A</v>
      </c>
      <c r="AP17" s="81"/>
      <c r="AQ17" s="82"/>
      <c r="AR17" s="83"/>
      <c r="AS17" s="108" t="str">
        <f>IFERROR((((COUNTIF('Elève (5ème1)'!AP17:AR17,"A"))*4)+((COUNTIF('Elève (5ème1)'!AP17:AR17,"B"))*3)+((COUNTIF('Elève (5ème1)'!AP17:AR17,"C"))*2)+((COUNTIF('Elève (5ème1)'!AP17:AR17,"D"))*1))/(COUNTA(AP17:AR17)),"")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(5ème1)'!AU17:AW17,"A"))*4)+((COUNTIF('Elève (5ème1)'!AU17:AW17,"B"))*3)+((COUNTIF('Elève (5ème1)'!AU17:AW17,"C"))*2)+((COUNTIF('Elève (5ème1)'!AU17:AW17,"D"))*1))/(COUNTA(AU17:AW17)),"")</f>
        <v/>
      </c>
      <c r="AY17" s="109" t="str">
        <f t="shared" si="10"/>
        <v/>
      </c>
      <c r="AZ17" s="178">
        <f>IF(COUNT(AN17,AS17,AX17)=0,"",SUM(AN17,AS17,AX17)/COUNT(AN17,AS17,AX17))</f>
        <v>4</v>
      </c>
      <c r="BA17" s="134" t="str">
        <f t="shared" si="11"/>
        <v>A</v>
      </c>
      <c r="BB17" s="156" t="s">
        <v>28</v>
      </c>
      <c r="BC17" s="157"/>
      <c r="BD17" s="158"/>
      <c r="BE17" s="108">
        <f>IFERROR((((COUNTIF('Elève (5ème1)'!BB17:BD17,"A"))*4)+((COUNTIF('Elève (5ème1)'!BB17:BD17,"B"))*3)+((COUNTIF('Elève (5ème1)'!BB17:BD17,"C"))*2)+((COUNTIF('Elève (5ème1)'!BB17:BD17,"D"))*1))/(COUNTA(BB17:BD17)),"")</f>
        <v>3</v>
      </c>
      <c r="BF17" s="109" t="str">
        <f t="shared" si="12"/>
        <v>B</v>
      </c>
      <c r="BG17" s="81"/>
      <c r="BH17" s="82"/>
      <c r="BI17" s="83"/>
      <c r="BJ17" s="108" t="str">
        <f>IFERROR((((COUNTIF('Elève (5ème1)'!BG17:BI17,"A"))*4)+((COUNTIF('Elève (5ème1)'!BG17:BI17,"B"))*3)+((COUNTIF('Elève (5ème1)'!BG17:BI17,"C"))*2)+((COUNTIF('Elève (5ème1)'!BG17:BI17,"D"))*1))/(COUNTA(BG17:BI17)),"")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(5ème1)'!BL17:BN17,"A"))*4)+((COUNTIF('Elève (5ème1)'!BL17:BN17,"B"))*3)+((COUNTIF('Elève (5ème1)'!BL17:BN17,"C"))*2)+((COUNTIF('Elève (5ème1)'!BL17:BN17,"D"))*1))/(COUNTA(BL17:BN17)),"")</f>
        <v/>
      </c>
      <c r="BP17" s="109" t="str">
        <f t="shared" si="14"/>
        <v/>
      </c>
      <c r="BQ17" s="178">
        <f>IF(COUNT(BE17,BJ17,BO17)=0,"",SUM(BE17,BJ17,BO17)/COUNT(BE17,BJ17,BO17))</f>
        <v>3</v>
      </c>
      <c r="BR17" s="134" t="str">
        <f t="shared" si="15"/>
        <v>B</v>
      </c>
      <c r="BS17" s="156" t="s">
        <v>27</v>
      </c>
      <c r="BT17" s="157"/>
      <c r="BU17" s="158"/>
      <c r="BV17" s="108">
        <f>IFERROR((((COUNTIF('Elève (5ème1)'!BS17:BU17,"A"))*4)+((COUNTIF('Elève (5ème1)'!BS17:BU17,"B"))*3)+((COUNTIF('Elève (5ème1)'!BS17:BU17,"C"))*2)+((COUNTIF('Elève (5ème1)'!BS17:BU17,"D"))*1))/(COUNTA(BS17:BU17)),"")</f>
        <v>4</v>
      </c>
      <c r="BW17" s="109" t="str">
        <f t="shared" si="16"/>
        <v>A</v>
      </c>
      <c r="BX17" s="81"/>
      <c r="BY17" s="82"/>
      <c r="BZ17" s="83"/>
      <c r="CA17" s="108" t="str">
        <f>IFERROR((((COUNTIF('Elève (5ème1)'!BX17:BZ17,"A"))*4)+((COUNTIF('Elève (5ème1)'!BX17:BZ17,"B"))*3)+((COUNTIF('Elève (5ème1)'!BX17:BZ17,"C"))*2)+((COUNTIF('Elève (5ème1)'!BX17:BZ17,"D"))*1))/(COUNTA(BX17:BZ17)),"")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(5ème1)'!CC17:CE17,"A"))*4)+((COUNTIF('Elève (5ème1)'!CC17:CE17,"B"))*3)+((COUNTIF('Elève (5ème1)'!CC17:CE17,"C"))*2)+((COUNTIF('Elève (5ème1)'!CC17:CE17,"D"))*1))/(COUNTA(CC17:CE17)),"")</f>
        <v/>
      </c>
      <c r="CG17" s="109" t="str">
        <f t="shared" si="18"/>
        <v/>
      </c>
      <c r="CH17" s="178">
        <f>IF(COUNT(BV17,CA17,CF17)=0,"",SUM(BV17,CA17,CF17)/COUNT(BV17,CA17,CF17))</f>
        <v>4</v>
      </c>
      <c r="CI17" s="134" t="str">
        <f t="shared" si="19"/>
        <v>A</v>
      </c>
      <c r="CJ17" s="156" t="s">
        <v>27</v>
      </c>
      <c r="CK17" s="157"/>
      <c r="CL17" s="158"/>
      <c r="CM17" s="108">
        <f>IFERROR((((COUNTIF('Elève (5ème1)'!CJ17:CL17,"A"))*4)+((COUNTIF('Elève (5ème1)'!CJ17:CL17,"B"))*3)+((COUNTIF('Elève (5ème1)'!CJ17:CL17,"C"))*2)+((COUNTIF('Elève (5ème1)'!CJ17:CL17,"D"))*1))/(COUNTA(CJ17:CL17)),"")</f>
        <v>4</v>
      </c>
      <c r="CN17" s="109" t="str">
        <f t="shared" si="20"/>
        <v>A</v>
      </c>
      <c r="CO17" s="81"/>
      <c r="CP17" s="82"/>
      <c r="CQ17" s="83"/>
      <c r="CR17" s="108" t="str">
        <f>IFERROR((((COUNTIF('Elève (5ème1)'!CO17:CQ17,"A"))*4)+((COUNTIF('Elève (5ème1)'!CO17:CQ17,"B"))*3)+((COUNTIF('Elève (5ème1)'!CO17:CQ17,"C"))*2)+((COUNTIF('Elève (5ème1)'!CO17:CQ17,"D"))*1))/(COUNTA(CO17:CQ17)),"")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(5ème1)'!CT17:CV17,"A"))*4)+((COUNTIF('Elève (5ème1)'!CT17:CV17,"B"))*3)+((COUNTIF('Elève (5ème1)'!CT17:CV17,"C"))*2)+((COUNTIF('Elève (5ème1)'!CT17:CV17,"D"))*1))/(COUNTA(CT17:CV17)),"")</f>
        <v/>
      </c>
      <c r="CX17" s="109" t="str">
        <f t="shared" si="22"/>
        <v/>
      </c>
      <c r="CY17" s="178">
        <f>IF(COUNT(CM17,CR17,CW17)=0,"",SUM(CM17,CR17,CW17)/COUNT(CM17,CR17,CW17))</f>
        <v>4</v>
      </c>
      <c r="CZ17" s="134" t="str">
        <f t="shared" si="23"/>
        <v>A</v>
      </c>
      <c r="DA17" s="156" t="s">
        <v>28</v>
      </c>
      <c r="DB17" s="157"/>
      <c r="DC17" s="158"/>
      <c r="DD17" s="108">
        <f>IFERROR((((COUNTIF('Elève (5ème1)'!DA17:DC17,"A"))*4)+((COUNTIF('Elève (5ème1)'!DA17:DC17,"B"))*3)+((COUNTIF('Elève (5ème1)'!DA17:DC17,"C"))*2)+((COUNTIF('Elève (5ème1)'!DA17:DC17,"D"))*1))/(COUNTA(DA17:DC17)),"")</f>
        <v>3</v>
      </c>
      <c r="DE17" s="109" t="str">
        <f t="shared" si="24"/>
        <v>B</v>
      </c>
      <c r="DF17" s="81"/>
      <c r="DG17" s="82"/>
      <c r="DH17" s="83"/>
      <c r="DI17" s="108" t="str">
        <f>IFERROR((((COUNTIF('Elève (5ème1)'!DF17:DH17,"A"))*4)+((COUNTIF('Elève (5ème1)'!DF17:DH17,"B"))*3)+((COUNTIF('Elève (5ème1)'!DF17:DH17,"C"))*2)+((COUNTIF('Elève (5ème1)'!DF17:DH17,"D"))*1))/(COUNTA(DF17:DH17)),"")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(5ème1)'!DK17:DM17,"A"))*4)+((COUNTIF('Elève (5ème1)'!DK17:DM17,"B"))*3)+((COUNTIF('Elève (5ème1)'!DK17:DM17,"C"))*2)+((COUNTIF('Elève (5ème1)'!DK17:DM17,"D"))*1))/(COUNTA(DK17:DM17)),"")</f>
        <v/>
      </c>
      <c r="DO17" s="109" t="str">
        <f t="shared" si="26"/>
        <v/>
      </c>
      <c r="DP17" s="178">
        <f>IF(COUNT(DD17,DI17,DN17)=0,"",SUM(DD17,DI17,DN17)/COUNT(DD17,DI17,DN17))</f>
        <v>3</v>
      </c>
      <c r="DQ17" s="134" t="str">
        <f t="shared" si="27"/>
        <v>B</v>
      </c>
      <c r="DR17" s="156" t="s">
        <v>27</v>
      </c>
      <c r="DS17" s="157"/>
      <c r="DT17" s="158"/>
      <c r="DU17" s="108">
        <f>IFERROR((((COUNTIF('Elève (5ème1)'!DR17:DT17,"A"))*4)+((COUNTIF('Elève (5ème1)'!DR17:DT17,"B"))*3)+((COUNTIF('Elève (5ème1)'!DR17:DT17,"C"))*2)+((COUNTIF('Elève (5ème1)'!DR17:DT17,"D"))*1))/(COUNTA(DR17:DT17)),"")</f>
        <v>4</v>
      </c>
      <c r="DV17" s="109" t="str">
        <f t="shared" si="28"/>
        <v>A</v>
      </c>
      <c r="DW17" s="81"/>
      <c r="DX17" s="82"/>
      <c r="DY17" s="83"/>
      <c r="DZ17" s="108" t="str">
        <f>IFERROR((((COUNTIF('Elève (5ème1)'!DW17:DY17,"A"))*4)+((COUNTIF('Elève (5ème1)'!DW17:DY17,"B"))*3)+((COUNTIF('Elève (5ème1)'!DW17:DY17,"C"))*2)+((COUNTIF('Elève (5ème1)'!DW17:DY17,"D"))*1))/(COUNTA(DW17:DY17)),"")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(5ème1)'!EB17:ED17,"A"))*4)+((COUNTIF('Elève (5ème1)'!EB17:ED17,"B"))*3)+((COUNTIF('Elève (5ème1)'!EB17:ED17,"C"))*2)+((COUNTIF('Elève (5ème1)'!EB17:ED17,"D"))*1))/(COUNTA(EB17:ED17)),"")</f>
        <v/>
      </c>
      <c r="EF17" s="109" t="str">
        <f t="shared" si="30"/>
        <v/>
      </c>
      <c r="EG17" s="178">
        <f>IF(COUNT(DU17,DZ17,EE17)=0,"",SUM(DU17,DZ17,EE17)/COUNT(DU17,DZ17,EE17))</f>
        <v>4</v>
      </c>
      <c r="EH17" s="134" t="str">
        <f t="shared" si="31"/>
        <v>A</v>
      </c>
      <c r="EI17" s="156" t="s">
        <v>27</v>
      </c>
      <c r="EJ17" s="157"/>
      <c r="EK17" s="158"/>
      <c r="EL17" s="108">
        <f>IFERROR((((COUNTIF('Elève (5ème1)'!EI17:EK17,"A"))*4)+((COUNTIF('Elève (5ème1)'!EI17:EK17,"B"))*3)+((COUNTIF('Elève (5ème1)'!EI17:EK17,"C"))*2)+((COUNTIF('Elève (5ème1)'!EI17:EK17,"D"))*1))/(COUNTA(EI17:EK17)),"")</f>
        <v>4</v>
      </c>
      <c r="EM17" s="109" t="str">
        <f t="shared" si="32"/>
        <v>A</v>
      </c>
      <c r="EN17" s="81"/>
      <c r="EO17" s="82"/>
      <c r="EP17" s="83"/>
      <c r="EQ17" s="108" t="str">
        <f>IFERROR((((COUNTIF('Elève (5ème1)'!EN17:EP17,"A"))*4)+((COUNTIF('Elève (5ème1)'!EN17:EP17,"B"))*3)+((COUNTIF('Elève (5ème1)'!EN17:EP17,"C"))*2)+((COUNTIF('Elève (5ème1)'!EN17:EP17,"D"))*1))/(COUNTA(EN17:EP17)),"")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(5ème1)'!ES17:EU17,"A"))*4)+((COUNTIF('Elève (5ème1)'!ES17:EU17,"B"))*3)+((COUNTIF('Elève (5ème1)'!ES17:EU17,"C"))*2)+((COUNTIF('Elève (5ème1)'!ES17:EU17,"D"))*1))/(COUNTA(ES17:EU17)),"")</f>
        <v/>
      </c>
      <c r="EW17" s="109" t="str">
        <f t="shared" si="34"/>
        <v/>
      </c>
      <c r="EX17" s="178">
        <f>IF(COUNT(EL17,EQ17,EV17)=0,"",SUM(EL17,EQ17,EV17)/COUNT(EL17,EQ17,EV17))</f>
        <v>4</v>
      </c>
      <c r="EY17" s="134" t="str">
        <f t="shared" si="35"/>
        <v>A</v>
      </c>
      <c r="EZ17" s="156" t="s">
        <v>28</v>
      </c>
      <c r="FA17" s="157"/>
      <c r="FB17" s="158"/>
      <c r="FC17" s="108">
        <f>IFERROR((((COUNTIF('Elève (5ème1)'!EZ17:FB17,"A"))*4)+((COUNTIF('Elève (5ème1)'!EZ17:FB17,"B"))*3)+((COUNTIF('Elève (5ème1)'!EZ17:FB17,"C"))*2)+((COUNTIF('Elève (5ème1)'!EZ17:FB17,"D"))*1))/(COUNTA(EZ17:FB17)),"")</f>
        <v>3</v>
      </c>
      <c r="FD17" s="109" t="str">
        <f t="shared" si="36"/>
        <v>B</v>
      </c>
      <c r="FE17" s="81"/>
      <c r="FF17" s="82"/>
      <c r="FG17" s="83"/>
      <c r="FH17" s="108" t="str">
        <f>IFERROR((((COUNTIF('Elève (5ème1)'!FE17:FG17,"A"))*4)+((COUNTIF('Elève (5ème1)'!FE17:FG17,"B"))*3)+((COUNTIF('Elève (5ème1)'!FE17:FG17,"C"))*2)+((COUNTIF('Elève (5ème1)'!FE17:FG17,"D"))*1))/(COUNTA(FE17:FG17)),"")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(5ème1)'!FJ17:FL17,"A"))*4)+((COUNTIF('Elève (5ème1)'!FJ17:FL17,"B"))*3)+((COUNTIF('Elève (5ème1)'!FJ17:FL17,"C"))*2)+((COUNTIF('Elève (5ème1)'!FJ17:FL17,"D"))*1))/(COUNTA(FJ17:FL17)),"")</f>
        <v/>
      </c>
      <c r="FN17" s="109" t="str">
        <f t="shared" si="38"/>
        <v/>
      </c>
      <c r="FO17" s="178">
        <f>IF(COUNT(FC17,FH17,FM17)=0,"",SUM(FC17,FH17,FM17)/COUNT(FC17,FH17,FM17))</f>
        <v>3</v>
      </c>
      <c r="FP17" s="134" t="str">
        <f t="shared" si="39"/>
        <v>B</v>
      </c>
      <c r="FQ17" s="156" t="s">
        <v>28</v>
      </c>
      <c r="FR17" s="157"/>
      <c r="FS17" s="158"/>
      <c r="FT17" s="108">
        <f>IFERROR((((COUNTIF('Elève (5ème1)'!FQ17:FS17,"A"))*4)+((COUNTIF('Elève (5ème1)'!FQ17:FS17,"B"))*3)+((COUNTIF('Elève (5ème1)'!FQ17:FS17,"C"))*2)+((COUNTIF('Elève (5ème1)'!FQ17:FS17,"D"))*1))/(COUNTA(FQ17:FS17)),"")</f>
        <v>3</v>
      </c>
      <c r="FU17" s="109" t="str">
        <f t="shared" si="40"/>
        <v>B</v>
      </c>
      <c r="FV17" s="81"/>
      <c r="FW17" s="82"/>
      <c r="FX17" s="83"/>
      <c r="FY17" s="108" t="str">
        <f>IFERROR((((COUNTIF('Elève (5ème1)'!FV17:FX17,"A"))*4)+((COUNTIF('Elève (5ème1)'!FV17:FX17,"B"))*3)+((COUNTIF('Elève (5ème1)'!FV17:FX17,"C"))*2)+((COUNTIF('Elève (5ème1)'!FV17:FX17,"D"))*1))/(COUNTA(FV17:FX17)),"")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(5ème1)'!GA17:GC17,"A"))*4)+((COUNTIF('Elève (5ème1)'!GA17:GC17,"B"))*3)+((COUNTIF('Elève (5ème1)'!GA17:GC17,"C"))*2)+((COUNTIF('Elève (5ème1)'!GA17:GC17,"D"))*1))/(COUNTA(GA17:GC17)),"")</f>
        <v/>
      </c>
      <c r="GE17" s="109" t="str">
        <f t="shared" si="42"/>
        <v/>
      </c>
      <c r="GF17" s="178">
        <f>IF(COUNT(FT17,FY17,GD17)=0,"",SUM(FT17,FY17,GD17)/COUNT(FT17,FY17,GD17))</f>
        <v>3</v>
      </c>
      <c r="GG17" s="134" t="str">
        <f t="shared" si="43"/>
        <v>B</v>
      </c>
      <c r="GH17" s="156" t="s">
        <v>28</v>
      </c>
      <c r="GI17" s="157"/>
      <c r="GJ17" s="158"/>
      <c r="GK17" s="108">
        <f>IFERROR((((COUNTIF('Elève (5ème1)'!GH17:GJ17,"A"))*4)+((COUNTIF('Elève (5ème1)'!GH17:GJ17,"B"))*3)+((COUNTIF('Elève (5ème1)'!GH17:GJ17,"C"))*2)+((COUNTIF('Elève (5ème1)'!GH17:GJ17,"D"))*1))/(COUNTA(GH17:GJ17)),"")</f>
        <v>3</v>
      </c>
      <c r="GL17" s="109" t="str">
        <f t="shared" si="44"/>
        <v>B</v>
      </c>
      <c r="GM17" s="81"/>
      <c r="GN17" s="82"/>
      <c r="GO17" s="83"/>
      <c r="GP17" s="108" t="str">
        <f>IFERROR((((COUNTIF('Elève (5ème1)'!GM17:GO17,"A"))*4)+((COUNTIF('Elève (5ème1)'!GM17:GO17,"B"))*3)+((COUNTIF('Elève (5ème1)'!GM17:GO17,"C"))*2)+((COUNTIF('Elève (5ème1)'!GM17:GO17,"D"))*1))/(COUNTA(GM17:GO17)),"")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(5ème1)'!GR17:GT17,"A"))*4)+((COUNTIF('Elève (5ème1)'!GR17:GT17,"B"))*3)+((COUNTIF('Elève (5ème1)'!GR17:GT17,"C"))*2)+((COUNTIF('Elève (5ème1)'!GR17:GT17,"D"))*1))/(COUNTA(GR17:GT17)),"")</f>
        <v/>
      </c>
      <c r="GV17" s="109" t="str">
        <f t="shared" si="46"/>
        <v/>
      </c>
      <c r="GW17" s="178">
        <f>IF(COUNT(GK17,GP17,GU17)=0,"",SUM(GK17,GP17,GU17)/COUNT(GK17,GP17,GU17))</f>
        <v>3</v>
      </c>
      <c r="GX17" s="134" t="str">
        <f t="shared" si="47"/>
        <v>B</v>
      </c>
      <c r="GY17" s="156" t="s">
        <v>28</v>
      </c>
      <c r="GZ17" s="157"/>
      <c r="HA17" s="158"/>
      <c r="HB17" s="108">
        <f>IFERROR((((COUNTIF('Elève (5ème1)'!GY17:HA17,"A"))*4)+((COUNTIF('Elève (5ème1)'!GY17:HA17,"B"))*3)+((COUNTIF('Elève (5ème1)'!GY17:HA17,"C"))*2)+((COUNTIF('Elève (5ème1)'!GY17:HA17,"D"))*1))/(COUNTA(GY17:HA17)),"")</f>
        <v>3</v>
      </c>
      <c r="HC17" s="109" t="str">
        <f t="shared" si="48"/>
        <v>B</v>
      </c>
      <c r="HD17" s="81"/>
      <c r="HE17" s="82"/>
      <c r="HF17" s="83"/>
      <c r="HG17" s="108" t="str">
        <f>IFERROR((((COUNTIF('Elève (5ème1)'!HD17:HF17,"A"))*4)+((COUNTIF('Elève (5ème1)'!HD17:HF17,"B"))*3)+((COUNTIF('Elève (5ème1)'!HD17:HF17,"C"))*2)+((COUNTIF('Elève (5ème1)'!HD17:HF17,"D"))*1))/(COUNTA(HD17:HF17)),"")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(5ème1)'!HI17:HK17,"A"))*4)+((COUNTIF('Elève (5ème1)'!HI17:HK17,"B"))*3)+((COUNTIF('Elève (5ème1)'!HI17:HK17,"C"))*2)+((COUNTIF('Elève (5ème1)'!HI17:HK17,"D"))*1))/(COUNTA(HI17:HK17)),"")</f>
        <v/>
      </c>
      <c r="HM17" s="109" t="str">
        <f t="shared" si="50"/>
        <v/>
      </c>
      <c r="HN17" s="178">
        <f>IF(COUNT(HB17,HG17,HL17)=0,"",SUM(HB17,HG17,HL17)/COUNT(HB17,HG17,HL17))</f>
        <v>3</v>
      </c>
      <c r="HO17" s="134" t="str">
        <f t="shared" si="51"/>
        <v>B</v>
      </c>
      <c r="HP17" s="156" t="s">
        <v>28</v>
      </c>
      <c r="HQ17" s="157"/>
      <c r="HR17" s="158"/>
      <c r="HS17" s="108">
        <f>IFERROR((((COUNTIF('Elève (5ème1)'!HP17:HR17,"A"))*4)+((COUNTIF('Elève (5ème1)'!HP17:HR17,"B"))*3)+((COUNTIF('Elève (5ème1)'!HP17:HR17,"C"))*2)+((COUNTIF('Elève (5ème1)'!HP17:HR17,"D"))*1))/(COUNTA(HP17:HR17)),"")</f>
        <v>3</v>
      </c>
      <c r="HT17" s="109" t="str">
        <f t="shared" si="52"/>
        <v>B</v>
      </c>
      <c r="HU17" s="81"/>
      <c r="HV17" s="82"/>
      <c r="HW17" s="83"/>
      <c r="HX17" s="108" t="str">
        <f>IFERROR((((COUNTIF('Elève (5ème1)'!HU17:HW17,"A"))*4)+((COUNTIF('Elève (5ème1)'!HU17:HW17,"B"))*3)+((COUNTIF('Elève (5ème1)'!HU17:HW17,"C"))*2)+((COUNTIF('Elève (5ème1)'!HU17:HW17,"D"))*1))/(COUNTA(HU17:HW17)),"")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(5ème1)'!HZ17:IB17,"A"))*4)+((COUNTIF('Elève (5ème1)'!HZ17:IB17,"B"))*3)+((COUNTIF('Elève (5ème1)'!HZ17:IB17,"C"))*2)+((COUNTIF('Elève (5ème1)'!HZ17:IB17,"D"))*1))/(COUNTA(HZ17:IB17)),"")</f>
        <v/>
      </c>
      <c r="ID17" s="109" t="str">
        <f t="shared" si="54"/>
        <v/>
      </c>
      <c r="IE17" s="178">
        <f>IF(COUNT(HS17,HX17,IC17)=0,"",SUM(HS17,HX17,IC17)/COUNT(HS17,HX17,IC17))</f>
        <v>3</v>
      </c>
      <c r="IF17" s="134" t="str">
        <f t="shared" si="55"/>
        <v>B</v>
      </c>
      <c r="IG17" s="156" t="s">
        <v>27</v>
      </c>
      <c r="IH17" s="157"/>
      <c r="II17" s="158"/>
      <c r="IJ17" s="108">
        <f>IFERROR((((COUNTIF('Elève (5ème1)'!IG17:II17,"A"))*4)+((COUNTIF('Elève (5ème1)'!IG17:II17,"B"))*3)+((COUNTIF('Elève (5ème1)'!IG17:II17,"C"))*2)+((COUNTIF('Elève (5ème1)'!IG17:II17,"D"))*1))/(COUNTA(IG17:II17)),"")</f>
        <v>4</v>
      </c>
      <c r="IK17" s="109" t="str">
        <f t="shared" si="56"/>
        <v>A</v>
      </c>
      <c r="IL17" s="81"/>
      <c r="IM17" s="82"/>
      <c r="IN17" s="83"/>
      <c r="IO17" s="108" t="str">
        <f>IFERROR((((COUNTIF('Elève (5ème1)'!IL17:IN17,"A"))*4)+((COUNTIF('Elève (5ème1)'!IL17:IN17,"B"))*3)+((COUNTIF('Elève (5ème1)'!IL17:IN17,"C"))*2)+((COUNTIF('Elève (5ème1)'!IL17:IN17,"D"))*1))/(COUNTA(IL17:IN17)),"")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(5ème1)'!IQ17:IS17,"A"))*4)+((COUNTIF('Elève (5ème1)'!IQ17:IS17,"B"))*3)+((COUNTIF('Elève (5ème1)'!IQ17:IS17,"C"))*2)+((COUNTIF('Elève (5ème1)'!IQ17:IS17,"D"))*1))/(COUNTA(IQ17:IS17)),"")</f>
        <v/>
      </c>
      <c r="IU17" s="109" t="str">
        <f t="shared" si="58"/>
        <v/>
      </c>
      <c r="IV17" s="178">
        <f>IF(COUNT(IJ17,IO17,IT17)=0,"",SUM(IJ17,IO17,IT17)/COUNT(IJ17,IO17,IT17))</f>
        <v>4</v>
      </c>
      <c r="IW17" s="134" t="str">
        <f t="shared" si="59"/>
        <v>A</v>
      </c>
      <c r="IX17" s="156" t="s">
        <v>27</v>
      </c>
      <c r="IY17" s="157"/>
      <c r="IZ17" s="158"/>
      <c r="JA17" s="108">
        <f>IFERROR((((COUNTIF('Elève (5ème1)'!IX17:IZ17,"A"))*4)+((COUNTIF('Elève (5ème1)'!IX17:IZ17,"B"))*3)+((COUNTIF('Elève (5ème1)'!IX17:IZ17,"C"))*2)+((COUNTIF('Elève (5ème1)'!IX17:IZ17,"D"))*1))/(COUNTA(IX17:IZ17)),"")</f>
        <v>4</v>
      </c>
      <c r="JB17" s="109" t="str">
        <f t="shared" si="60"/>
        <v>A</v>
      </c>
      <c r="JC17" s="81"/>
      <c r="JD17" s="82"/>
      <c r="JE17" s="83"/>
      <c r="JF17" s="108" t="str">
        <f>IFERROR((((COUNTIF('Elève (5ème1)'!JC17:JE17,"A"))*4)+((COUNTIF('Elève (5ème1)'!JC17:JE17,"B"))*3)+((COUNTIF('Elève (5ème1)'!JC17:JE17,"C"))*2)+((COUNTIF('Elève (5ème1)'!JC17:JE17,"D"))*1))/(COUNTA(JC17:JE17)),"")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(5ème1)'!JH17:JJ17,"A"))*4)+((COUNTIF('Elève (5ème1)'!JH17:JJ17,"B"))*3)+((COUNTIF('Elève (5ème1)'!JH17:JJ17,"C"))*2)+((COUNTIF('Elève (5ème1)'!JH17:JJ17,"D"))*1))/(COUNTA(JH17:JJ17)),"")</f>
        <v/>
      </c>
      <c r="JL17" s="109" t="str">
        <f t="shared" si="62"/>
        <v/>
      </c>
      <c r="JM17" s="178">
        <f>IF(COUNT(JA17,JF17,JK17)=0,"",SUM(JA17,JF17,JK17)/COUNT(JA17,JF17,JK17))</f>
        <v>4</v>
      </c>
      <c r="JN17" s="134" t="str">
        <f t="shared" si="63"/>
        <v>A</v>
      </c>
      <c r="JO17" s="156" t="s">
        <v>27</v>
      </c>
      <c r="JP17" s="157"/>
      <c r="JQ17" s="158"/>
      <c r="JR17" s="108">
        <f>IFERROR((((COUNTIF('Elève (5ème1)'!JO17:JQ17,"A"))*4)+((COUNTIF('Elève (5ème1)'!JO17:JQ17,"B"))*3)+((COUNTIF('Elève (5ème1)'!JO17:JQ17,"C"))*2)+((COUNTIF('Elève (5ème1)'!JO17:JQ17,"D"))*1))/(COUNTA(JO17:JQ17)),"")</f>
        <v>4</v>
      </c>
      <c r="JS17" s="109" t="str">
        <f t="shared" si="64"/>
        <v>A</v>
      </c>
      <c r="JT17" s="81"/>
      <c r="JU17" s="82"/>
      <c r="JV17" s="83"/>
      <c r="JW17" s="108" t="str">
        <f>IFERROR((((COUNTIF('Elève (5ème1)'!JT17:JV17,"A"))*4)+((COUNTIF('Elève (5ème1)'!JT17:JV17,"B"))*3)+((COUNTIF('Elève (5ème1)'!JT17:JV17,"C"))*2)+((COUNTIF('Elève (5ème1)'!JT17:JV17,"D"))*1))/(COUNTA(JT17:JV17)),"")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(5ème1)'!JY17:KA17,"A"))*4)+((COUNTIF('Elève (5ème1)'!JY17:KA17,"B"))*3)+((COUNTIF('Elève (5ème1)'!JY17:KA17,"C"))*2)+((COUNTIF('Elève (5ème1)'!JY17:KA17,"D"))*1))/(COUNTA(JY17:KA17)),"")</f>
        <v/>
      </c>
      <c r="KC17" s="109" t="str">
        <f t="shared" si="66"/>
        <v/>
      </c>
      <c r="KD17" s="178">
        <f>IF(COUNT(JR17,JW17,KB17)=0,"",SUM(JR17,JW17,KB17)/COUNT(JR17,JW17,KB17))</f>
        <v>4</v>
      </c>
      <c r="KE17" s="134" t="str">
        <f t="shared" si="67"/>
        <v>A</v>
      </c>
      <c r="KF17" s="156" t="s">
        <v>27</v>
      </c>
      <c r="KG17" s="157"/>
      <c r="KH17" s="158"/>
      <c r="KI17" s="108">
        <f>IFERROR((((COUNTIF('Elève (5ème1)'!KF17:KH17,"A"))*4)+((COUNTIF('Elève (5ème1)'!KF17:KH17,"B"))*3)+((COUNTIF('Elève (5ème1)'!KF17:KH17,"C"))*2)+((COUNTIF('Elève (5ème1)'!KF17:KH17,"D"))*1))/(COUNTA(KF17:KH17)),"")</f>
        <v>4</v>
      </c>
      <c r="KJ17" s="109" t="str">
        <f t="shared" si="68"/>
        <v>A</v>
      </c>
      <c r="KK17" s="81"/>
      <c r="KL17" s="82"/>
      <c r="KM17" s="83"/>
      <c r="KN17" s="108" t="str">
        <f>IFERROR((((COUNTIF('Elève (5ème1)'!KK17:KM17,"A"))*4)+((COUNTIF('Elève (5ème1)'!KK17:KM17,"B"))*3)+((COUNTIF('Elève (5ème1)'!KK17:KM17,"C"))*2)+((COUNTIF('Elève (5ème1)'!KK17:KM17,"D"))*1))/(COUNTA(KK17:KM17)),"")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(5ème1)'!KP17:KR17,"A"))*4)+((COUNTIF('Elève (5ème1)'!KP17:KR17,"B"))*3)+((COUNTIF('Elève (5ème1)'!KP17:KR17,"C"))*2)+((COUNTIF('Elève (5ème1)'!KP17:KR17,"D"))*1))/(COUNTA(KP17:KR17)),"")</f>
        <v/>
      </c>
      <c r="KT17" s="109" t="str">
        <f t="shared" si="70"/>
        <v/>
      </c>
      <c r="KU17" s="178">
        <f>IF(COUNT(KI17,KN17,KS17)=0,"",SUM(KI17,KN17,KS17)/COUNT(KI17,KN17,KS17))</f>
        <v>4</v>
      </c>
      <c r="KV17" s="134" t="str">
        <f t="shared" si="71"/>
        <v>A</v>
      </c>
      <c r="KW17" s="156" t="s">
        <v>28</v>
      </c>
      <c r="KX17" s="157"/>
      <c r="KY17" s="158"/>
      <c r="KZ17" s="108">
        <f>IFERROR((((COUNTIF('Elève (5ème1)'!KW17:KY17,"A"))*4)+((COUNTIF('Elève (5ème1)'!KW17:KY17,"B"))*3)+((COUNTIF('Elève (5ème1)'!KW17:KY17,"C"))*2)+((COUNTIF('Elève (5ème1)'!KW17:KY17,"D"))*1))/(COUNTA(KW17:KY17)),"")</f>
        <v>3</v>
      </c>
      <c r="LA17" s="109" t="str">
        <f t="shared" si="72"/>
        <v>B</v>
      </c>
      <c r="LB17" s="81"/>
      <c r="LC17" s="82"/>
      <c r="LD17" s="83"/>
      <c r="LE17" s="108" t="str">
        <f>IFERROR((((COUNTIF('Elève (5ème1)'!LB17:LD17,"A"))*4)+((COUNTIF('Elève (5ème1)'!LB17:LD17,"B"))*3)+((COUNTIF('Elève (5ème1)'!LB17:LD17,"C"))*2)+((COUNTIF('Elève (5ème1)'!LB17:LD17,"D"))*1))/(COUNTA(LB17:LD17)),"")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(5ème1)'!LG17:LI17,"A"))*4)+((COUNTIF('Elève (5ème1)'!LG17:LI17,"B"))*3)+((COUNTIF('Elève (5ème1)'!LG17:LI17,"C"))*2)+((COUNTIF('Elève (5ème1)'!LG17:LI17,"D"))*1))/(COUNTA(LG17:LI17)),"")</f>
        <v/>
      </c>
      <c r="LK17" s="109" t="str">
        <f t="shared" si="74"/>
        <v/>
      </c>
      <c r="LL17" s="178">
        <f>IF(COUNT(KZ17,LE17,LJ17)=0,"",SUM(KZ17,LE17,LJ17)/COUNT(KZ17,LE17,LJ17))</f>
        <v>3</v>
      </c>
      <c r="LM17" s="134" t="str">
        <f t="shared" si="75"/>
        <v>B</v>
      </c>
      <c r="LN17" s="156" t="s">
        <v>27</v>
      </c>
      <c r="LO17" s="157"/>
      <c r="LP17" s="158"/>
      <c r="LQ17" s="108">
        <f>IFERROR((((COUNTIF('Elève (5ème1)'!LN17:LP17,"A"))*4)+((COUNTIF('Elève (5ème1)'!LN17:LP17,"B"))*3)+((COUNTIF('Elève (5ème1)'!LN17:LP17,"C"))*2)+((COUNTIF('Elève (5ème1)'!LN17:LP17,"D"))*1))/(COUNTA(LN17:LP17)),"")</f>
        <v>4</v>
      </c>
      <c r="LR17" s="109" t="str">
        <f t="shared" si="76"/>
        <v>A</v>
      </c>
      <c r="LS17" s="81"/>
      <c r="LT17" s="82"/>
      <c r="LU17" s="83"/>
      <c r="LV17" s="108" t="str">
        <f>IFERROR((((COUNTIF('Elève (5ème1)'!LS17:LU17,"A"))*4)+((COUNTIF('Elève (5ème1)'!LS17:LU17,"B"))*3)+((COUNTIF('Elève (5ème1)'!LS17:LU17,"C"))*2)+((COUNTIF('Elève (5ème1)'!LS17:LU17,"D"))*1))/(COUNTA(LS17:LU17)),"")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(5ème1)'!LX17:LZ17,"A"))*4)+((COUNTIF('Elève (5ème1)'!LX17:LZ17,"B"))*3)+((COUNTIF('Elève (5ème1)'!LX17:LZ17,"C"))*2)+((COUNTIF('Elève (5ème1)'!LX17:LZ17,"D"))*1))/(COUNTA(LX17:LZ17)),"")</f>
        <v/>
      </c>
      <c r="MB17" s="109" t="str">
        <f t="shared" si="78"/>
        <v/>
      </c>
      <c r="MC17" s="178">
        <f>IF(COUNT(LQ17,LV17,MA17)=0,"",SUM(LQ17,LV17,MA17)/COUNT(LQ17,LV17,MA17))</f>
        <v>4</v>
      </c>
      <c r="MD17" s="134" t="str">
        <f t="shared" si="79"/>
        <v>A</v>
      </c>
      <c r="ME17" s="156" t="s">
        <v>28</v>
      </c>
      <c r="MF17" s="157"/>
      <c r="MG17" s="158"/>
      <c r="MH17" s="108">
        <f>IFERROR((((COUNTIF('Elève (5ème1)'!ME17:MG17,"A"))*4)+((COUNTIF('Elève (5ème1)'!ME17:MG17,"B"))*3)+((COUNTIF('Elève (5ème1)'!ME17:MG17,"C"))*2)+((COUNTIF('Elève (5ème1)'!ME17:MG17,"D"))*1))/(COUNTA(ME17:MG17)),"")</f>
        <v>3</v>
      </c>
      <c r="MI17" s="109" t="str">
        <f t="shared" si="80"/>
        <v>B</v>
      </c>
      <c r="MJ17" s="81"/>
      <c r="MK17" s="82"/>
      <c r="ML17" s="83"/>
      <c r="MM17" s="108" t="str">
        <f>IFERROR((((COUNTIF('Elève (5ème1)'!MJ17:ML17,"A"))*4)+((COUNTIF('Elève (5ème1)'!MJ17:ML17,"B"))*3)+((COUNTIF('Elève (5ème1)'!MJ17:ML17,"C"))*2)+((COUNTIF('Elève (5ème1)'!MJ17:ML17,"D"))*1))/(COUNTA(MJ17:ML17)),"")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(5ème1)'!MO17:MQ17,"A"))*4)+((COUNTIF('Elève (5ème1)'!MO17:MQ17,"B"))*3)+((COUNTIF('Elève (5ème1)'!MO17:MQ17,"C"))*2)+((COUNTIF('Elève (5ème1)'!MO17:MQ17,"D"))*1))/(COUNTA(MO17:MQ17)),"")</f>
        <v/>
      </c>
      <c r="MS17" s="109" t="str">
        <f t="shared" si="82"/>
        <v/>
      </c>
      <c r="MT17" s="178">
        <f>IF(COUNT(MH17,MM17,MR17)=0,"",SUM(MH17,MM17,MR17)/COUNT(MH17,MM17,MR17))</f>
        <v>3</v>
      </c>
      <c r="MU17" s="134" t="str">
        <f t="shared" si="83"/>
        <v>B</v>
      </c>
      <c r="MV17" s="156" t="s">
        <v>28</v>
      </c>
      <c r="MW17" s="157"/>
      <c r="MX17" s="158"/>
      <c r="MY17" s="108">
        <f>IFERROR((((COUNTIF('Elève (5ème1)'!MV17:MX17,"A"))*4)+((COUNTIF('Elève (5ème1)'!MV17:MX17,"B"))*3)+((COUNTIF('Elève (5ème1)'!MV17:MX17,"C"))*2)+((COUNTIF('Elève (5ème1)'!MV17:MX17,"D"))*1))/(COUNTA(MV17:MX17)),"")</f>
        <v>3</v>
      </c>
      <c r="MZ17" s="109" t="str">
        <f t="shared" si="84"/>
        <v>B</v>
      </c>
      <c r="NA17" s="81"/>
      <c r="NB17" s="82"/>
      <c r="NC17" s="83"/>
      <c r="ND17" s="108" t="str">
        <f>IFERROR((((COUNTIF('Elève (5ème1)'!NA17:NC17,"A"))*4)+((COUNTIF('Elève (5ème1)'!NA17:NC17,"B"))*3)+((COUNTIF('Elève (5ème1)'!NA17:NC17,"C"))*2)+((COUNTIF('Elève (5ème1)'!NA17:NC17,"D"))*1))/(COUNTA(NA17:NC17)),"")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(5ème1)'!NF17:NH17,"A"))*4)+((COUNTIF('Elève (5ème1)'!NF17:NH17,"B"))*3)+((COUNTIF('Elève (5ème1)'!NF17:NH17,"C"))*2)+((COUNTIF('Elève (5ème1)'!NF17:NH17,"D"))*1))/(COUNTA(NF17:NH17)),"")</f>
        <v/>
      </c>
      <c r="NJ17" s="109" t="str">
        <f t="shared" si="86"/>
        <v/>
      </c>
      <c r="NK17" s="178">
        <f>IF(COUNT(MY17,ND17,NI17)=0,"",SUM(MY17,ND17,NI17)/COUNT(MY17,ND17,NI17))</f>
        <v>3</v>
      </c>
      <c r="NL17" s="134" t="str">
        <f t="shared" si="87"/>
        <v>B</v>
      </c>
      <c r="NM17" s="156" t="s">
        <v>29</v>
      </c>
      <c r="NN17" s="157"/>
      <c r="NO17" s="158"/>
      <c r="NP17" s="108">
        <f>IFERROR((((COUNTIF('Elève (5ème1)'!NM17:NO17,"A"))*4)+((COUNTIF('Elève (5ème1)'!NM17:NO17,"B"))*3)+((COUNTIF('Elève (5ème1)'!NM17:NO17,"C"))*2)+((COUNTIF('Elève (5ème1)'!NM17:NO17,"D"))*1))/(COUNTA(NM17:NO17)),"")</f>
        <v>2</v>
      </c>
      <c r="NQ17" s="109" t="str">
        <f t="shared" si="88"/>
        <v>C</v>
      </c>
      <c r="NR17" s="81"/>
      <c r="NS17" s="82"/>
      <c r="NT17" s="83"/>
      <c r="NU17" s="108" t="str">
        <f>IFERROR((((COUNTIF('Elève (5ème1)'!NR17:NT17,"A"))*4)+((COUNTIF('Elève (5ème1)'!NR17:NT17,"B"))*3)+((COUNTIF('Elève (5ème1)'!NR17:NT17,"C"))*2)+((COUNTIF('Elève (5ème1)'!NR17:NT17,"D"))*1))/(COUNTA(NR17:NT17)),"")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(5ème1)'!NW17:NY17,"A"))*4)+((COUNTIF('Elève (5ème1)'!NW17:NY17,"B"))*3)+((COUNTIF('Elève (5ème1)'!NW17:NY17,"C"))*2)+((COUNTIF('Elève (5ème1)'!NW17:NY17,"D"))*1))/(COUNTA(NW17:NY17)),"")</f>
        <v/>
      </c>
      <c r="OA17" s="109" t="str">
        <f t="shared" si="90"/>
        <v/>
      </c>
      <c r="OB17" s="178">
        <f>IF(COUNT(NP17,NU17,NZ17)=0,"",SUM(NP17,NU17,NZ17)/COUNT(NP17,NU17,NZ17))</f>
        <v>2</v>
      </c>
      <c r="OC17" s="134" t="str">
        <f t="shared" si="91"/>
        <v>C</v>
      </c>
      <c r="OD17" s="156" t="s">
        <v>27</v>
      </c>
      <c r="OE17" s="157"/>
      <c r="OF17" s="158"/>
      <c r="OG17" s="108">
        <f>IFERROR((((COUNTIF('Elève (5ème1)'!OD17:OF17,"A"))*4)+((COUNTIF('Elève (5ème1)'!OD17:OF17,"B"))*3)+((COUNTIF('Elève (5ème1)'!OD17:OF17,"C"))*2)+((COUNTIF('Elève (5ème1)'!OD17:OF17,"D"))*1))/(COUNTA(OD17:OF17)),"")</f>
        <v>4</v>
      </c>
      <c r="OH17" s="109" t="str">
        <f t="shared" si="92"/>
        <v>A</v>
      </c>
      <c r="OI17" s="81"/>
      <c r="OJ17" s="82"/>
      <c r="OK17" s="83"/>
      <c r="OL17" s="108" t="str">
        <f>IFERROR((((COUNTIF('Elève (5ème1)'!OI17:OK17,"A"))*4)+((COUNTIF('Elève (5ème1)'!OI17:OK17,"B"))*3)+((COUNTIF('Elève (5ème1)'!OI17:OK17,"C"))*2)+((COUNTIF('Elève (5ème1)'!OI17:OK17,"D"))*1))/(COUNTA(OI17:OK17)),"")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(5ème1)'!ON17:OP17,"A"))*4)+((COUNTIF('Elève (5ème1)'!ON17:OP17,"B"))*3)+((COUNTIF('Elève (5ème1)'!ON17:OP17,"C"))*2)+((COUNTIF('Elève (5ème1)'!ON17:OP17,"D"))*1))/(COUNTA(ON17:OP17)),"")</f>
        <v/>
      </c>
      <c r="OR17" s="109" t="str">
        <f t="shared" si="94"/>
        <v/>
      </c>
      <c r="OS17" s="178">
        <f>IF(COUNT(OG17,OL17,OQ17)=0,"",SUM(OG17,OL17,OQ17)/COUNT(OG17,OL17,OQ17))</f>
        <v>4</v>
      </c>
      <c r="OT17" s="134" t="str">
        <f t="shared" si="95"/>
        <v>A</v>
      </c>
      <c r="OU17" s="156" t="s">
        <v>28</v>
      </c>
      <c r="OV17" s="157"/>
      <c r="OW17" s="158"/>
      <c r="OX17" s="108">
        <f>IFERROR((((COUNTIF('Elève (5ème1)'!OU17:OW17,"A"))*4)+((COUNTIF('Elève (5ème1)'!OU17:OW17,"B"))*3)+((COUNTIF('Elève (5ème1)'!OU17:OW17,"C"))*2)+((COUNTIF('Elève (5ème1)'!OU17:OW17,"D"))*1))/(COUNTA(OU17:OW17)),"")</f>
        <v>3</v>
      </c>
      <c r="OY17" s="109" t="str">
        <f t="shared" si="96"/>
        <v>B</v>
      </c>
      <c r="OZ17" s="81"/>
      <c r="PA17" s="82"/>
      <c r="PB17" s="83"/>
      <c r="PC17" s="108" t="str">
        <f>IFERROR((((COUNTIF('Elève (5ème1)'!OZ17:PB17,"A"))*4)+((COUNTIF('Elève (5ème1)'!OZ17:PB17,"B"))*3)+((COUNTIF('Elève (5ème1)'!OZ17:PB17,"C"))*2)+((COUNTIF('Elève (5ème1)'!OZ17:PB17,"D"))*1))/(COUNTA(OZ17:PB17)),"")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(5ème1)'!PE17:PG17,"A"))*4)+((COUNTIF('Elève (5ème1)'!PE17:PG17,"B"))*3)+((COUNTIF('Elève (5ème1)'!PE17:PG17,"C"))*2)+((COUNTIF('Elève (5ème1)'!PE17:PG17,"D"))*1))/(COUNTA(PE17:PG17)),"")</f>
        <v/>
      </c>
      <c r="PI17" s="109" t="str">
        <f t="shared" si="98"/>
        <v/>
      </c>
      <c r="PJ17" s="178">
        <f>IF(COUNT(OX17,PC17,PH17)=0,"",SUM(OX17,PC17,PH17)/COUNT(OX17,PC17,PH17))</f>
        <v>3</v>
      </c>
      <c r="PK17" s="134" t="str">
        <f t="shared" si="99"/>
        <v>B</v>
      </c>
      <c r="PL17" s="156" t="s">
        <v>29</v>
      </c>
      <c r="PM17" s="157"/>
      <c r="PN17" s="158"/>
      <c r="PO17" s="108">
        <f>IFERROR((((COUNTIF('Elève (5ème1)'!PL17:PN17,"A"))*4)+((COUNTIF('Elève (5ème1)'!PL17:PN17,"B"))*3)+((COUNTIF('Elève (5ème1)'!PL17:PN17,"C"))*2)+((COUNTIF('Elève (5ème1)'!PL17:PN17,"D"))*1))/(COUNTA(PL17:PN17)),"")</f>
        <v>2</v>
      </c>
      <c r="PP17" s="109" t="str">
        <f t="shared" si="100"/>
        <v>C</v>
      </c>
      <c r="PQ17" s="81"/>
      <c r="PR17" s="82"/>
      <c r="PS17" s="83"/>
      <c r="PT17" s="108" t="str">
        <f>IFERROR((((COUNTIF('Elève (5ème1)'!PQ17:PS17,"A"))*4)+((COUNTIF('Elève (5ème1)'!PQ17:PS17,"B"))*3)+((COUNTIF('Elève (5ème1)'!PQ17:PS17,"C"))*2)+((COUNTIF('Elève (5ème1)'!PQ17:PS17,"D"))*1))/(COUNTA(PQ17:PS17)),"")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(5ème1)'!PV17:PX17,"A"))*4)+((COUNTIF('Elève (5ème1)'!PV17:PX17,"B"))*3)+((COUNTIF('Elève (5ème1)'!PV17:PX17,"C"))*2)+((COUNTIF('Elève (5ème1)'!PV17:PX17,"D"))*1))/(COUNTA(PV17:PX17)),"")</f>
        <v/>
      </c>
      <c r="PZ17" s="109" t="str">
        <f t="shared" si="102"/>
        <v/>
      </c>
      <c r="QA17" s="178">
        <f>IF(COUNT(PO17,PT17,PY17)=0,"",SUM(PO17,PT17,PY17)/COUNT(PO17,PT17,PY17))</f>
        <v>2</v>
      </c>
      <c r="QB17" s="134" t="str">
        <f t="shared" si="103"/>
        <v>C</v>
      </c>
      <c r="QC17" s="156" t="s">
        <v>28</v>
      </c>
      <c r="QD17" s="157"/>
      <c r="QE17" s="158"/>
      <c r="QF17" s="108">
        <f>IFERROR((((COUNTIF('Elève (5ème1)'!QC17:QE17,"A"))*4)+((COUNTIF('Elève (5ème1)'!QC17:QE17,"B"))*3)+((COUNTIF('Elève (5ème1)'!QC17:QE17,"C"))*2)+((COUNTIF('Elève (5ème1)'!QC17:QE17,"D"))*1))/(COUNTA(QC17:QE17)),"")</f>
        <v>3</v>
      </c>
      <c r="QG17" s="109" t="str">
        <f t="shared" si="104"/>
        <v>B</v>
      </c>
      <c r="QH17" s="81"/>
      <c r="QI17" s="82"/>
      <c r="QJ17" s="83"/>
      <c r="QK17" s="108" t="str">
        <f>IFERROR((((COUNTIF('Elève (5ème1)'!QH17:QJ17,"A"))*4)+((COUNTIF('Elève (5ème1)'!QH17:QJ17,"B"))*3)+((COUNTIF('Elève (5ème1)'!QH17:QJ17,"C"))*2)+((COUNTIF('Elève (5ème1)'!QH17:QJ17,"D"))*1))/(COUNTA(QH17:QJ17)),"")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(5ème1)'!QM17:QO17,"A"))*4)+((COUNTIF('Elève (5ème1)'!QM17:QO17,"B"))*3)+((COUNTIF('Elève (5ème1)'!QM17:QO17,"C"))*2)+((COUNTIF('Elève (5ème1)'!QM17:QO17,"D"))*1))/(COUNTA(QM17:QO17)),"")</f>
        <v/>
      </c>
      <c r="QQ17" s="109" t="str">
        <f t="shared" si="106"/>
        <v/>
      </c>
      <c r="QR17" s="178">
        <f>IF(COUNT(QF17,QK17,QP17)=0,"",SUM(QF17,QK17,QP17)/COUNT(QF17,QK17,QP17))</f>
        <v>3</v>
      </c>
      <c r="QS17" s="134" t="str">
        <f t="shared" si="107"/>
        <v>B</v>
      </c>
      <c r="QT17" s="156" t="s">
        <v>27</v>
      </c>
      <c r="QU17" s="157"/>
      <c r="QV17" s="158"/>
      <c r="QW17" s="108">
        <f>IFERROR((((COUNTIF('Elève (5ème1)'!QT17:QV17,"A"))*4)+((COUNTIF('Elève (5ème1)'!QT17:QV17,"B"))*3)+((COUNTIF('Elève (5ème1)'!QT17:QV17,"C"))*2)+((COUNTIF('Elève (5ème1)'!QT17:QV17,"D"))*1))/(COUNTA(QT17:QV17)),"")</f>
        <v>4</v>
      </c>
      <c r="QX17" s="109" t="str">
        <f t="shared" si="108"/>
        <v>A</v>
      </c>
      <c r="QY17" s="81"/>
      <c r="QZ17" s="82"/>
      <c r="RA17" s="83"/>
      <c r="RB17" s="108" t="str">
        <f>IFERROR((((COUNTIF('Elève (5ème1)'!QY17:RA17,"A"))*4)+((COUNTIF('Elève (5ème1)'!QY17:RA17,"B"))*3)+((COUNTIF('Elève (5ème1)'!QY17:RA17,"C"))*2)+((COUNTIF('Elève (5ème1)'!QY17:RA17,"D"))*1))/(COUNTA(QY17:RA17)),"")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(5ème1)'!RD17:RF17,"A"))*4)+((COUNTIF('Elève (5ème1)'!RD17:RF17,"B"))*3)+((COUNTIF('Elève (5ème1)'!RD17:RF17,"C"))*2)+((COUNTIF('Elève (5ème1)'!RD17:RF17,"D"))*1))/(COUNTA(RD17:RF17)),"")</f>
        <v/>
      </c>
      <c r="RH17" s="109" t="str">
        <f t="shared" si="110"/>
        <v/>
      </c>
      <c r="RI17" s="178">
        <f>IF(COUNT(QW17,RB17,RG17)=0,"",SUM(QW17,RB17,RG17)/COUNT(QW17,RB17,RG17))</f>
        <v>4</v>
      </c>
      <c r="RJ17" s="134" t="str">
        <f t="shared" si="111"/>
        <v>A</v>
      </c>
      <c r="RK17" s="156" t="s">
        <v>27</v>
      </c>
      <c r="RL17" s="157"/>
      <c r="RM17" s="158"/>
      <c r="RN17" s="108">
        <f>IFERROR((((COUNTIF('Elève (5ème1)'!RK17:RM17,"A"))*4)+((COUNTIF('Elève (5ème1)'!RK17:RM17,"B"))*3)+((COUNTIF('Elève (5ème1)'!RK17:RM17,"C"))*2)+((COUNTIF('Elève (5ème1)'!RK17:RM17,"D"))*1))/(COUNTA(RK17:RM17)),"")</f>
        <v>4</v>
      </c>
      <c r="RO17" s="109" t="str">
        <f t="shared" si="112"/>
        <v>A</v>
      </c>
      <c r="RP17" s="81"/>
      <c r="RQ17" s="82"/>
      <c r="RR17" s="83"/>
      <c r="RS17" s="108" t="str">
        <f>IFERROR((((COUNTIF('Elève (5ème1)'!RP17:RR17,"A"))*4)+((COUNTIF('Elève (5ème1)'!RP17:RR17,"B"))*3)+((COUNTIF('Elève (5ème1)'!RP17:RR17,"C"))*2)+((COUNTIF('Elève (5ème1)'!RP17:RR17,"D"))*1))/(COUNTA(RP17:RR17)),"")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(5ème1)'!RU17:RW17,"A"))*4)+((COUNTIF('Elève (5ème1)'!RU17:RW17,"B"))*3)+((COUNTIF('Elève (5ème1)'!RU17:RW17,"C"))*2)+((COUNTIF('Elève (5ème1)'!RU17:RW17,"D"))*1))/(COUNTA(RU17:RW17)),"")</f>
        <v/>
      </c>
      <c r="RY17" s="109" t="str">
        <f t="shared" si="114"/>
        <v/>
      </c>
      <c r="RZ17" s="178">
        <f>IF(COUNT(RN17,RS17,RX17)=0,"",SUM(RN17,RS17,RX17)/COUNT(RN17,RS17,RX17))</f>
        <v>4</v>
      </c>
      <c r="SA17" s="134" t="str">
        <f t="shared" si="115"/>
        <v>A</v>
      </c>
      <c r="SB17" s="156" t="s">
        <v>27</v>
      </c>
      <c r="SC17" s="157"/>
      <c r="SD17" s="158"/>
      <c r="SE17" s="108">
        <f>IFERROR((((COUNTIF('Elève (5ème1)'!SB17:SD17,"A"))*4)+((COUNTIF('Elève (5ème1)'!SB17:SD17,"B"))*3)+((COUNTIF('Elève (5ème1)'!SB17:SD17,"C"))*2)+((COUNTIF('Elève (5ème1)'!SB17:SD17,"D"))*1))/(COUNTA(SB17:SD17)),"")</f>
        <v>4</v>
      </c>
      <c r="SF17" s="109" t="str">
        <f t="shared" si="116"/>
        <v>A</v>
      </c>
      <c r="SG17" s="81"/>
      <c r="SH17" s="82"/>
      <c r="SI17" s="83"/>
      <c r="SJ17" s="108" t="str">
        <f>IFERROR((((COUNTIF('Elève (5ème1)'!SG17:SI17,"A"))*4)+((COUNTIF('Elève (5ème1)'!SG17:SI17,"B"))*3)+((COUNTIF('Elève (5ème1)'!SG17:SI17,"C"))*2)+((COUNTIF('Elève (5ème1)'!SG17:SI17,"D"))*1))/(COUNTA(SG17:SI17)),"")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(5ème1)'!SL17:SN17,"A"))*4)+((COUNTIF('Elève (5ème1)'!SL17:SN17,"B"))*3)+((COUNTIF('Elève (5ème1)'!SL17:SN17,"C"))*2)+((COUNTIF('Elève (5ème1)'!SL17:SN17,"D"))*1))/(COUNTA(SL17:SN17)),"")</f>
        <v/>
      </c>
      <c r="SP17" s="109" t="str">
        <f t="shared" si="118"/>
        <v/>
      </c>
      <c r="SQ17" s="178">
        <f>IF(COUNT(SE17,SJ17,SO17)=0,"",SUM(SE17,SJ17,SO17)/COUNT(SE17,SJ17,SO17))</f>
        <v>4</v>
      </c>
      <c r="SR17" s="134" t="str">
        <f t="shared" si="119"/>
        <v>A</v>
      </c>
    </row>
    <row r="18" spans="1:512" s="72" customFormat="1" ht="18" customHeight="1" x14ac:dyDescent="0.25">
      <c r="A18" s="227" t="s">
        <v>22</v>
      </c>
      <c r="B18" s="228"/>
      <c r="C18" s="156"/>
      <c r="D18" s="157"/>
      <c r="E18" s="158"/>
      <c r="F18" s="110" t="str">
        <f>IFERROR((((COUNTIF('Elève (5ème1)'!C18:E18,"A"))*4)+((COUNTIF('Elève (5ème1)'!C18:E18,"B"))*3)+((COUNTIF('Elève (5ème1)'!C18:E18,"C"))*2)+((COUNTIF('Elève (5ème1)'!C18:E18,"D"))*1))/(COUNTA(C18:E18)),"")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(5ème1)'!H18:J18,"A"))*4)+((COUNTIF('Elève (5ème1)'!H18:J18,"B"))*3)+((COUNTIF('Elève (5ème1)'!H18:J18,"C"))*2)+((COUNTIF('Elève (5ème1)'!H18:J18,"D"))*1))/(COUNTA(H18:J18)),"")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(5ème1)'!M18:O18,"A"))*4)+((COUNTIF('Elève (5ème1)'!M18:O18,"B"))*3)+((COUNTIF('Elève (5ème1)'!M18:O18,"C"))*2)+((COUNTIF('Elève (5ème1)'!M18:O18,"D"))*1))/(COUNTA(M18:O18)),"")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(5ème1)'!T18:V18,"A"))*4)+((COUNTIF('Elève (5ème1)'!T18:V18,"B"))*3)+((COUNTIF('Elève (5ème1)'!T18:V18,"C"))*2)+((COUNTIF('Elève (5ème1)'!T18:V18,"D"))*1))/(COUNTA(T18:V18)),"")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(5ème1)'!Y18:AA18,"A"))*4)+((COUNTIF('Elève (5ème1)'!Y18:AA18,"B"))*3)+((COUNTIF('Elève (5ème1)'!Y18:AA18,"C"))*2)+((COUNTIF('Elève (5ème1)'!Y18:AA18,"D"))*1))/(COUNTA(Y18:AA18)),"")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(5ème1)'!AD18:AF18,"A"))*4)+((COUNTIF('Elève (5ème1)'!AD18:AF18,"B"))*3)+((COUNTIF('Elève (5ème1)'!AD18:AF18,"C"))*2)+((COUNTIF('Elève (5ème1)'!AD18:AF18,"D"))*1))/(COUNTA(AD18:AF18)),"")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(5ème1)'!AK18:AM18,"A"))*4)+((COUNTIF('Elève (5ème1)'!AK18:AM18,"B"))*3)+((COUNTIF('Elève (5ème1)'!AK18:AM18,"C"))*2)+((COUNTIF('Elève (5ème1)'!AK18:AM18,"D"))*1))/(COUNTA(AK18:AM18)),"")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(5ème1)'!AP18:AR18,"A"))*4)+((COUNTIF('Elève (5ème1)'!AP18:AR18,"B"))*3)+((COUNTIF('Elève (5ème1)'!AP18:AR18,"C"))*2)+((COUNTIF('Elève (5ème1)'!AP18:AR18,"D"))*1))/(COUNTA(AP18:AR18)),"")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(5ème1)'!AU18:AW18,"A"))*4)+((COUNTIF('Elève (5ème1)'!AU18:AW18,"B"))*3)+((COUNTIF('Elève (5ème1)'!AU18:AW18,"C"))*2)+((COUNTIF('Elève (5ème1)'!AU18:AW18,"D"))*1))/(COUNTA(AU18:AW18)),"")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(5ème1)'!BB18:BD18,"A"))*4)+((COUNTIF('Elève (5ème1)'!BB18:BD18,"B"))*3)+((COUNTIF('Elève (5ème1)'!BB18:BD18,"C"))*2)+((COUNTIF('Elève (5ème1)'!BB18:BD18,"D"))*1))/(COUNTA(BB18:BD18)),"")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(5ème1)'!BG18:BI18,"A"))*4)+((COUNTIF('Elève (5ème1)'!BG18:BI18,"B"))*3)+((COUNTIF('Elève (5ème1)'!BG18:BI18,"C"))*2)+((COUNTIF('Elève (5ème1)'!BG18:BI18,"D"))*1))/(COUNTA(BG18:BI18)),"")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(5ème1)'!BL18:BN18,"A"))*4)+((COUNTIF('Elève (5ème1)'!BL18:BN18,"B"))*3)+((COUNTIF('Elève (5ème1)'!BL18:BN18,"C"))*2)+((COUNTIF('Elève (5ème1)'!BL18:BN18,"D"))*1))/(COUNTA(BL18:BN18)),"")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(5ème1)'!BS18:BU18,"A"))*4)+((COUNTIF('Elève (5ème1)'!BS18:BU18,"B"))*3)+((COUNTIF('Elève (5ème1)'!BS18:BU18,"C"))*2)+((COUNTIF('Elève (5ème1)'!BS18:BU18,"D"))*1))/(COUNTA(BS18:BU18)),"")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(5ème1)'!BX18:BZ18,"A"))*4)+((COUNTIF('Elève (5ème1)'!BX18:BZ18,"B"))*3)+((COUNTIF('Elève (5ème1)'!BX18:BZ18,"C"))*2)+((COUNTIF('Elève (5ème1)'!BX18:BZ18,"D"))*1))/(COUNTA(BX18:BZ18)),"")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(5ème1)'!CC18:CE18,"A"))*4)+((COUNTIF('Elève (5ème1)'!CC18:CE18,"B"))*3)+((COUNTIF('Elève (5ème1)'!CC18:CE18,"C"))*2)+((COUNTIF('Elève (5ème1)'!CC18:CE18,"D"))*1))/(COUNTA(CC18:CE18)),"")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(5ème1)'!CJ18:CL18,"A"))*4)+((COUNTIF('Elève (5ème1)'!CJ18:CL18,"B"))*3)+((COUNTIF('Elève (5ème1)'!CJ18:CL18,"C"))*2)+((COUNTIF('Elève (5ème1)'!CJ18:CL18,"D"))*1))/(COUNTA(CJ18:CL18)),"")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(5ème1)'!CO18:CQ18,"A"))*4)+((COUNTIF('Elève (5ème1)'!CO18:CQ18,"B"))*3)+((COUNTIF('Elève (5ème1)'!CO18:CQ18,"C"))*2)+((COUNTIF('Elève (5ème1)'!CO18:CQ18,"D"))*1))/(COUNTA(CO18:CQ18)),"")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(5ème1)'!CT18:CV18,"A"))*4)+((COUNTIF('Elève (5ème1)'!CT18:CV18,"B"))*3)+((COUNTIF('Elève (5ème1)'!CT18:CV18,"C"))*2)+((COUNTIF('Elève (5ème1)'!CT18:CV18,"D"))*1))/(COUNTA(CT18:CV18)),"")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(5ème1)'!DA18:DC18,"A"))*4)+((COUNTIF('Elève (5ème1)'!DA18:DC18,"B"))*3)+((COUNTIF('Elève (5ème1)'!DA18:DC18,"C"))*2)+((COUNTIF('Elève (5ème1)'!DA18:DC18,"D"))*1))/(COUNTA(DA18:DC18)),"")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(5ème1)'!DF18:DH18,"A"))*4)+((COUNTIF('Elève (5ème1)'!DF18:DH18,"B"))*3)+((COUNTIF('Elève (5ème1)'!DF18:DH18,"C"))*2)+((COUNTIF('Elève (5ème1)'!DF18:DH18,"D"))*1))/(COUNTA(DF18:DH18)),"")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(5ème1)'!DK18:DM18,"A"))*4)+((COUNTIF('Elève (5ème1)'!DK18:DM18,"B"))*3)+((COUNTIF('Elève (5ème1)'!DK18:DM18,"C"))*2)+((COUNTIF('Elève (5ème1)'!DK18:DM18,"D"))*1))/(COUNTA(DK18:DM18)),"")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(5ème1)'!DR18:DT18,"A"))*4)+((COUNTIF('Elève (5ème1)'!DR18:DT18,"B"))*3)+((COUNTIF('Elève (5ème1)'!DR18:DT18,"C"))*2)+((COUNTIF('Elève (5ème1)'!DR18:DT18,"D"))*1))/(COUNTA(DR18:DT18)),"")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(5ème1)'!DW18:DY18,"A"))*4)+((COUNTIF('Elève (5ème1)'!DW18:DY18,"B"))*3)+((COUNTIF('Elève (5ème1)'!DW18:DY18,"C"))*2)+((COUNTIF('Elève (5ème1)'!DW18:DY18,"D"))*1))/(COUNTA(DW18:DY18)),"")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(5ème1)'!EB18:ED18,"A"))*4)+((COUNTIF('Elève (5ème1)'!EB18:ED18,"B"))*3)+((COUNTIF('Elève (5ème1)'!EB18:ED18,"C"))*2)+((COUNTIF('Elève (5ème1)'!EB18:ED18,"D"))*1))/(COUNTA(EB18:ED18)),"")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(5ème1)'!EI18:EK18,"A"))*4)+((COUNTIF('Elève (5ème1)'!EI18:EK18,"B"))*3)+((COUNTIF('Elève (5ème1)'!EI18:EK18,"C"))*2)+((COUNTIF('Elève (5ème1)'!EI18:EK18,"D"))*1))/(COUNTA(EI18:EK18)),"")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(5ème1)'!EN18:EP18,"A"))*4)+((COUNTIF('Elève (5ème1)'!EN18:EP18,"B"))*3)+((COUNTIF('Elève (5ème1)'!EN18:EP18,"C"))*2)+((COUNTIF('Elève (5ème1)'!EN18:EP18,"D"))*1))/(COUNTA(EN18:EP18)),"")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(5ème1)'!ES18:EU18,"A"))*4)+((COUNTIF('Elève (5ème1)'!ES18:EU18,"B"))*3)+((COUNTIF('Elève (5ème1)'!ES18:EU18,"C"))*2)+((COUNTIF('Elève (5ème1)'!ES18:EU18,"D"))*1))/(COUNTA(ES18:EU18)),"")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(5ème1)'!EZ18:FB18,"A"))*4)+((COUNTIF('Elève (5ème1)'!EZ18:FB18,"B"))*3)+((COUNTIF('Elève (5ème1)'!EZ18:FB18,"C"))*2)+((COUNTIF('Elève (5ème1)'!EZ18:FB18,"D"))*1))/(COUNTA(EZ18:FB18)),"")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(5ème1)'!FE18:FG18,"A"))*4)+((COUNTIF('Elève (5ème1)'!FE18:FG18,"B"))*3)+((COUNTIF('Elève (5ème1)'!FE18:FG18,"C"))*2)+((COUNTIF('Elève (5ème1)'!FE18:FG18,"D"))*1))/(COUNTA(FE18:FG18)),"")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(5ème1)'!FJ18:FL18,"A"))*4)+((COUNTIF('Elève (5ème1)'!FJ18:FL18,"B"))*3)+((COUNTIF('Elève (5ème1)'!FJ18:FL18,"C"))*2)+((COUNTIF('Elève (5ème1)'!FJ18:FL18,"D"))*1))/(COUNTA(FJ18:FL18)),"")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(5ème1)'!FQ18:FS18,"A"))*4)+((COUNTIF('Elève (5ème1)'!FQ18:FS18,"B"))*3)+((COUNTIF('Elève (5ème1)'!FQ18:FS18,"C"))*2)+((COUNTIF('Elève (5ème1)'!FQ18:FS18,"D"))*1))/(COUNTA(FQ18:FS18)),"")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(5ème1)'!FV18:FX18,"A"))*4)+((COUNTIF('Elève (5ème1)'!FV18:FX18,"B"))*3)+((COUNTIF('Elève (5ème1)'!FV18:FX18,"C"))*2)+((COUNTIF('Elève (5ème1)'!FV18:FX18,"D"))*1))/(COUNTA(FV18:FX18)),"")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(5ème1)'!GA18:GC18,"A"))*4)+((COUNTIF('Elève (5ème1)'!GA18:GC18,"B"))*3)+((COUNTIF('Elève (5ème1)'!GA18:GC18,"C"))*2)+((COUNTIF('Elève (5ème1)'!GA18:GC18,"D"))*1))/(COUNTA(GA18:GC18)),"")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(5ème1)'!GH18:GJ18,"A"))*4)+((COUNTIF('Elève (5ème1)'!GH18:GJ18,"B"))*3)+((COUNTIF('Elève (5ème1)'!GH18:GJ18,"C"))*2)+((COUNTIF('Elève (5ème1)'!GH18:GJ18,"D"))*1))/(COUNTA(GH18:GJ18)),"")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(5ème1)'!GM18:GO18,"A"))*4)+((COUNTIF('Elève (5ème1)'!GM18:GO18,"B"))*3)+((COUNTIF('Elève (5ème1)'!GM18:GO18,"C"))*2)+((COUNTIF('Elève (5ème1)'!GM18:GO18,"D"))*1))/(COUNTA(GM18:GO18)),"")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(5ème1)'!GR18:GT18,"A"))*4)+((COUNTIF('Elève (5ème1)'!GR18:GT18,"B"))*3)+((COUNTIF('Elève (5ème1)'!GR18:GT18,"C"))*2)+((COUNTIF('Elève (5ème1)'!GR18:GT18,"D"))*1))/(COUNTA(GR18:GT18)),"")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(5ème1)'!GY18:HA18,"A"))*4)+((COUNTIF('Elève (5ème1)'!GY18:HA18,"B"))*3)+((COUNTIF('Elève (5ème1)'!GY18:HA18,"C"))*2)+((COUNTIF('Elève (5ème1)'!GY18:HA18,"D"))*1))/(COUNTA(GY18:HA18)),"")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(5ème1)'!HD18:HF18,"A"))*4)+((COUNTIF('Elève (5ème1)'!HD18:HF18,"B"))*3)+((COUNTIF('Elève (5ème1)'!HD18:HF18,"C"))*2)+((COUNTIF('Elève (5ème1)'!HD18:HF18,"D"))*1))/(COUNTA(HD18:HF18)),"")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(5ème1)'!HI18:HK18,"A"))*4)+((COUNTIF('Elève (5ème1)'!HI18:HK18,"B"))*3)+((COUNTIF('Elève (5ème1)'!HI18:HK18,"C"))*2)+((COUNTIF('Elève (5ème1)'!HI18:HK18,"D"))*1))/(COUNTA(HI18:HK18)),"")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(5ème1)'!HP18:HR18,"A"))*4)+((COUNTIF('Elève (5ème1)'!HP18:HR18,"B"))*3)+((COUNTIF('Elève (5ème1)'!HP18:HR18,"C"))*2)+((COUNTIF('Elève (5ème1)'!HP18:HR18,"D"))*1))/(COUNTA(HP18:HR18)),"")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(5ème1)'!HU18:HW18,"A"))*4)+((COUNTIF('Elève (5ème1)'!HU18:HW18,"B"))*3)+((COUNTIF('Elève (5ème1)'!HU18:HW18,"C"))*2)+((COUNTIF('Elève (5ème1)'!HU18:HW18,"D"))*1))/(COUNTA(HU18:HW18)),"")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(5ème1)'!HZ18:IB18,"A"))*4)+((COUNTIF('Elève (5ème1)'!HZ18:IB18,"B"))*3)+((COUNTIF('Elève (5ème1)'!HZ18:IB18,"C"))*2)+((COUNTIF('Elève (5ème1)'!HZ18:IB18,"D"))*1))/(COUNTA(HZ18:IB18)),"")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(5ème1)'!IG18:II18,"A"))*4)+((COUNTIF('Elève (5ème1)'!IG18:II18,"B"))*3)+((COUNTIF('Elève (5ème1)'!IG18:II18,"C"))*2)+((COUNTIF('Elève (5ème1)'!IG18:II18,"D"))*1))/(COUNTA(IG18:II18)),"")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(5ème1)'!IL18:IN18,"A"))*4)+((COUNTIF('Elève (5ème1)'!IL18:IN18,"B"))*3)+((COUNTIF('Elève (5ème1)'!IL18:IN18,"C"))*2)+((COUNTIF('Elève (5ème1)'!IL18:IN18,"D"))*1))/(COUNTA(IL18:IN18)),"")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(5ème1)'!IQ18:IS18,"A"))*4)+((COUNTIF('Elève (5ème1)'!IQ18:IS18,"B"))*3)+((COUNTIF('Elève (5ème1)'!IQ18:IS18,"C"))*2)+((COUNTIF('Elève (5ème1)'!IQ18:IS18,"D"))*1))/(COUNTA(IQ18:IS18)),"")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(5ème1)'!IX18:IZ18,"A"))*4)+((COUNTIF('Elève (5ème1)'!IX18:IZ18,"B"))*3)+((COUNTIF('Elève (5ème1)'!IX18:IZ18,"C"))*2)+((COUNTIF('Elève (5ème1)'!IX18:IZ18,"D"))*1))/(COUNTA(IX18:IZ18)),"")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(5ème1)'!JC18:JE18,"A"))*4)+((COUNTIF('Elève (5ème1)'!JC18:JE18,"B"))*3)+((COUNTIF('Elève (5ème1)'!JC18:JE18,"C"))*2)+((COUNTIF('Elève (5ème1)'!JC18:JE18,"D"))*1))/(COUNTA(JC18:JE18)),"")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(5ème1)'!JH18:JJ18,"A"))*4)+((COUNTIF('Elève (5ème1)'!JH18:JJ18,"B"))*3)+((COUNTIF('Elève (5ème1)'!JH18:JJ18,"C"))*2)+((COUNTIF('Elève (5ème1)'!JH18:JJ18,"D"))*1))/(COUNTA(JH18:JJ18)),"")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(5ème1)'!JO18:JQ18,"A"))*4)+((COUNTIF('Elève (5ème1)'!JO18:JQ18,"B"))*3)+((COUNTIF('Elève (5ème1)'!JO18:JQ18,"C"))*2)+((COUNTIF('Elève (5ème1)'!JO18:JQ18,"D"))*1))/(COUNTA(JO18:JQ18)),"")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(5ème1)'!JT18:JV18,"A"))*4)+((COUNTIF('Elève (5ème1)'!JT18:JV18,"B"))*3)+((COUNTIF('Elève (5ème1)'!JT18:JV18,"C"))*2)+((COUNTIF('Elève (5ème1)'!JT18:JV18,"D"))*1))/(COUNTA(JT18:JV18)),"")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(5ème1)'!JY18:KA18,"A"))*4)+((COUNTIF('Elève (5ème1)'!JY18:KA18,"B"))*3)+((COUNTIF('Elève (5ème1)'!JY18:KA18,"C"))*2)+((COUNTIF('Elève (5ème1)'!JY18:KA18,"D"))*1))/(COUNTA(JY18:KA18)),"")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(5ème1)'!KF18:KH18,"A"))*4)+((COUNTIF('Elève (5ème1)'!KF18:KH18,"B"))*3)+((COUNTIF('Elève (5ème1)'!KF18:KH18,"C"))*2)+((COUNTIF('Elève (5ème1)'!KF18:KH18,"D"))*1))/(COUNTA(KF18:KH18)),"")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(5ème1)'!KK18:KM18,"A"))*4)+((COUNTIF('Elève (5ème1)'!KK18:KM18,"B"))*3)+((COUNTIF('Elève (5ème1)'!KK18:KM18,"C"))*2)+((COUNTIF('Elève (5ème1)'!KK18:KM18,"D"))*1))/(COUNTA(KK18:KM18)),"")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(5ème1)'!KP18:KR18,"A"))*4)+((COUNTIF('Elève (5ème1)'!KP18:KR18,"B"))*3)+((COUNTIF('Elève (5ème1)'!KP18:KR18,"C"))*2)+((COUNTIF('Elève (5ème1)'!KP18:KR18,"D"))*1))/(COUNTA(KP18:KR18)),"")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(5ème1)'!KW18:KY18,"A"))*4)+((COUNTIF('Elève (5ème1)'!KW18:KY18,"B"))*3)+((COUNTIF('Elève (5ème1)'!KW18:KY18,"C"))*2)+((COUNTIF('Elève (5ème1)'!KW18:KY18,"D"))*1))/(COUNTA(KW18:KY18)),"")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(5ème1)'!LB18:LD18,"A"))*4)+((COUNTIF('Elève (5ème1)'!LB18:LD18,"B"))*3)+((COUNTIF('Elève (5ème1)'!LB18:LD18,"C"))*2)+((COUNTIF('Elève (5ème1)'!LB18:LD18,"D"))*1))/(COUNTA(LB18:LD18)),"")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(5ème1)'!LG18:LI18,"A"))*4)+((COUNTIF('Elève (5ème1)'!LG18:LI18,"B"))*3)+((COUNTIF('Elève (5ème1)'!LG18:LI18,"C"))*2)+((COUNTIF('Elève (5ème1)'!LG18:LI18,"D"))*1))/(COUNTA(LG18:LI18)),"")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(5ème1)'!LN18:LP18,"A"))*4)+((COUNTIF('Elève (5ème1)'!LN18:LP18,"B"))*3)+((COUNTIF('Elève (5ème1)'!LN18:LP18,"C"))*2)+((COUNTIF('Elève (5ème1)'!LN18:LP18,"D"))*1))/(COUNTA(LN18:LP18)),"")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(5ème1)'!LS18:LU18,"A"))*4)+((COUNTIF('Elève (5ème1)'!LS18:LU18,"B"))*3)+((COUNTIF('Elève (5ème1)'!LS18:LU18,"C"))*2)+((COUNTIF('Elève (5ème1)'!LS18:LU18,"D"))*1))/(COUNTA(LS18:LU18)),"")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(5ème1)'!LX18:LZ18,"A"))*4)+((COUNTIF('Elève (5ème1)'!LX18:LZ18,"B"))*3)+((COUNTIF('Elève (5ème1)'!LX18:LZ18,"C"))*2)+((COUNTIF('Elève (5ème1)'!LX18:LZ18,"D"))*1))/(COUNTA(LX18:LZ18)),"")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(5ème1)'!ME18:MG18,"A"))*4)+((COUNTIF('Elève (5ème1)'!ME18:MG18,"B"))*3)+((COUNTIF('Elève (5ème1)'!ME18:MG18,"C"))*2)+((COUNTIF('Elève (5ème1)'!ME18:MG18,"D"))*1))/(COUNTA(ME18:MG18)),"")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(5ème1)'!MJ18:ML18,"A"))*4)+((COUNTIF('Elève (5ème1)'!MJ18:ML18,"B"))*3)+((COUNTIF('Elève (5ème1)'!MJ18:ML18,"C"))*2)+((COUNTIF('Elève (5ème1)'!MJ18:ML18,"D"))*1))/(COUNTA(MJ18:ML18)),"")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(5ème1)'!MO18:MQ18,"A"))*4)+((COUNTIF('Elève (5ème1)'!MO18:MQ18,"B"))*3)+((COUNTIF('Elève (5ème1)'!MO18:MQ18,"C"))*2)+((COUNTIF('Elève (5ème1)'!MO18:MQ18,"D"))*1))/(COUNTA(MO18:MQ18)),"")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(5ème1)'!MV18:MX18,"A"))*4)+((COUNTIF('Elève (5ème1)'!MV18:MX18,"B"))*3)+((COUNTIF('Elève (5ème1)'!MV18:MX18,"C"))*2)+((COUNTIF('Elève (5ème1)'!MV18:MX18,"D"))*1))/(COUNTA(MV18:MX18)),"")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(5ème1)'!NA18:NC18,"A"))*4)+((COUNTIF('Elève (5ème1)'!NA18:NC18,"B"))*3)+((COUNTIF('Elève (5ème1)'!NA18:NC18,"C"))*2)+((COUNTIF('Elève (5ème1)'!NA18:NC18,"D"))*1))/(COUNTA(NA18:NC18)),"")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(5ème1)'!NF18:NH18,"A"))*4)+((COUNTIF('Elève (5ème1)'!NF18:NH18,"B"))*3)+((COUNTIF('Elève (5ème1)'!NF18:NH18,"C"))*2)+((COUNTIF('Elève (5ème1)'!NF18:NH18,"D"))*1))/(COUNTA(NF18:NH18)),"")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(5ème1)'!NM18:NO18,"A"))*4)+((COUNTIF('Elève (5ème1)'!NM18:NO18,"B"))*3)+((COUNTIF('Elève (5ème1)'!NM18:NO18,"C"))*2)+((COUNTIF('Elève (5ème1)'!NM18:NO18,"D"))*1))/(COUNTA(NM18:NO18)),"")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(5ème1)'!NR18:NT18,"A"))*4)+((COUNTIF('Elève (5ème1)'!NR18:NT18,"B"))*3)+((COUNTIF('Elève (5ème1)'!NR18:NT18,"C"))*2)+((COUNTIF('Elève (5ème1)'!NR18:NT18,"D"))*1))/(COUNTA(NR18:NT18)),"")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(5ème1)'!NW18:NY18,"A"))*4)+((COUNTIF('Elève (5ème1)'!NW18:NY18,"B"))*3)+((COUNTIF('Elève (5ème1)'!NW18:NY18,"C"))*2)+((COUNTIF('Elève (5ème1)'!NW18:NY18,"D"))*1))/(COUNTA(NW18:NY18)),"")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(5ème1)'!OD18:OF18,"A"))*4)+((COUNTIF('Elève (5ème1)'!OD18:OF18,"B"))*3)+((COUNTIF('Elève (5ème1)'!OD18:OF18,"C"))*2)+((COUNTIF('Elève (5ème1)'!OD18:OF18,"D"))*1))/(COUNTA(OD18:OF18)),"")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(5ème1)'!OI18:OK18,"A"))*4)+((COUNTIF('Elève (5ème1)'!OI18:OK18,"B"))*3)+((COUNTIF('Elève (5ème1)'!OI18:OK18,"C"))*2)+((COUNTIF('Elève (5ème1)'!OI18:OK18,"D"))*1))/(COUNTA(OI18:OK18)),"")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(5ème1)'!ON18:OP18,"A"))*4)+((COUNTIF('Elève (5ème1)'!ON18:OP18,"B"))*3)+((COUNTIF('Elève (5ème1)'!ON18:OP18,"C"))*2)+((COUNTIF('Elève (5ème1)'!ON18:OP18,"D"))*1))/(COUNTA(ON18:OP18)),"")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(5ème1)'!OU18:OW18,"A"))*4)+((COUNTIF('Elève (5ème1)'!OU18:OW18,"B"))*3)+((COUNTIF('Elève (5ème1)'!OU18:OW18,"C"))*2)+((COUNTIF('Elève (5ème1)'!OU18:OW18,"D"))*1))/(COUNTA(OU18:OW18)),"")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(5ème1)'!OZ18:PB18,"A"))*4)+((COUNTIF('Elève (5ème1)'!OZ18:PB18,"B"))*3)+((COUNTIF('Elève (5ème1)'!OZ18:PB18,"C"))*2)+((COUNTIF('Elève (5ème1)'!OZ18:PB18,"D"))*1))/(COUNTA(OZ18:PB18)),"")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(5ème1)'!PE18:PG18,"A"))*4)+((COUNTIF('Elève (5ème1)'!PE18:PG18,"B"))*3)+((COUNTIF('Elève (5ème1)'!PE18:PG18,"C"))*2)+((COUNTIF('Elève (5ème1)'!PE18:PG18,"D"))*1))/(COUNTA(PE18:PG18)),"")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(5ème1)'!PL18:PN18,"A"))*4)+((COUNTIF('Elève (5ème1)'!PL18:PN18,"B"))*3)+((COUNTIF('Elève (5ème1)'!PL18:PN18,"C"))*2)+((COUNTIF('Elève (5ème1)'!PL18:PN18,"D"))*1))/(COUNTA(PL18:PN18)),"")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(5ème1)'!PQ18:PS18,"A"))*4)+((COUNTIF('Elève (5ème1)'!PQ18:PS18,"B"))*3)+((COUNTIF('Elève (5ème1)'!PQ18:PS18,"C"))*2)+((COUNTIF('Elève (5ème1)'!PQ18:PS18,"D"))*1))/(COUNTA(PQ18:PS18)),"")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(5ème1)'!PV18:PX18,"A"))*4)+((COUNTIF('Elève (5ème1)'!PV18:PX18,"B"))*3)+((COUNTIF('Elève (5ème1)'!PV18:PX18,"C"))*2)+((COUNTIF('Elève (5ème1)'!PV18:PX18,"D"))*1))/(COUNTA(PV18:PX18)),"")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(5ème1)'!QC18:QE18,"A"))*4)+((COUNTIF('Elève (5ème1)'!QC18:QE18,"B"))*3)+((COUNTIF('Elève (5ème1)'!QC18:QE18,"C"))*2)+((COUNTIF('Elève (5ème1)'!QC18:QE18,"D"))*1))/(COUNTA(QC18:QE18)),"")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(5ème1)'!QH18:QJ18,"A"))*4)+((COUNTIF('Elève (5ème1)'!QH18:QJ18,"B"))*3)+((COUNTIF('Elève (5ème1)'!QH18:QJ18,"C"))*2)+((COUNTIF('Elève (5ème1)'!QH18:QJ18,"D"))*1))/(COUNTA(QH18:QJ18)),"")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(5ème1)'!QM18:QO18,"A"))*4)+((COUNTIF('Elève (5ème1)'!QM18:QO18,"B"))*3)+((COUNTIF('Elève (5ème1)'!QM18:QO18,"C"))*2)+((COUNTIF('Elève (5ème1)'!QM18:QO18,"D"))*1))/(COUNTA(QM18:QO18)),"")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(5ème1)'!QT18:QV18,"A"))*4)+((COUNTIF('Elève (5ème1)'!QT18:QV18,"B"))*3)+((COUNTIF('Elève (5ème1)'!QT18:QV18,"C"))*2)+((COUNTIF('Elève (5ème1)'!QT18:QV18,"D"))*1))/(COUNTA(QT18:QV18)),"")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(5ème1)'!QY18:RA18,"A"))*4)+((COUNTIF('Elève (5ème1)'!QY18:RA18,"B"))*3)+((COUNTIF('Elève (5ème1)'!QY18:RA18,"C"))*2)+((COUNTIF('Elève (5ème1)'!QY18:RA18,"D"))*1))/(COUNTA(QY18:RA18)),"")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(5ème1)'!RD18:RF18,"A"))*4)+((COUNTIF('Elève (5ème1)'!RD18:RF18,"B"))*3)+((COUNTIF('Elève (5ème1)'!RD18:RF18,"C"))*2)+((COUNTIF('Elève (5ème1)'!RD18:RF18,"D"))*1))/(COUNTA(RD18:RF18)),"")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(5ème1)'!RK18:RM18,"A"))*4)+((COUNTIF('Elève (5ème1)'!RK18:RM18,"B"))*3)+((COUNTIF('Elève (5ème1)'!RK18:RM18,"C"))*2)+((COUNTIF('Elève (5ème1)'!RK18:RM18,"D"))*1))/(COUNTA(RK18:RM18)),"")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(5ème1)'!RP18:RR18,"A"))*4)+((COUNTIF('Elève (5ème1)'!RP18:RR18,"B"))*3)+((COUNTIF('Elève (5ème1)'!RP18:RR18,"C"))*2)+((COUNTIF('Elève (5ème1)'!RP18:RR18,"D"))*1))/(COUNTA(RP18:RR18)),"")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(5ème1)'!RU18:RW18,"A"))*4)+((COUNTIF('Elève (5ème1)'!RU18:RW18,"B"))*3)+((COUNTIF('Elève (5ème1)'!RU18:RW18,"C"))*2)+((COUNTIF('Elève (5ème1)'!RU18:RW18,"D"))*1))/(COUNTA(RU18:RW18)),"")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(5ème1)'!SB18:SD18,"A"))*4)+((COUNTIF('Elève (5ème1)'!SB18:SD18,"B"))*3)+((COUNTIF('Elève (5ème1)'!SB18:SD18,"C"))*2)+((COUNTIF('Elève (5ème1)'!SB18:SD18,"D"))*1))/(COUNTA(SB18:SD18)),"")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(5ème1)'!SG18:SI18,"A"))*4)+((COUNTIF('Elève (5ème1)'!SG18:SI18,"B"))*3)+((COUNTIF('Elève (5ème1)'!SG18:SI18,"C"))*2)+((COUNTIF('Elève (5ème1)'!SG18:SI18,"D"))*1))/(COUNTA(SG18:SI18)),"")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(5ème1)'!SL18:SN18,"A"))*4)+((COUNTIF('Elève (5ème1)'!SL18:SN18,"B"))*3)+((COUNTIF('Elève (5ème1)'!SL18:SN18,"C"))*2)+((COUNTIF('Elève (5ème1)'!SL18:SN18,"D"))*1))/(COUNTA(SL18:SN18)),"")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25" t="s">
        <v>23</v>
      </c>
      <c r="B19" s="226"/>
      <c r="C19" s="159"/>
      <c r="D19" s="160"/>
      <c r="E19" s="161"/>
      <c r="F19" s="136" t="str">
        <f>IFERROR((((COUNTIF('Elève (5ème1)'!C19:E19,"A"))*4)+((COUNTIF('Elève (5ème1)'!C19:E19,"B"))*3)+((COUNTIF('Elève (5ème1)'!C19:E19,"C"))*2)+((COUNTIF('Elève (5ème1)'!C19:E19,"D"))*1))/(COUNTA(C19:E19)),"")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(5ème1)'!H19:J19,"A"))*4)+((COUNTIF('Elève (5ème1)'!H19:J19,"B"))*3)+((COUNTIF('Elève (5ème1)'!H19:J19,"C"))*2)+((COUNTIF('Elève (5ème1)'!H19:J19,"D"))*1))/(COUNTA(H19:J19)),"")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(5ème1)'!M19:O19,"A"))*4)+((COUNTIF('Elève (5ème1)'!M19:O19,"B"))*3)+((COUNTIF('Elève (5ème1)'!M19:O19,"C"))*2)+((COUNTIF('Elève (5ème1)'!M19:O19,"D"))*1))/(COUNTA(M19:O19)),"")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(5ème1)'!T19:V19,"A"))*4)+((COUNTIF('Elève (5ème1)'!T19:V19,"B"))*3)+((COUNTIF('Elève (5ème1)'!T19:V19,"C"))*2)+((COUNTIF('Elève (5ème1)'!T19:V19,"D"))*1))/(COUNTA(T19:V19)),"")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(5ème1)'!Y19:AA19,"A"))*4)+((COUNTIF('Elève (5ème1)'!Y19:AA19,"B"))*3)+((COUNTIF('Elève (5ème1)'!Y19:AA19,"C"))*2)+((COUNTIF('Elève (5ème1)'!Y19:AA19,"D"))*1))/(COUNTA(Y19:AA19)),"")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(5ème1)'!AD19:AF19,"A"))*4)+((COUNTIF('Elève (5ème1)'!AD19:AF19,"B"))*3)+((COUNTIF('Elève (5ème1)'!AD19:AF19,"C"))*2)+((COUNTIF('Elève (5ème1)'!AD19:AF19,"D"))*1))/(COUNTA(AD19:AF19)),"")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(5ème1)'!AK19:AM19,"A"))*4)+((COUNTIF('Elève (5ème1)'!AK19:AM19,"B"))*3)+((COUNTIF('Elève (5ème1)'!AK19:AM19,"C"))*2)+((COUNTIF('Elève (5ème1)'!AK19:AM19,"D"))*1))/(COUNTA(AK19:AM19)),"")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(5ème1)'!AP19:AR19,"A"))*4)+((COUNTIF('Elève (5ème1)'!AP19:AR19,"B"))*3)+((COUNTIF('Elève (5ème1)'!AP19:AR19,"C"))*2)+((COUNTIF('Elève (5ème1)'!AP19:AR19,"D"))*1))/(COUNTA(AP19:AR19)),"")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(5ème1)'!AU19:AW19,"A"))*4)+((COUNTIF('Elève (5ème1)'!AU19:AW19,"B"))*3)+((COUNTIF('Elève (5ème1)'!AU19:AW19,"C"))*2)+((COUNTIF('Elève (5ème1)'!AU19:AW19,"D"))*1))/(COUNTA(AU19:AW19)),"")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(5ème1)'!BB19:BD19,"A"))*4)+((COUNTIF('Elève (5ème1)'!BB19:BD19,"B"))*3)+((COUNTIF('Elève (5ème1)'!BB19:BD19,"C"))*2)+((COUNTIF('Elève (5ème1)'!BB19:BD19,"D"))*1))/(COUNTA(BB19:BD19)),"")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(5ème1)'!BG19:BI19,"A"))*4)+((COUNTIF('Elève (5ème1)'!BG19:BI19,"B"))*3)+((COUNTIF('Elève (5ème1)'!BG19:BI19,"C"))*2)+((COUNTIF('Elève (5ème1)'!BG19:BI19,"D"))*1))/(COUNTA(BG19:BI19)),"")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(5ème1)'!BL19:BN19,"A"))*4)+((COUNTIF('Elève (5ème1)'!BL19:BN19,"B"))*3)+((COUNTIF('Elève (5ème1)'!BL19:BN19,"C"))*2)+((COUNTIF('Elève (5ème1)'!BL19:BN19,"D"))*1))/(COUNTA(BL19:BN19)),"")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(5ème1)'!BS19:BU19,"A"))*4)+((COUNTIF('Elève (5ème1)'!BS19:BU19,"B"))*3)+((COUNTIF('Elève (5ème1)'!BS19:BU19,"C"))*2)+((COUNTIF('Elève (5ème1)'!BS19:BU19,"D"))*1))/(COUNTA(BS19:BU19)),"")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(5ème1)'!BX19:BZ19,"A"))*4)+((COUNTIF('Elève (5ème1)'!BX19:BZ19,"B"))*3)+((COUNTIF('Elève (5ème1)'!BX19:BZ19,"C"))*2)+((COUNTIF('Elève (5ème1)'!BX19:BZ19,"D"))*1))/(COUNTA(BX19:BZ19)),"")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(5ème1)'!CC19:CE19,"A"))*4)+((COUNTIF('Elève (5ème1)'!CC19:CE19,"B"))*3)+((COUNTIF('Elève (5ème1)'!CC19:CE19,"C"))*2)+((COUNTIF('Elève (5ème1)'!CC19:CE19,"D"))*1))/(COUNTA(CC19:CE19)),"")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(5ème1)'!CJ19:CL19,"A"))*4)+((COUNTIF('Elève (5ème1)'!CJ19:CL19,"B"))*3)+((COUNTIF('Elève (5ème1)'!CJ19:CL19,"C"))*2)+((COUNTIF('Elève (5ème1)'!CJ19:CL19,"D"))*1))/(COUNTA(CJ19:CL19)),"")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(5ème1)'!CO19:CQ19,"A"))*4)+((COUNTIF('Elève (5ème1)'!CO19:CQ19,"B"))*3)+((COUNTIF('Elève (5ème1)'!CO19:CQ19,"C"))*2)+((COUNTIF('Elève (5ème1)'!CO19:CQ19,"D"))*1))/(COUNTA(CO19:CQ19)),"")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(5ème1)'!CT19:CV19,"A"))*4)+((COUNTIF('Elève (5ème1)'!CT19:CV19,"B"))*3)+((COUNTIF('Elève (5ème1)'!CT19:CV19,"C"))*2)+((COUNTIF('Elève (5ème1)'!CT19:CV19,"D"))*1))/(COUNTA(CT19:CV19)),"")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(5ème1)'!DA19:DC19,"A"))*4)+((COUNTIF('Elève (5ème1)'!DA19:DC19,"B"))*3)+((COUNTIF('Elève (5ème1)'!DA19:DC19,"C"))*2)+((COUNTIF('Elève (5ème1)'!DA19:DC19,"D"))*1))/(COUNTA(DA19:DC19)),"")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(5ème1)'!DF19:DH19,"A"))*4)+((COUNTIF('Elève (5ème1)'!DF19:DH19,"B"))*3)+((COUNTIF('Elève (5ème1)'!DF19:DH19,"C"))*2)+((COUNTIF('Elève (5ème1)'!DF19:DH19,"D"))*1))/(COUNTA(DF19:DH19)),"")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(5ème1)'!DK19:DM19,"A"))*4)+((COUNTIF('Elève (5ème1)'!DK19:DM19,"B"))*3)+((COUNTIF('Elève (5ème1)'!DK19:DM19,"C"))*2)+((COUNTIF('Elève (5ème1)'!DK19:DM19,"D"))*1))/(COUNTA(DK19:DM19)),"")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(5ème1)'!DR19:DT19,"A"))*4)+((COUNTIF('Elève (5ème1)'!DR19:DT19,"B"))*3)+((COUNTIF('Elève (5ème1)'!DR19:DT19,"C"))*2)+((COUNTIF('Elève (5ème1)'!DR19:DT19,"D"))*1))/(COUNTA(DR19:DT19)),"")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(5ème1)'!DW19:DY19,"A"))*4)+((COUNTIF('Elève (5ème1)'!DW19:DY19,"B"))*3)+((COUNTIF('Elève (5ème1)'!DW19:DY19,"C"))*2)+((COUNTIF('Elève (5ème1)'!DW19:DY19,"D"))*1))/(COUNTA(DW19:DY19)),"")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(5ème1)'!EB19:ED19,"A"))*4)+((COUNTIF('Elève (5ème1)'!EB19:ED19,"B"))*3)+((COUNTIF('Elève (5ème1)'!EB19:ED19,"C"))*2)+((COUNTIF('Elève (5ème1)'!EB19:ED19,"D"))*1))/(COUNTA(EB19:ED19)),"")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(5ème1)'!EI19:EK19,"A"))*4)+((COUNTIF('Elève (5ème1)'!EI19:EK19,"B"))*3)+((COUNTIF('Elève (5ème1)'!EI19:EK19,"C"))*2)+((COUNTIF('Elève (5ème1)'!EI19:EK19,"D"))*1))/(COUNTA(EI19:EK19)),"")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(5ème1)'!EN19:EP19,"A"))*4)+((COUNTIF('Elève (5ème1)'!EN19:EP19,"B"))*3)+((COUNTIF('Elève (5ème1)'!EN19:EP19,"C"))*2)+((COUNTIF('Elève (5ème1)'!EN19:EP19,"D"))*1))/(COUNTA(EN19:EP19)),"")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(5ème1)'!ES19:EU19,"A"))*4)+((COUNTIF('Elève (5ème1)'!ES19:EU19,"B"))*3)+((COUNTIF('Elève (5ème1)'!ES19:EU19,"C"))*2)+((COUNTIF('Elève (5ème1)'!ES19:EU19,"D"))*1))/(COUNTA(ES19:EU19)),"")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(5ème1)'!EZ19:FB19,"A"))*4)+((COUNTIF('Elève (5ème1)'!EZ19:FB19,"B"))*3)+((COUNTIF('Elève (5ème1)'!EZ19:FB19,"C"))*2)+((COUNTIF('Elève (5ème1)'!EZ19:FB19,"D"))*1))/(COUNTA(EZ19:FB19)),"")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(5ème1)'!FE19:FG19,"A"))*4)+((COUNTIF('Elève (5ème1)'!FE19:FG19,"B"))*3)+((COUNTIF('Elève (5ème1)'!FE19:FG19,"C"))*2)+((COUNTIF('Elève (5ème1)'!FE19:FG19,"D"))*1))/(COUNTA(FE19:FG19)),"")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(5ème1)'!FJ19:FL19,"A"))*4)+((COUNTIF('Elève (5ème1)'!FJ19:FL19,"B"))*3)+((COUNTIF('Elève (5ème1)'!FJ19:FL19,"C"))*2)+((COUNTIF('Elève (5ème1)'!FJ19:FL19,"D"))*1))/(COUNTA(FJ19:FL19)),"")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(5ème1)'!FQ19:FS19,"A"))*4)+((COUNTIF('Elève (5ème1)'!FQ19:FS19,"B"))*3)+((COUNTIF('Elève (5ème1)'!FQ19:FS19,"C"))*2)+((COUNTIF('Elève (5ème1)'!FQ19:FS19,"D"))*1))/(COUNTA(FQ19:FS19)),"")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(5ème1)'!FV19:FX19,"A"))*4)+((COUNTIF('Elève (5ème1)'!FV19:FX19,"B"))*3)+((COUNTIF('Elève (5ème1)'!FV19:FX19,"C"))*2)+((COUNTIF('Elève (5ème1)'!FV19:FX19,"D"))*1))/(COUNTA(FV19:FX19)),"")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(5ème1)'!GA19:GC19,"A"))*4)+((COUNTIF('Elève (5ème1)'!GA19:GC19,"B"))*3)+((COUNTIF('Elève (5ème1)'!GA19:GC19,"C"))*2)+((COUNTIF('Elève (5ème1)'!GA19:GC19,"D"))*1))/(COUNTA(GA19:GC19)),"")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(5ème1)'!GH19:GJ19,"A"))*4)+((COUNTIF('Elève (5ème1)'!GH19:GJ19,"B"))*3)+((COUNTIF('Elève (5ème1)'!GH19:GJ19,"C"))*2)+((COUNTIF('Elève (5ème1)'!GH19:GJ19,"D"))*1))/(COUNTA(GH19:GJ19)),"")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(5ème1)'!GM19:GO19,"A"))*4)+((COUNTIF('Elève (5ème1)'!GM19:GO19,"B"))*3)+((COUNTIF('Elève (5ème1)'!GM19:GO19,"C"))*2)+((COUNTIF('Elève (5ème1)'!GM19:GO19,"D"))*1))/(COUNTA(GM19:GO19)),"")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(5ème1)'!GR19:GT19,"A"))*4)+((COUNTIF('Elève (5ème1)'!GR19:GT19,"B"))*3)+((COUNTIF('Elève (5ème1)'!GR19:GT19,"C"))*2)+((COUNTIF('Elève (5ème1)'!GR19:GT19,"D"))*1))/(COUNTA(GR19:GT19)),"")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(5ème1)'!GY19:HA19,"A"))*4)+((COUNTIF('Elève (5ème1)'!GY19:HA19,"B"))*3)+((COUNTIF('Elève (5ème1)'!GY19:HA19,"C"))*2)+((COUNTIF('Elève (5ème1)'!GY19:HA19,"D"))*1))/(COUNTA(GY19:HA19)),"")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(5ème1)'!HD19:HF19,"A"))*4)+((COUNTIF('Elève (5ème1)'!HD19:HF19,"B"))*3)+((COUNTIF('Elève (5ème1)'!HD19:HF19,"C"))*2)+((COUNTIF('Elève (5ème1)'!HD19:HF19,"D"))*1))/(COUNTA(HD19:HF19)),"")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(5ème1)'!HI19:HK19,"A"))*4)+((COUNTIF('Elève (5ème1)'!HI19:HK19,"B"))*3)+((COUNTIF('Elève (5ème1)'!HI19:HK19,"C"))*2)+((COUNTIF('Elève (5ème1)'!HI19:HK19,"D"))*1))/(COUNTA(HI19:HK19)),"")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(5ème1)'!HP19:HR19,"A"))*4)+((COUNTIF('Elève (5ème1)'!HP19:HR19,"B"))*3)+((COUNTIF('Elève (5ème1)'!HP19:HR19,"C"))*2)+((COUNTIF('Elève (5ème1)'!HP19:HR19,"D"))*1))/(COUNTA(HP19:HR19)),"")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(5ème1)'!HU19:HW19,"A"))*4)+((COUNTIF('Elève (5ème1)'!HU19:HW19,"B"))*3)+((COUNTIF('Elève (5ème1)'!HU19:HW19,"C"))*2)+((COUNTIF('Elève (5ème1)'!HU19:HW19,"D"))*1))/(COUNTA(HU19:HW19)),"")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(5ème1)'!HZ19:IB19,"A"))*4)+((COUNTIF('Elève (5ème1)'!HZ19:IB19,"B"))*3)+((COUNTIF('Elève (5ème1)'!HZ19:IB19,"C"))*2)+((COUNTIF('Elève (5ème1)'!HZ19:IB19,"D"))*1))/(COUNTA(HZ19:IB19)),"")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(5ème1)'!IG19:II19,"A"))*4)+((COUNTIF('Elève (5ème1)'!IG19:II19,"B"))*3)+((COUNTIF('Elève (5ème1)'!IG19:II19,"C"))*2)+((COUNTIF('Elève (5ème1)'!IG19:II19,"D"))*1))/(COUNTA(IG19:II19)),"")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(5ème1)'!IL19:IN19,"A"))*4)+((COUNTIF('Elève (5ème1)'!IL19:IN19,"B"))*3)+((COUNTIF('Elève (5ème1)'!IL19:IN19,"C"))*2)+((COUNTIF('Elève (5ème1)'!IL19:IN19,"D"))*1))/(COUNTA(IL19:IN19)),"")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(5ème1)'!IQ19:IS19,"A"))*4)+((COUNTIF('Elève (5ème1)'!IQ19:IS19,"B"))*3)+((COUNTIF('Elève (5ème1)'!IQ19:IS19,"C"))*2)+((COUNTIF('Elève (5ème1)'!IQ19:IS19,"D"))*1))/(COUNTA(IQ19:IS19)),"")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(5ème1)'!IX19:IZ19,"A"))*4)+((COUNTIF('Elève (5ème1)'!IX19:IZ19,"B"))*3)+((COUNTIF('Elève (5ème1)'!IX19:IZ19,"C"))*2)+((COUNTIF('Elève (5ème1)'!IX19:IZ19,"D"))*1))/(COUNTA(IX19:IZ19)),"")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(5ème1)'!JC19:JE19,"A"))*4)+((COUNTIF('Elève (5ème1)'!JC19:JE19,"B"))*3)+((COUNTIF('Elève (5ème1)'!JC19:JE19,"C"))*2)+((COUNTIF('Elève (5ème1)'!JC19:JE19,"D"))*1))/(COUNTA(JC19:JE19)),"")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(5ème1)'!JH19:JJ19,"A"))*4)+((COUNTIF('Elève (5ème1)'!JH19:JJ19,"B"))*3)+((COUNTIF('Elève (5ème1)'!JH19:JJ19,"C"))*2)+((COUNTIF('Elève (5ème1)'!JH19:JJ19,"D"))*1))/(COUNTA(JH19:JJ19)),"")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(5ème1)'!JO19:JQ19,"A"))*4)+((COUNTIF('Elève (5ème1)'!JO19:JQ19,"B"))*3)+((COUNTIF('Elève (5ème1)'!JO19:JQ19,"C"))*2)+((COUNTIF('Elève (5ème1)'!JO19:JQ19,"D"))*1))/(COUNTA(JO19:JQ19)),"")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(5ème1)'!JT19:JV19,"A"))*4)+((COUNTIF('Elève (5ème1)'!JT19:JV19,"B"))*3)+((COUNTIF('Elève (5ème1)'!JT19:JV19,"C"))*2)+((COUNTIF('Elève (5ème1)'!JT19:JV19,"D"))*1))/(COUNTA(JT19:JV19)),"")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(5ème1)'!JY19:KA19,"A"))*4)+((COUNTIF('Elève (5ème1)'!JY19:KA19,"B"))*3)+((COUNTIF('Elève (5ème1)'!JY19:KA19,"C"))*2)+((COUNTIF('Elève (5ème1)'!JY19:KA19,"D"))*1))/(COUNTA(JY19:KA19)),"")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(5ème1)'!KF19:KH19,"A"))*4)+((COUNTIF('Elève (5ème1)'!KF19:KH19,"B"))*3)+((COUNTIF('Elève (5ème1)'!KF19:KH19,"C"))*2)+((COUNTIF('Elève (5ème1)'!KF19:KH19,"D"))*1))/(COUNTA(KF19:KH19)),"")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(5ème1)'!KK19:KM19,"A"))*4)+((COUNTIF('Elève (5ème1)'!KK19:KM19,"B"))*3)+((COUNTIF('Elève (5ème1)'!KK19:KM19,"C"))*2)+((COUNTIF('Elève (5ème1)'!KK19:KM19,"D"))*1))/(COUNTA(KK19:KM19)),"")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(5ème1)'!KP19:KR19,"A"))*4)+((COUNTIF('Elève (5ème1)'!KP19:KR19,"B"))*3)+((COUNTIF('Elève (5ème1)'!KP19:KR19,"C"))*2)+((COUNTIF('Elève (5ème1)'!KP19:KR19,"D"))*1))/(COUNTA(KP19:KR19)),"")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(5ème1)'!KW19:KY19,"A"))*4)+((COUNTIF('Elève (5ème1)'!KW19:KY19,"B"))*3)+((COUNTIF('Elève (5ème1)'!KW19:KY19,"C"))*2)+((COUNTIF('Elève (5ème1)'!KW19:KY19,"D"))*1))/(COUNTA(KW19:KY19)),"")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(5ème1)'!LB19:LD19,"A"))*4)+((COUNTIF('Elève (5ème1)'!LB19:LD19,"B"))*3)+((COUNTIF('Elève (5ème1)'!LB19:LD19,"C"))*2)+((COUNTIF('Elève (5ème1)'!LB19:LD19,"D"))*1))/(COUNTA(LB19:LD19)),"")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(5ème1)'!LG19:LI19,"A"))*4)+((COUNTIF('Elève (5ème1)'!LG19:LI19,"B"))*3)+((COUNTIF('Elève (5ème1)'!LG19:LI19,"C"))*2)+((COUNTIF('Elève (5ème1)'!LG19:LI19,"D"))*1))/(COUNTA(LG19:LI19)),"")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(5ème1)'!LN19:LP19,"A"))*4)+((COUNTIF('Elève (5ème1)'!LN19:LP19,"B"))*3)+((COUNTIF('Elève (5ème1)'!LN19:LP19,"C"))*2)+((COUNTIF('Elève (5ème1)'!LN19:LP19,"D"))*1))/(COUNTA(LN19:LP19)),"")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(5ème1)'!LS19:LU19,"A"))*4)+((COUNTIF('Elève (5ème1)'!LS19:LU19,"B"))*3)+((COUNTIF('Elève (5ème1)'!LS19:LU19,"C"))*2)+((COUNTIF('Elève (5ème1)'!LS19:LU19,"D"))*1))/(COUNTA(LS19:LU19)),"")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(5ème1)'!LX19:LZ19,"A"))*4)+((COUNTIF('Elève (5ème1)'!LX19:LZ19,"B"))*3)+((COUNTIF('Elève (5ème1)'!LX19:LZ19,"C"))*2)+((COUNTIF('Elève (5ème1)'!LX19:LZ19,"D"))*1))/(COUNTA(LX19:LZ19)),"")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(5ème1)'!ME19:MG19,"A"))*4)+((COUNTIF('Elève (5ème1)'!ME19:MG19,"B"))*3)+((COUNTIF('Elève (5ème1)'!ME19:MG19,"C"))*2)+((COUNTIF('Elève (5ème1)'!ME19:MG19,"D"))*1))/(COUNTA(ME19:MG19)),"")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(5ème1)'!MJ19:ML19,"A"))*4)+((COUNTIF('Elève (5ème1)'!MJ19:ML19,"B"))*3)+((COUNTIF('Elève (5ème1)'!MJ19:ML19,"C"))*2)+((COUNTIF('Elève (5ème1)'!MJ19:ML19,"D"))*1))/(COUNTA(MJ19:ML19)),"")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(5ème1)'!MO19:MQ19,"A"))*4)+((COUNTIF('Elève (5ème1)'!MO19:MQ19,"B"))*3)+((COUNTIF('Elève (5ème1)'!MO19:MQ19,"C"))*2)+((COUNTIF('Elève (5ème1)'!MO19:MQ19,"D"))*1))/(COUNTA(MO19:MQ19)),"")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(5ème1)'!MV19:MX19,"A"))*4)+((COUNTIF('Elève (5ème1)'!MV19:MX19,"B"))*3)+((COUNTIF('Elève (5ème1)'!MV19:MX19,"C"))*2)+((COUNTIF('Elève (5ème1)'!MV19:MX19,"D"))*1))/(COUNTA(MV19:MX19)),"")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(5ème1)'!NA19:NC19,"A"))*4)+((COUNTIF('Elève (5ème1)'!NA19:NC19,"B"))*3)+((COUNTIF('Elève (5ème1)'!NA19:NC19,"C"))*2)+((COUNTIF('Elève (5ème1)'!NA19:NC19,"D"))*1))/(COUNTA(NA19:NC19)),"")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(5ème1)'!NF19:NH19,"A"))*4)+((COUNTIF('Elève (5ème1)'!NF19:NH19,"B"))*3)+((COUNTIF('Elève (5ème1)'!NF19:NH19,"C"))*2)+((COUNTIF('Elève (5ème1)'!NF19:NH19,"D"))*1))/(COUNTA(NF19:NH19)),"")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(5ème1)'!NM19:NO19,"A"))*4)+((COUNTIF('Elève (5ème1)'!NM19:NO19,"B"))*3)+((COUNTIF('Elève (5ème1)'!NM19:NO19,"C"))*2)+((COUNTIF('Elève (5ème1)'!NM19:NO19,"D"))*1))/(COUNTA(NM19:NO19)),"")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(5ème1)'!NR19:NT19,"A"))*4)+((COUNTIF('Elève (5ème1)'!NR19:NT19,"B"))*3)+((COUNTIF('Elève (5ème1)'!NR19:NT19,"C"))*2)+((COUNTIF('Elève (5ème1)'!NR19:NT19,"D"))*1))/(COUNTA(NR19:NT19)),"")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(5ème1)'!NW19:NY19,"A"))*4)+((COUNTIF('Elève (5ème1)'!NW19:NY19,"B"))*3)+((COUNTIF('Elève (5ème1)'!NW19:NY19,"C"))*2)+((COUNTIF('Elève (5ème1)'!NW19:NY19,"D"))*1))/(COUNTA(NW19:NY19)),"")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(5ème1)'!OD19:OF19,"A"))*4)+((COUNTIF('Elève (5ème1)'!OD19:OF19,"B"))*3)+((COUNTIF('Elève (5ème1)'!OD19:OF19,"C"))*2)+((COUNTIF('Elève (5ème1)'!OD19:OF19,"D"))*1))/(COUNTA(OD19:OF19)),"")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(5ème1)'!OI19:OK19,"A"))*4)+((COUNTIF('Elève (5ème1)'!OI19:OK19,"B"))*3)+((COUNTIF('Elève (5ème1)'!OI19:OK19,"C"))*2)+((COUNTIF('Elève (5ème1)'!OI19:OK19,"D"))*1))/(COUNTA(OI19:OK19)),"")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(5ème1)'!ON19:OP19,"A"))*4)+((COUNTIF('Elève (5ème1)'!ON19:OP19,"B"))*3)+((COUNTIF('Elève (5ème1)'!ON19:OP19,"C"))*2)+((COUNTIF('Elève (5ème1)'!ON19:OP19,"D"))*1))/(COUNTA(ON19:OP19)),"")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(5ème1)'!OU19:OW19,"A"))*4)+((COUNTIF('Elève (5ème1)'!OU19:OW19,"B"))*3)+((COUNTIF('Elève (5ème1)'!OU19:OW19,"C"))*2)+((COUNTIF('Elève (5ème1)'!OU19:OW19,"D"))*1))/(COUNTA(OU19:OW19)),"")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(5ème1)'!OZ19:PB19,"A"))*4)+((COUNTIF('Elève (5ème1)'!OZ19:PB19,"B"))*3)+((COUNTIF('Elève (5ème1)'!OZ19:PB19,"C"))*2)+((COUNTIF('Elève (5ème1)'!OZ19:PB19,"D"))*1))/(COUNTA(OZ19:PB19)),"")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(5ème1)'!PE19:PG19,"A"))*4)+((COUNTIF('Elève (5ème1)'!PE19:PG19,"B"))*3)+((COUNTIF('Elève (5ème1)'!PE19:PG19,"C"))*2)+((COUNTIF('Elève (5ème1)'!PE19:PG19,"D"))*1))/(COUNTA(PE19:PG19)),"")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(5ème1)'!PL19:PN19,"A"))*4)+((COUNTIF('Elève (5ème1)'!PL19:PN19,"B"))*3)+((COUNTIF('Elève (5ème1)'!PL19:PN19,"C"))*2)+((COUNTIF('Elève (5ème1)'!PL19:PN19,"D"))*1))/(COUNTA(PL19:PN19)),"")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(5ème1)'!PQ19:PS19,"A"))*4)+((COUNTIF('Elève (5ème1)'!PQ19:PS19,"B"))*3)+((COUNTIF('Elève (5ème1)'!PQ19:PS19,"C"))*2)+((COUNTIF('Elève (5ème1)'!PQ19:PS19,"D"))*1))/(COUNTA(PQ19:PS19)),"")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(5ème1)'!PV19:PX19,"A"))*4)+((COUNTIF('Elève (5ème1)'!PV19:PX19,"B"))*3)+((COUNTIF('Elève (5ème1)'!PV19:PX19,"C"))*2)+((COUNTIF('Elève (5ème1)'!PV19:PX19,"D"))*1))/(COUNTA(PV19:PX19)),"")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(5ème1)'!QC19:QE19,"A"))*4)+((COUNTIF('Elève (5ème1)'!QC19:QE19,"B"))*3)+((COUNTIF('Elève (5ème1)'!QC19:QE19,"C"))*2)+((COUNTIF('Elève (5ème1)'!QC19:QE19,"D"))*1))/(COUNTA(QC19:QE19)),"")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(5ème1)'!QH19:QJ19,"A"))*4)+((COUNTIF('Elève (5ème1)'!QH19:QJ19,"B"))*3)+((COUNTIF('Elève (5ème1)'!QH19:QJ19,"C"))*2)+((COUNTIF('Elève (5ème1)'!QH19:QJ19,"D"))*1))/(COUNTA(QH19:QJ19)),"")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(5ème1)'!QM19:QO19,"A"))*4)+((COUNTIF('Elève (5ème1)'!QM19:QO19,"B"))*3)+((COUNTIF('Elève (5ème1)'!QM19:QO19,"C"))*2)+((COUNTIF('Elève (5ème1)'!QM19:QO19,"D"))*1))/(COUNTA(QM19:QO19)),"")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(5ème1)'!QT19:QV19,"A"))*4)+((COUNTIF('Elève (5ème1)'!QT19:QV19,"B"))*3)+((COUNTIF('Elève (5ème1)'!QT19:QV19,"C"))*2)+((COUNTIF('Elève (5ème1)'!QT19:QV19,"D"))*1))/(COUNTA(QT19:QV19)),"")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(5ème1)'!QY19:RA19,"A"))*4)+((COUNTIF('Elève (5ème1)'!QY19:RA19,"B"))*3)+((COUNTIF('Elève (5ème1)'!QY19:RA19,"C"))*2)+((COUNTIF('Elève (5ème1)'!QY19:RA19,"D"))*1))/(COUNTA(QY19:RA19)),"")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(5ème1)'!RD19:RF19,"A"))*4)+((COUNTIF('Elève (5ème1)'!RD19:RF19,"B"))*3)+((COUNTIF('Elève (5ème1)'!RD19:RF19,"C"))*2)+((COUNTIF('Elève (5ème1)'!RD19:RF19,"D"))*1))/(COUNTA(RD19:RF19)),"")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(5ème1)'!RK19:RM19,"A"))*4)+((COUNTIF('Elève (5ème1)'!RK19:RM19,"B"))*3)+((COUNTIF('Elève (5ème1)'!RK19:RM19,"C"))*2)+((COUNTIF('Elève (5ème1)'!RK19:RM19,"D"))*1))/(COUNTA(RK19:RM19)),"")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(5ème1)'!RP19:RR19,"A"))*4)+((COUNTIF('Elève (5ème1)'!RP19:RR19,"B"))*3)+((COUNTIF('Elève (5ème1)'!RP19:RR19,"C"))*2)+((COUNTIF('Elève (5ème1)'!RP19:RR19,"D"))*1))/(COUNTA(RP19:RR19)),"")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(5ème1)'!RU19:RW19,"A"))*4)+((COUNTIF('Elève (5ème1)'!RU19:RW19,"B"))*3)+((COUNTIF('Elève (5ème1)'!RU19:RW19,"C"))*2)+((COUNTIF('Elève (5ème1)'!RU19:RW19,"D"))*1))/(COUNTA(RU19:RW19)),"")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(5ème1)'!SB19:SD19,"A"))*4)+((COUNTIF('Elève (5ème1)'!SB19:SD19,"B"))*3)+((COUNTIF('Elève (5ème1)'!SB19:SD19,"C"))*2)+((COUNTIF('Elève (5ème1)'!SB19:SD19,"D"))*1))/(COUNTA(SB19:SD19)),"")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(5ème1)'!SG19:SI19,"A"))*4)+((COUNTIF('Elève (5ème1)'!SG19:SI19,"B"))*3)+((COUNTIF('Elève (5ème1)'!SG19:SI19,"C"))*2)+((COUNTIF('Elève (5ème1)'!SG19:SI19,"D"))*1))/(COUNTA(SG19:SI19)),"")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(5ème1)'!SL19:SN19,"A"))*4)+((COUNTIF('Elève (5ème1)'!SL19:SN19,"B"))*3)+((COUNTIF('Elève (5ème1)'!SL19:SN19,"C"))*2)+((COUNTIF('Elève (5ème1)'!SL19:SN19,"D"))*1))/(COUNTA(SL19:SN19)),"")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(5ème1)'!C21:E21,"A"))*4)+((COUNTIF('Elève (5ème1)'!C21:E21,"B"))*3)+((COUNTIF('Elève (5ème1)'!C21:E21,"C"))*2)+((COUNTIF('Elève (5ème1)'!C21:E21,"D"))*1))/(COUNTA(C21:E21)),"")</f>
        <v/>
      </c>
      <c r="G20" s="107" t="str">
        <f t="shared" si="0"/>
        <v/>
      </c>
      <c r="H20" s="145"/>
      <c r="I20" s="186"/>
      <c r="J20" s="146"/>
      <c r="K20" s="129" t="str">
        <f>IFERROR((((COUNTIF('Elève (5ème1)'!H21:J21,"A"))*4)+((COUNTIF('Elève (5ème1)'!H21:J21,"B"))*3)+((COUNTIF('Elève (5ème1)'!H21:J21,"C"))*2)+((COUNTIF('Elève (5ème1)'!H21:J21,"D"))*1))/(COUNTA(H21:J21)),"")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(5ème1)'!M21:O21,"A"))*4)+((COUNTIF('Elève (5ème1)'!M21:O21,"B"))*3)+((COUNTIF('Elève (5ème1)'!M21:O21,"C"))*2)+((COUNTIF('Elève (5ème1)'!M21:O21,"D"))*1))/(COUNTA(M21:O21)),"")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(5ème1)'!T21:V21,"A"))*4)+((COUNTIF('Elève (5ème1)'!T21:V21,"B"))*3)+((COUNTIF('Elève (5ème1)'!T21:V21,"C"))*2)+((COUNTIF('Elève (5ème1)'!T21:V21,"D"))*1))/(COUNTA(T21:V21)),"")</f>
        <v/>
      </c>
      <c r="X20" s="107" t="str">
        <f t="shared" si="4"/>
        <v/>
      </c>
      <c r="Y20" s="145"/>
      <c r="Z20" s="186"/>
      <c r="AA20" s="146"/>
      <c r="AB20" s="129" t="str">
        <f>IFERROR((((COUNTIF('Elève (5ème1)'!Y21:AA21,"A"))*4)+((COUNTIF('Elève (5ème1)'!Y21:AA21,"B"))*3)+((COUNTIF('Elève (5ème1)'!Y21:AA21,"C"))*2)+((COUNTIF('Elève (5ème1)'!Y21:AA21,"D"))*1))/(COUNTA(Y21:AA21)),"")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(5ème1)'!AD21:AF21,"A"))*4)+((COUNTIF('Elève (5ème1)'!AD21:AF21,"B"))*3)+((COUNTIF('Elève (5ème1)'!AD21:AF21,"C"))*2)+((COUNTIF('Elève (5ème1)'!AD21:AF21,"D"))*1))/(COUNTA(AD21:AF21)),"")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(5ème1)'!AK21:AM21,"A"))*4)+((COUNTIF('Elève (5ème1)'!AK21:AM21,"B"))*3)+((COUNTIF('Elève (5ème1)'!AK21:AM21,"C"))*2)+((COUNTIF('Elève (5ème1)'!AK21:AM21,"D"))*1))/(COUNTA(AK21:AM21)),"")</f>
        <v/>
      </c>
      <c r="AO20" s="107" t="str">
        <f t="shared" si="8"/>
        <v/>
      </c>
      <c r="AP20" s="145"/>
      <c r="AQ20" s="186"/>
      <c r="AR20" s="146"/>
      <c r="AS20" s="129" t="str">
        <f>IFERROR((((COUNTIF('Elève (5ème1)'!AP21:AR21,"A"))*4)+((COUNTIF('Elève (5ème1)'!AP21:AR21,"B"))*3)+((COUNTIF('Elève (5ème1)'!AP21:AR21,"C"))*2)+((COUNTIF('Elève (5ème1)'!AP21:AR21,"D"))*1))/(COUNTA(AP21:AR21)),"")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(5ème1)'!AU21:AW21,"A"))*4)+((COUNTIF('Elève (5ème1)'!AU21:AW21,"B"))*3)+((COUNTIF('Elève (5ème1)'!AU21:AW21,"C"))*2)+((COUNTIF('Elève (5ème1)'!AU21:AW21,"D"))*1))/(COUNTA(AU21:AW21)),"")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(5ème1)'!BB21:BD21,"A"))*4)+((COUNTIF('Elève (5ème1)'!BB21:BD21,"B"))*3)+((COUNTIF('Elève (5ème1)'!BB21:BD21,"C"))*2)+((COUNTIF('Elève (5ème1)'!BB21:BD21,"D"))*1))/(COUNTA(BB21:BD21)),"")</f>
        <v/>
      </c>
      <c r="BF20" s="107" t="str">
        <f t="shared" si="12"/>
        <v/>
      </c>
      <c r="BG20" s="145"/>
      <c r="BH20" s="186"/>
      <c r="BI20" s="146"/>
      <c r="BJ20" s="129" t="str">
        <f>IFERROR((((COUNTIF('Elève (5ème1)'!BG21:BI21,"A"))*4)+((COUNTIF('Elève (5ème1)'!BG21:BI21,"B"))*3)+((COUNTIF('Elève (5ème1)'!BG21:BI21,"C"))*2)+((COUNTIF('Elève (5ème1)'!BG21:BI21,"D"))*1))/(COUNTA(BG21:BI21)),"")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(5ème1)'!BL21:BN21,"A"))*4)+((COUNTIF('Elève (5ème1)'!BL21:BN21,"B"))*3)+((COUNTIF('Elève (5ème1)'!BL21:BN21,"C"))*2)+((COUNTIF('Elève (5ème1)'!BL21:BN21,"D"))*1))/(COUNTA(BL21:BN21)),"")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(5ème1)'!BS21:BU21,"A"))*4)+((COUNTIF('Elève (5ème1)'!BS21:BU21,"B"))*3)+((COUNTIF('Elève (5ème1)'!BS21:BU21,"C"))*2)+((COUNTIF('Elève (5ème1)'!BS21:BU21,"D"))*1))/(COUNTA(BS21:BU21)),"")</f>
        <v/>
      </c>
      <c r="BW20" s="107" t="str">
        <f t="shared" si="16"/>
        <v/>
      </c>
      <c r="BX20" s="145"/>
      <c r="BY20" s="186"/>
      <c r="BZ20" s="146"/>
      <c r="CA20" s="129" t="str">
        <f>IFERROR((((COUNTIF('Elève (5ème1)'!BX21:BZ21,"A"))*4)+((COUNTIF('Elève (5ème1)'!BX21:BZ21,"B"))*3)+((COUNTIF('Elève (5ème1)'!BX21:BZ21,"C"))*2)+((COUNTIF('Elève (5ème1)'!BX21:BZ21,"D"))*1))/(COUNTA(BX21:BZ21)),"")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(5ème1)'!CC21:CE21,"A"))*4)+((COUNTIF('Elève (5ème1)'!CC21:CE21,"B"))*3)+((COUNTIF('Elève (5ème1)'!CC21:CE21,"C"))*2)+((COUNTIF('Elève (5ème1)'!CC21:CE21,"D"))*1))/(COUNTA(CC21:CE21)),"")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(5ème1)'!CJ21:CL21,"A"))*4)+((COUNTIF('Elève (5ème1)'!CJ21:CL21,"B"))*3)+((COUNTIF('Elève (5ème1)'!CJ21:CL21,"C"))*2)+((COUNTIF('Elève (5ème1)'!CJ21:CL21,"D"))*1))/(COUNTA(CJ21:CL21)),"")</f>
        <v/>
      </c>
      <c r="CN20" s="107" t="str">
        <f t="shared" si="20"/>
        <v/>
      </c>
      <c r="CO20" s="145"/>
      <c r="CP20" s="186"/>
      <c r="CQ20" s="146"/>
      <c r="CR20" s="129" t="str">
        <f>IFERROR((((COUNTIF('Elève (5ème1)'!CO21:CQ21,"A"))*4)+((COUNTIF('Elève (5ème1)'!CO21:CQ21,"B"))*3)+((COUNTIF('Elève (5ème1)'!CO21:CQ21,"C"))*2)+((COUNTIF('Elève (5ème1)'!CO21:CQ21,"D"))*1))/(COUNTA(CO21:CQ21)),"")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(5ème1)'!CT21:CV21,"A"))*4)+((COUNTIF('Elève (5ème1)'!CT21:CV21,"B"))*3)+((COUNTIF('Elève (5ème1)'!CT21:CV21,"C"))*2)+((COUNTIF('Elève (5ème1)'!CT21:CV21,"D"))*1))/(COUNTA(CT21:CV21)),"")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(5ème1)'!DA21:DC21,"A"))*4)+((COUNTIF('Elève (5ème1)'!DA21:DC21,"B"))*3)+((COUNTIF('Elève (5ème1)'!DA21:DC21,"C"))*2)+((COUNTIF('Elève (5ème1)'!DA21:DC21,"D"))*1))/(COUNTA(DA21:DC21)),"")</f>
        <v/>
      </c>
      <c r="DE20" s="107" t="str">
        <f t="shared" si="24"/>
        <v/>
      </c>
      <c r="DF20" s="145"/>
      <c r="DG20" s="186"/>
      <c r="DH20" s="146"/>
      <c r="DI20" s="129" t="str">
        <f>IFERROR((((COUNTIF('Elève (5ème1)'!DF21:DH21,"A"))*4)+((COUNTIF('Elève (5ème1)'!DF21:DH21,"B"))*3)+((COUNTIF('Elève (5ème1)'!DF21:DH21,"C"))*2)+((COUNTIF('Elève (5ème1)'!DF21:DH21,"D"))*1))/(COUNTA(DF21:DH21)),"")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(5ème1)'!DK21:DM21,"A"))*4)+((COUNTIF('Elève (5ème1)'!DK21:DM21,"B"))*3)+((COUNTIF('Elève (5ème1)'!DK21:DM21,"C"))*2)+((COUNTIF('Elève (5ème1)'!DK21:DM21,"D"))*1))/(COUNTA(DK21:DM21)),"")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(5ème1)'!DR21:DT21,"A"))*4)+((COUNTIF('Elève (5ème1)'!DR21:DT21,"B"))*3)+((COUNTIF('Elève (5ème1)'!DR21:DT21,"C"))*2)+((COUNTIF('Elève (5ème1)'!DR21:DT21,"D"))*1))/(COUNTA(DR21:DT21)),"")</f>
        <v/>
      </c>
      <c r="DV20" s="107" t="str">
        <f t="shared" si="28"/>
        <v/>
      </c>
      <c r="DW20" s="145"/>
      <c r="DX20" s="186"/>
      <c r="DY20" s="146"/>
      <c r="DZ20" s="129" t="str">
        <f>IFERROR((((COUNTIF('Elève (5ème1)'!DW21:DY21,"A"))*4)+((COUNTIF('Elève (5ème1)'!DW21:DY21,"B"))*3)+((COUNTIF('Elève (5ème1)'!DW21:DY21,"C"))*2)+((COUNTIF('Elève (5ème1)'!DW21:DY21,"D"))*1))/(COUNTA(DW21:DY21)),"")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(5ème1)'!EB21:ED21,"A"))*4)+((COUNTIF('Elève (5ème1)'!EB21:ED21,"B"))*3)+((COUNTIF('Elève (5ème1)'!EB21:ED21,"C"))*2)+((COUNTIF('Elève (5ème1)'!EB21:ED21,"D"))*1))/(COUNTA(EB21:ED21)),"")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(5ème1)'!EI21:EK21,"A"))*4)+((COUNTIF('Elève (5ème1)'!EI21:EK21,"B"))*3)+((COUNTIF('Elève (5ème1)'!EI21:EK21,"C"))*2)+((COUNTIF('Elève (5ème1)'!EI21:EK21,"D"))*1))/(COUNTA(EI21:EK21)),"")</f>
        <v/>
      </c>
      <c r="EM20" s="107" t="str">
        <f t="shared" si="32"/>
        <v/>
      </c>
      <c r="EN20" s="145"/>
      <c r="EO20" s="186"/>
      <c r="EP20" s="146"/>
      <c r="EQ20" s="129" t="str">
        <f>IFERROR((((COUNTIF('Elève (5ème1)'!EN21:EP21,"A"))*4)+((COUNTIF('Elève (5ème1)'!EN21:EP21,"B"))*3)+((COUNTIF('Elève (5ème1)'!EN21:EP21,"C"))*2)+((COUNTIF('Elève (5ème1)'!EN21:EP21,"D"))*1))/(COUNTA(EN21:EP21)),"")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(5ème1)'!ES21:EU21,"A"))*4)+((COUNTIF('Elève (5ème1)'!ES21:EU21,"B"))*3)+((COUNTIF('Elève (5ème1)'!ES21:EU21,"C"))*2)+((COUNTIF('Elève (5ème1)'!ES21:EU21,"D"))*1))/(COUNTA(ES21:EU21)),"")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(5ème1)'!EZ21:FB21,"A"))*4)+((COUNTIF('Elève (5ème1)'!EZ21:FB21,"B"))*3)+((COUNTIF('Elève (5ème1)'!EZ21:FB21,"C"))*2)+((COUNTIF('Elève (5ème1)'!EZ21:FB21,"D"))*1))/(COUNTA(EZ21:FB21)),"")</f>
        <v/>
      </c>
      <c r="FD20" s="107" t="str">
        <f t="shared" si="36"/>
        <v/>
      </c>
      <c r="FE20" s="145"/>
      <c r="FF20" s="186"/>
      <c r="FG20" s="146"/>
      <c r="FH20" s="129" t="str">
        <f>IFERROR((((COUNTIF('Elève (5ème1)'!FE21:FG21,"A"))*4)+((COUNTIF('Elève (5ème1)'!FE21:FG21,"B"))*3)+((COUNTIF('Elève (5ème1)'!FE21:FG21,"C"))*2)+((COUNTIF('Elève (5ème1)'!FE21:FG21,"D"))*1))/(COUNTA(FE21:FG21)),"")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(5ème1)'!FJ21:FL21,"A"))*4)+((COUNTIF('Elève (5ème1)'!FJ21:FL21,"B"))*3)+((COUNTIF('Elève (5ème1)'!FJ21:FL21,"C"))*2)+((COUNTIF('Elève (5ème1)'!FJ21:FL21,"D"))*1))/(COUNTA(FJ21:FL21)),"")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(5ème1)'!FQ21:FS21,"A"))*4)+((COUNTIF('Elève (5ème1)'!FQ21:FS21,"B"))*3)+((COUNTIF('Elève (5ème1)'!FQ21:FS21,"C"))*2)+((COUNTIF('Elève (5ème1)'!FQ21:FS21,"D"))*1))/(COUNTA(FQ21:FS21)),"")</f>
        <v/>
      </c>
      <c r="FU20" s="107" t="str">
        <f t="shared" si="40"/>
        <v/>
      </c>
      <c r="FV20" s="145"/>
      <c r="FW20" s="186"/>
      <c r="FX20" s="146"/>
      <c r="FY20" s="129" t="str">
        <f>IFERROR((((COUNTIF('Elève (5ème1)'!FV21:FX21,"A"))*4)+((COUNTIF('Elève (5ème1)'!FV21:FX21,"B"))*3)+((COUNTIF('Elève (5ème1)'!FV21:FX21,"C"))*2)+((COUNTIF('Elève (5ème1)'!FV21:FX21,"D"))*1))/(COUNTA(FV21:FX21)),"")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(5ème1)'!GA21:GC21,"A"))*4)+((COUNTIF('Elève (5ème1)'!GA21:GC21,"B"))*3)+((COUNTIF('Elève (5ème1)'!GA21:GC21,"C"))*2)+((COUNTIF('Elève (5ème1)'!GA21:GC21,"D"))*1))/(COUNTA(GA21:GC21)),"")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(5ème1)'!GH21:GJ21,"A"))*4)+((COUNTIF('Elève (5ème1)'!GH21:GJ21,"B"))*3)+((COUNTIF('Elève (5ème1)'!GH21:GJ21,"C"))*2)+((COUNTIF('Elève (5ème1)'!GH21:GJ21,"D"))*1))/(COUNTA(GH21:GJ21)),"")</f>
        <v/>
      </c>
      <c r="GL20" s="107" t="str">
        <f t="shared" si="44"/>
        <v/>
      </c>
      <c r="GM20" s="145"/>
      <c r="GN20" s="186"/>
      <c r="GO20" s="146"/>
      <c r="GP20" s="129" t="str">
        <f>IFERROR((((COUNTIF('Elève (5ème1)'!GM21:GO21,"A"))*4)+((COUNTIF('Elève (5ème1)'!GM21:GO21,"B"))*3)+((COUNTIF('Elève (5ème1)'!GM21:GO21,"C"))*2)+((COUNTIF('Elève (5ème1)'!GM21:GO21,"D"))*1))/(COUNTA(GM21:GO21)),"")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(5ème1)'!GR21:GT21,"A"))*4)+((COUNTIF('Elève (5ème1)'!GR21:GT21,"B"))*3)+((COUNTIF('Elève (5ème1)'!GR21:GT21,"C"))*2)+((COUNTIF('Elève (5ème1)'!GR21:GT21,"D"))*1))/(COUNTA(GR21:GT21)),"")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(5ème1)'!GY21:HA21,"A"))*4)+((COUNTIF('Elève (5ème1)'!GY21:HA21,"B"))*3)+((COUNTIF('Elève (5ème1)'!GY21:HA21,"C"))*2)+((COUNTIF('Elève (5ème1)'!GY21:HA21,"D"))*1))/(COUNTA(GY21:HA21)),"")</f>
        <v/>
      </c>
      <c r="HC20" s="107" t="str">
        <f t="shared" si="48"/>
        <v/>
      </c>
      <c r="HD20" s="145"/>
      <c r="HE20" s="186"/>
      <c r="HF20" s="146"/>
      <c r="HG20" s="129" t="str">
        <f>IFERROR((((COUNTIF('Elève (5ème1)'!HD21:HF21,"A"))*4)+((COUNTIF('Elève (5ème1)'!HD21:HF21,"B"))*3)+((COUNTIF('Elève (5ème1)'!HD21:HF21,"C"))*2)+((COUNTIF('Elève (5ème1)'!HD21:HF21,"D"))*1))/(COUNTA(HD21:HF21)),"")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(5ème1)'!HI21:HK21,"A"))*4)+((COUNTIF('Elève (5ème1)'!HI21:HK21,"B"))*3)+((COUNTIF('Elève (5ème1)'!HI21:HK21,"C"))*2)+((COUNTIF('Elève (5ème1)'!HI21:HK21,"D"))*1))/(COUNTA(HI21:HK21)),"")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(5ème1)'!HP21:HR21,"A"))*4)+((COUNTIF('Elève (5ème1)'!HP21:HR21,"B"))*3)+((COUNTIF('Elève (5ème1)'!HP21:HR21,"C"))*2)+((COUNTIF('Elève (5ème1)'!HP21:HR21,"D"))*1))/(COUNTA(HP21:HR21)),"")</f>
        <v/>
      </c>
      <c r="HT20" s="107" t="str">
        <f t="shared" si="52"/>
        <v/>
      </c>
      <c r="HU20" s="145"/>
      <c r="HV20" s="186"/>
      <c r="HW20" s="146"/>
      <c r="HX20" s="129" t="str">
        <f>IFERROR((((COUNTIF('Elève (5ème1)'!HU21:HW21,"A"))*4)+((COUNTIF('Elève (5ème1)'!HU21:HW21,"B"))*3)+((COUNTIF('Elève (5ème1)'!HU21:HW21,"C"))*2)+((COUNTIF('Elève (5ème1)'!HU21:HW21,"D"))*1))/(COUNTA(HU21:HW21)),"")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(5ème1)'!HZ21:IB21,"A"))*4)+((COUNTIF('Elève (5ème1)'!HZ21:IB21,"B"))*3)+((COUNTIF('Elève (5ème1)'!HZ21:IB21,"C"))*2)+((COUNTIF('Elève (5ème1)'!HZ21:IB21,"D"))*1))/(COUNTA(HZ21:IB21)),"")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(5ème1)'!IG21:II21,"A"))*4)+((COUNTIF('Elève (5ème1)'!IG21:II21,"B"))*3)+((COUNTIF('Elève (5ème1)'!IG21:II21,"C"))*2)+((COUNTIF('Elève (5ème1)'!IG21:II21,"D"))*1))/(COUNTA(IG21:II21)),"")</f>
        <v/>
      </c>
      <c r="IK20" s="107" t="str">
        <f t="shared" si="56"/>
        <v/>
      </c>
      <c r="IL20" s="145"/>
      <c r="IM20" s="186"/>
      <c r="IN20" s="146"/>
      <c r="IO20" s="129" t="str">
        <f>IFERROR((((COUNTIF('Elève (5ème1)'!IL21:IN21,"A"))*4)+((COUNTIF('Elève (5ème1)'!IL21:IN21,"B"))*3)+((COUNTIF('Elève (5ème1)'!IL21:IN21,"C"))*2)+((COUNTIF('Elève (5ème1)'!IL21:IN21,"D"))*1))/(COUNTA(IL21:IN21)),"")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(5ème1)'!IQ21:IS21,"A"))*4)+((COUNTIF('Elève (5ème1)'!IQ21:IS21,"B"))*3)+((COUNTIF('Elève (5ème1)'!IQ21:IS21,"C"))*2)+((COUNTIF('Elève (5ème1)'!IQ21:IS21,"D"))*1))/(COUNTA(IQ21:IS21)),"")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(5ème1)'!IX21:IZ21,"A"))*4)+((COUNTIF('Elève (5ème1)'!IX21:IZ21,"B"))*3)+((COUNTIF('Elève (5ème1)'!IX21:IZ21,"C"))*2)+((COUNTIF('Elève (5ème1)'!IX21:IZ21,"D"))*1))/(COUNTA(IX21:IZ21)),"")</f>
        <v/>
      </c>
      <c r="JB20" s="107" t="str">
        <f t="shared" si="60"/>
        <v/>
      </c>
      <c r="JC20" s="145"/>
      <c r="JD20" s="186"/>
      <c r="JE20" s="146"/>
      <c r="JF20" s="129" t="str">
        <f>IFERROR((((COUNTIF('Elève (5ème1)'!JC21:JE21,"A"))*4)+((COUNTIF('Elève (5ème1)'!JC21:JE21,"B"))*3)+((COUNTIF('Elève (5ème1)'!JC21:JE21,"C"))*2)+((COUNTIF('Elève (5ème1)'!JC21:JE21,"D"))*1))/(COUNTA(JC21:JE21)),"")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(5ème1)'!JH21:JJ21,"A"))*4)+((COUNTIF('Elève (5ème1)'!JH21:JJ21,"B"))*3)+((COUNTIF('Elève (5ème1)'!JH21:JJ21,"C"))*2)+((COUNTIF('Elève (5ème1)'!JH21:JJ21,"D"))*1))/(COUNTA(JH21:JJ21)),"")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(5ème1)'!JO21:JQ21,"A"))*4)+((COUNTIF('Elève (5ème1)'!JO21:JQ21,"B"))*3)+((COUNTIF('Elève (5ème1)'!JO21:JQ21,"C"))*2)+((COUNTIF('Elève (5ème1)'!JO21:JQ21,"D"))*1))/(COUNTA(JO21:JQ21)),"")</f>
        <v/>
      </c>
      <c r="JS20" s="107" t="str">
        <f t="shared" si="64"/>
        <v/>
      </c>
      <c r="JT20" s="145"/>
      <c r="JU20" s="186"/>
      <c r="JV20" s="146"/>
      <c r="JW20" s="129" t="str">
        <f>IFERROR((((COUNTIF('Elève (5ème1)'!JT21:JV21,"A"))*4)+((COUNTIF('Elève (5ème1)'!JT21:JV21,"B"))*3)+((COUNTIF('Elève (5ème1)'!JT21:JV21,"C"))*2)+((COUNTIF('Elève (5ème1)'!JT21:JV21,"D"))*1))/(COUNTA(JT21:JV21)),"")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(5ème1)'!JY21:KA21,"A"))*4)+((COUNTIF('Elève (5ème1)'!JY21:KA21,"B"))*3)+((COUNTIF('Elève (5ème1)'!JY21:KA21,"C"))*2)+((COUNTIF('Elève (5ème1)'!JY21:KA21,"D"))*1))/(COUNTA(JY21:KA21)),"")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(5ème1)'!KF21:KH21,"A"))*4)+((COUNTIF('Elève (5ème1)'!KF21:KH21,"B"))*3)+((COUNTIF('Elève (5ème1)'!KF21:KH21,"C"))*2)+((COUNTIF('Elève (5ème1)'!KF21:KH21,"D"))*1))/(COUNTA(KF21:KH21)),"")</f>
        <v/>
      </c>
      <c r="KJ20" s="107" t="str">
        <f t="shared" si="68"/>
        <v/>
      </c>
      <c r="KK20" s="145"/>
      <c r="KL20" s="186"/>
      <c r="KM20" s="146"/>
      <c r="KN20" s="129" t="str">
        <f>IFERROR((((COUNTIF('Elève (5ème1)'!KK21:KM21,"A"))*4)+((COUNTIF('Elève (5ème1)'!KK21:KM21,"B"))*3)+((COUNTIF('Elève (5ème1)'!KK21:KM21,"C"))*2)+((COUNTIF('Elève (5ème1)'!KK21:KM21,"D"))*1))/(COUNTA(KK21:KM21)),"")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(5ème1)'!KP21:KR21,"A"))*4)+((COUNTIF('Elève (5ème1)'!KP21:KR21,"B"))*3)+((COUNTIF('Elève (5ème1)'!KP21:KR21,"C"))*2)+((COUNTIF('Elève (5ème1)'!KP21:KR21,"D"))*1))/(COUNTA(KP21:KR21)),"")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(5ème1)'!KW21:KY21,"A"))*4)+((COUNTIF('Elève (5ème1)'!KW21:KY21,"B"))*3)+((COUNTIF('Elève (5ème1)'!KW21:KY21,"C"))*2)+((COUNTIF('Elève (5ème1)'!KW21:KY21,"D"))*1))/(COUNTA(KW21:KY21)),"")</f>
        <v/>
      </c>
      <c r="LA20" s="107" t="str">
        <f t="shared" si="72"/>
        <v/>
      </c>
      <c r="LB20" s="145"/>
      <c r="LC20" s="186"/>
      <c r="LD20" s="146"/>
      <c r="LE20" s="129" t="str">
        <f>IFERROR((((COUNTIF('Elève (5ème1)'!LB21:LD21,"A"))*4)+((COUNTIF('Elève (5ème1)'!LB21:LD21,"B"))*3)+((COUNTIF('Elève (5ème1)'!LB21:LD21,"C"))*2)+((COUNTIF('Elève (5ème1)'!LB21:LD21,"D"))*1))/(COUNTA(LB21:LD21)),"")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(5ème1)'!LG21:LI21,"A"))*4)+((COUNTIF('Elève (5ème1)'!LG21:LI21,"B"))*3)+((COUNTIF('Elève (5ème1)'!LG21:LI21,"C"))*2)+((COUNTIF('Elève (5ème1)'!LG21:LI21,"D"))*1))/(COUNTA(LG21:LI21)),"")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(5ème1)'!LN21:LP21,"A"))*4)+((COUNTIF('Elève (5ème1)'!LN21:LP21,"B"))*3)+((COUNTIF('Elève (5ème1)'!LN21:LP21,"C"))*2)+((COUNTIF('Elève (5ème1)'!LN21:LP21,"D"))*1))/(COUNTA(LN21:LP21)),"")</f>
        <v/>
      </c>
      <c r="LR20" s="107" t="str">
        <f t="shared" si="76"/>
        <v/>
      </c>
      <c r="LS20" s="145"/>
      <c r="LT20" s="186"/>
      <c r="LU20" s="146"/>
      <c r="LV20" s="129" t="str">
        <f>IFERROR((((COUNTIF('Elève (5ème1)'!LS21:LU21,"A"))*4)+((COUNTIF('Elève (5ème1)'!LS21:LU21,"B"))*3)+((COUNTIF('Elève (5ème1)'!LS21:LU21,"C"))*2)+((COUNTIF('Elève (5ème1)'!LS21:LU21,"D"))*1))/(COUNTA(LS21:LU21)),"")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(5ème1)'!LX21:LZ21,"A"))*4)+((COUNTIF('Elève (5ème1)'!LX21:LZ21,"B"))*3)+((COUNTIF('Elève (5ème1)'!LX21:LZ21,"C"))*2)+((COUNTIF('Elève (5ème1)'!LX21:LZ21,"D"))*1))/(COUNTA(LX21:LZ21)),"")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(5ème1)'!ME21:MG21,"A"))*4)+((COUNTIF('Elève (5ème1)'!ME21:MG21,"B"))*3)+((COUNTIF('Elève (5ème1)'!ME21:MG21,"C"))*2)+((COUNTIF('Elève (5ème1)'!ME21:MG21,"D"))*1))/(COUNTA(ME21:MG21)),"")</f>
        <v/>
      </c>
      <c r="MI20" s="107" t="str">
        <f t="shared" si="80"/>
        <v/>
      </c>
      <c r="MJ20" s="145"/>
      <c r="MK20" s="186"/>
      <c r="ML20" s="146"/>
      <c r="MM20" s="129" t="str">
        <f>IFERROR((((COUNTIF('Elève (5ème1)'!MJ21:ML21,"A"))*4)+((COUNTIF('Elève (5ème1)'!MJ21:ML21,"B"))*3)+((COUNTIF('Elève (5ème1)'!MJ21:ML21,"C"))*2)+((COUNTIF('Elève (5ème1)'!MJ21:ML21,"D"))*1))/(COUNTA(MJ21:ML21)),"")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(5ème1)'!MO21:MQ21,"A"))*4)+((COUNTIF('Elève (5ème1)'!MO21:MQ21,"B"))*3)+((COUNTIF('Elève (5ème1)'!MO21:MQ21,"C"))*2)+((COUNTIF('Elève (5ème1)'!MO21:MQ21,"D"))*1))/(COUNTA(MO21:MQ21)),"")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(5ème1)'!MV21:MX21,"A"))*4)+((COUNTIF('Elève (5ème1)'!MV21:MX21,"B"))*3)+((COUNTIF('Elève (5ème1)'!MV21:MX21,"C"))*2)+((COUNTIF('Elève (5ème1)'!MV21:MX21,"D"))*1))/(COUNTA(MV21:MX21)),"")</f>
        <v/>
      </c>
      <c r="MZ20" s="107" t="str">
        <f t="shared" si="84"/>
        <v/>
      </c>
      <c r="NA20" s="145"/>
      <c r="NB20" s="186"/>
      <c r="NC20" s="146"/>
      <c r="ND20" s="129" t="str">
        <f>IFERROR((((COUNTIF('Elève (5ème1)'!NA21:NC21,"A"))*4)+((COUNTIF('Elève (5ème1)'!NA21:NC21,"B"))*3)+((COUNTIF('Elève (5ème1)'!NA21:NC21,"C"))*2)+((COUNTIF('Elève (5ème1)'!NA21:NC21,"D"))*1))/(COUNTA(NA21:NC21)),"")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(5ème1)'!NF21:NH21,"A"))*4)+((COUNTIF('Elève (5ème1)'!NF21:NH21,"B"))*3)+((COUNTIF('Elève (5ème1)'!NF21:NH21,"C"))*2)+((COUNTIF('Elève (5ème1)'!NF21:NH21,"D"))*1))/(COUNTA(NF21:NH21)),"")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(5ème1)'!NM21:NO21,"A"))*4)+((COUNTIF('Elève (5ème1)'!NM21:NO21,"B"))*3)+((COUNTIF('Elève (5ème1)'!NM21:NO21,"C"))*2)+((COUNTIF('Elève (5ème1)'!NM21:NO21,"D"))*1))/(COUNTA(NM21:NO21)),"")</f>
        <v/>
      </c>
      <c r="NQ20" s="107" t="str">
        <f t="shared" si="88"/>
        <v/>
      </c>
      <c r="NR20" s="145"/>
      <c r="NS20" s="186"/>
      <c r="NT20" s="146"/>
      <c r="NU20" s="129" t="str">
        <f>IFERROR((((COUNTIF('Elève (5ème1)'!NR21:NT21,"A"))*4)+((COUNTIF('Elève (5ème1)'!NR21:NT21,"B"))*3)+((COUNTIF('Elève (5ème1)'!NR21:NT21,"C"))*2)+((COUNTIF('Elève (5ème1)'!NR21:NT21,"D"))*1))/(COUNTA(NR21:NT21)),"")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(5ème1)'!NW21:NY21,"A"))*4)+((COUNTIF('Elève (5ème1)'!NW21:NY21,"B"))*3)+((COUNTIF('Elève (5ème1)'!NW21:NY21,"C"))*2)+((COUNTIF('Elève (5ème1)'!NW21:NY21,"D"))*1))/(COUNTA(NW21:NY21)),"")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(5ème1)'!OD21:OF21,"A"))*4)+((COUNTIF('Elève (5ème1)'!OD21:OF21,"B"))*3)+((COUNTIF('Elève (5ème1)'!OD21:OF21,"C"))*2)+((COUNTIF('Elève (5ème1)'!OD21:OF21,"D"))*1))/(COUNTA(OD21:OF21)),"")</f>
        <v/>
      </c>
      <c r="OH20" s="107" t="str">
        <f t="shared" si="92"/>
        <v/>
      </c>
      <c r="OI20" s="145"/>
      <c r="OJ20" s="186"/>
      <c r="OK20" s="146"/>
      <c r="OL20" s="129" t="str">
        <f>IFERROR((((COUNTIF('Elève (5ème1)'!OI21:OK21,"A"))*4)+((COUNTIF('Elève (5ème1)'!OI21:OK21,"B"))*3)+((COUNTIF('Elève (5ème1)'!OI21:OK21,"C"))*2)+((COUNTIF('Elève (5ème1)'!OI21:OK21,"D"))*1))/(COUNTA(OI21:OK21)),"")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(5ème1)'!ON21:OP21,"A"))*4)+((COUNTIF('Elève (5ème1)'!ON21:OP21,"B"))*3)+((COUNTIF('Elève (5ème1)'!ON21:OP21,"C"))*2)+((COUNTIF('Elève (5ème1)'!ON21:OP21,"D"))*1))/(COUNTA(ON21:OP21)),"")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(5ème1)'!OU21:OW21,"A"))*4)+((COUNTIF('Elève (5ème1)'!OU21:OW21,"B"))*3)+((COUNTIF('Elève (5ème1)'!OU21:OW21,"C"))*2)+((COUNTIF('Elève (5ème1)'!OU21:OW21,"D"))*1))/(COUNTA(OU21:OW21)),"")</f>
        <v/>
      </c>
      <c r="OY20" s="107" t="str">
        <f t="shared" si="96"/>
        <v/>
      </c>
      <c r="OZ20" s="145"/>
      <c r="PA20" s="186"/>
      <c r="PB20" s="146"/>
      <c r="PC20" s="129" t="str">
        <f>IFERROR((((COUNTIF('Elève (5ème1)'!OZ21:PB21,"A"))*4)+((COUNTIF('Elève (5ème1)'!OZ21:PB21,"B"))*3)+((COUNTIF('Elève (5ème1)'!OZ21:PB21,"C"))*2)+((COUNTIF('Elève (5ème1)'!OZ21:PB21,"D"))*1))/(COUNTA(OZ21:PB21)),"")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(5ème1)'!PE21:PG21,"A"))*4)+((COUNTIF('Elève (5ème1)'!PE21:PG21,"B"))*3)+((COUNTIF('Elève (5ème1)'!PE21:PG21,"C"))*2)+((COUNTIF('Elève (5ème1)'!PE21:PG21,"D"))*1))/(COUNTA(PE21:PG21)),"")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(5ème1)'!PL21:PN21,"A"))*4)+((COUNTIF('Elève (5ème1)'!PL21:PN21,"B"))*3)+((COUNTIF('Elève (5ème1)'!PL21:PN21,"C"))*2)+((COUNTIF('Elève (5ème1)'!PL21:PN21,"D"))*1))/(COUNTA(PL21:PN21)),"")</f>
        <v/>
      </c>
      <c r="PP20" s="107" t="str">
        <f t="shared" si="100"/>
        <v/>
      </c>
      <c r="PQ20" s="145"/>
      <c r="PR20" s="186"/>
      <c r="PS20" s="146"/>
      <c r="PT20" s="129" t="str">
        <f>IFERROR((((COUNTIF('Elève (5ème1)'!PQ21:PS21,"A"))*4)+((COUNTIF('Elève (5ème1)'!PQ21:PS21,"B"))*3)+((COUNTIF('Elève (5ème1)'!PQ21:PS21,"C"))*2)+((COUNTIF('Elève (5ème1)'!PQ21:PS21,"D"))*1))/(COUNTA(PQ21:PS21)),"")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(5ème1)'!PV21:PX21,"A"))*4)+((COUNTIF('Elève (5ème1)'!PV21:PX21,"B"))*3)+((COUNTIF('Elève (5ème1)'!PV21:PX21,"C"))*2)+((COUNTIF('Elève (5ème1)'!PV21:PX21,"D"))*1))/(COUNTA(PV21:PX21)),"")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(5ème1)'!QC21:QE21,"A"))*4)+((COUNTIF('Elève (5ème1)'!QC21:QE21,"B"))*3)+((COUNTIF('Elève (5ème1)'!QC21:QE21,"C"))*2)+((COUNTIF('Elève (5ème1)'!QC21:QE21,"D"))*1))/(COUNTA(QC21:QE21)),"")</f>
        <v/>
      </c>
      <c r="QG20" s="107" t="str">
        <f t="shared" si="104"/>
        <v/>
      </c>
      <c r="QH20" s="145"/>
      <c r="QI20" s="186"/>
      <c r="QJ20" s="146"/>
      <c r="QK20" s="129" t="str">
        <f>IFERROR((((COUNTIF('Elève (5ème1)'!QH21:QJ21,"A"))*4)+((COUNTIF('Elève (5ème1)'!QH21:QJ21,"B"))*3)+((COUNTIF('Elève (5ème1)'!QH21:QJ21,"C"))*2)+((COUNTIF('Elève (5ème1)'!QH21:QJ21,"D"))*1))/(COUNTA(QH21:QJ21)),"")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(5ème1)'!QM21:QO21,"A"))*4)+((COUNTIF('Elève (5ème1)'!QM21:QO21,"B"))*3)+((COUNTIF('Elève (5ème1)'!QM21:QO21,"C"))*2)+((COUNTIF('Elève (5ème1)'!QM21:QO21,"D"))*1))/(COUNTA(QM21:QO21)),"")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(5ème1)'!QT21:QV21,"A"))*4)+((COUNTIF('Elève (5ème1)'!QT21:QV21,"B"))*3)+((COUNTIF('Elève (5ème1)'!QT21:QV21,"C"))*2)+((COUNTIF('Elève (5ème1)'!QT21:QV21,"D"))*1))/(COUNTA(QT21:QV21)),"")</f>
        <v/>
      </c>
      <c r="QX20" s="107" t="str">
        <f t="shared" si="108"/>
        <v/>
      </c>
      <c r="QY20" s="145"/>
      <c r="QZ20" s="186"/>
      <c r="RA20" s="146"/>
      <c r="RB20" s="129" t="str">
        <f>IFERROR((((COUNTIF('Elève (5ème1)'!QY21:RA21,"A"))*4)+((COUNTIF('Elève (5ème1)'!QY21:RA21,"B"))*3)+((COUNTIF('Elève (5ème1)'!QY21:RA21,"C"))*2)+((COUNTIF('Elève (5ème1)'!QY21:RA21,"D"))*1))/(COUNTA(QY21:RA21)),"")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(5ème1)'!RD21:RF21,"A"))*4)+((COUNTIF('Elève (5ème1)'!RD21:RF21,"B"))*3)+((COUNTIF('Elève (5ème1)'!RD21:RF21,"C"))*2)+((COUNTIF('Elève (5ème1)'!RD21:RF21,"D"))*1))/(COUNTA(RD21:RF21)),"")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(5ème1)'!RK21:RM21,"A"))*4)+((COUNTIF('Elève (5ème1)'!RK21:RM21,"B"))*3)+((COUNTIF('Elève (5ème1)'!RK21:RM21,"C"))*2)+((COUNTIF('Elève (5ème1)'!RK21:RM21,"D"))*1))/(COUNTA(RK21:RM21)),"")</f>
        <v/>
      </c>
      <c r="RO20" s="107" t="str">
        <f t="shared" si="112"/>
        <v/>
      </c>
      <c r="RP20" s="145"/>
      <c r="RQ20" s="186"/>
      <c r="RR20" s="146"/>
      <c r="RS20" s="129" t="str">
        <f>IFERROR((((COUNTIF('Elève (5ème1)'!RP21:RR21,"A"))*4)+((COUNTIF('Elève (5ème1)'!RP21:RR21,"B"))*3)+((COUNTIF('Elève (5ème1)'!RP21:RR21,"C"))*2)+((COUNTIF('Elève (5ème1)'!RP21:RR21,"D"))*1))/(COUNTA(RP21:RR21)),"")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(5ème1)'!RU21:RW21,"A"))*4)+((COUNTIF('Elève (5ème1)'!RU21:RW21,"B"))*3)+((COUNTIF('Elève (5ème1)'!RU21:RW21,"C"))*2)+((COUNTIF('Elève (5ème1)'!RU21:RW21,"D"))*1))/(COUNTA(RU21:RW21)),"")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(5ème1)'!SB21:SD21,"A"))*4)+((COUNTIF('Elève (5ème1)'!SB21:SD21,"B"))*3)+((COUNTIF('Elève (5ème1)'!SB21:SD21,"C"))*2)+((COUNTIF('Elève (5ème1)'!SB21:SD21,"D"))*1))/(COUNTA(SB21:SD21)),"")</f>
        <v/>
      </c>
      <c r="SF20" s="107" t="str">
        <f t="shared" si="116"/>
        <v/>
      </c>
      <c r="SG20" s="145"/>
      <c r="SH20" s="186"/>
      <c r="SI20" s="146"/>
      <c r="SJ20" s="129" t="str">
        <f>IFERROR((((COUNTIF('Elève (5ème1)'!SG21:SI21,"A"))*4)+((COUNTIF('Elève (5ème1)'!SG21:SI21,"B"))*3)+((COUNTIF('Elève (5ème1)'!SG21:SI21,"C"))*2)+((COUNTIF('Elève (5ème1)'!SG21:SI21,"D"))*1))/(COUNTA(SG21:SI21)),"")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(5ème1)'!SL21:SN21,"A"))*4)+((COUNTIF('Elève (5ème1)'!SL21:SN21,"B"))*3)+((COUNTIF('Elève (5ème1)'!SL21:SN21,"C"))*2)+((COUNTIF('Elève (5ème1)'!SL21:SN21,"D"))*1))/(COUNTA(SL21:SN21)),"")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9" t="s">
        <v>25</v>
      </c>
      <c r="B21" s="230"/>
      <c r="C21" s="164"/>
      <c r="D21" s="165"/>
      <c r="E21" s="163"/>
      <c r="F21" s="114" t="str">
        <f>IFERROR((((COUNTIF('Elève (5ème1)'!C21:E21,"A"))*4)+((COUNTIF('Elève (5ème1)'!C21:E21,"B"))*3)+((COUNTIF('Elève (5ème1)'!C21:E21,"C"))*2)+((COUNTIF('Elève (5ème1)'!C21:E21,"D"))*1))/(COUNTA(C21:E21)),"")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(5ème1)'!H21:J21,"A"))*4)+((COUNTIF('Elève (5ème1)'!H21:J21,"B"))*3)+((COUNTIF('Elève (5ème1)'!H21:J21,"C"))*2)+((COUNTIF('Elève (5ème1)'!H21:J21,"D"))*1))/(COUNTA(H21:J21)),"")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(5ème1)'!M21:O21,"A"))*4)+((COUNTIF('Elève (5ème1)'!M21:O21,"B"))*3)+((COUNTIF('Elève (5ème1)'!M21:O21,"C"))*2)+((COUNTIF('Elève (5ème1)'!M21:O21,"D"))*1))/(COUNTA(M21:O21)),"")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(5ème1)'!T21:V21,"A"))*4)+((COUNTIF('Elève (5ème1)'!T21:V21,"B"))*3)+((COUNTIF('Elève (5ème1)'!T21:V21,"C"))*2)+((COUNTIF('Elève (5ème1)'!T21:V21,"D"))*1))/(COUNTA(T21:V21)),"")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(5ème1)'!Y21:AA21,"A"))*4)+((COUNTIF('Elève (5ème1)'!Y21:AA21,"B"))*3)+((COUNTIF('Elève (5ème1)'!Y21:AA21,"C"))*2)+((COUNTIF('Elève (5ème1)'!Y21:AA21,"D"))*1))/(COUNTA(Y21:AA21)),"")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(5ème1)'!AD21:AF21,"A"))*4)+((COUNTIF('Elève (5ème1)'!AD21:AF21,"B"))*3)+((COUNTIF('Elève (5ème1)'!AD21:AF21,"C"))*2)+((COUNTIF('Elève (5ème1)'!AD21:AF21,"D"))*1))/(COUNTA(AD21:AF21)),"")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(5ème1)'!AK21:AM21,"A"))*4)+((COUNTIF('Elève (5ème1)'!AK21:AM21,"B"))*3)+((COUNTIF('Elève (5ème1)'!AK21:AM21,"C"))*2)+((COUNTIF('Elève (5ème1)'!AK21:AM21,"D"))*1))/(COUNTA(AK21:AM21)),"")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(5ème1)'!AP21:AR21,"A"))*4)+((COUNTIF('Elève (5ème1)'!AP21:AR21,"B"))*3)+((COUNTIF('Elève (5ème1)'!AP21:AR21,"C"))*2)+((COUNTIF('Elève (5ème1)'!AP21:AR21,"D"))*1))/(COUNTA(AP21:AR21)),"")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(5ème1)'!AU21:AW21,"A"))*4)+((COUNTIF('Elève (5ème1)'!AU21:AW21,"B"))*3)+((COUNTIF('Elève (5ème1)'!AU21:AW21,"C"))*2)+((COUNTIF('Elève (5ème1)'!AU21:AW21,"D"))*1))/(COUNTA(AU21:AW21)),"")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(5ème1)'!BB21:BD21,"A"))*4)+((COUNTIF('Elève (5ème1)'!BB21:BD21,"B"))*3)+((COUNTIF('Elève (5ème1)'!BB21:BD21,"C"))*2)+((COUNTIF('Elève (5ème1)'!BB21:BD21,"D"))*1))/(COUNTA(BB21:BD21)),"")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(5ème1)'!BG21:BI21,"A"))*4)+((COUNTIF('Elève (5ème1)'!BG21:BI21,"B"))*3)+((COUNTIF('Elève (5ème1)'!BG21:BI21,"C"))*2)+((COUNTIF('Elève (5ème1)'!BG21:BI21,"D"))*1))/(COUNTA(BG21:BI21)),"")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(5ème1)'!BL21:BN21,"A"))*4)+((COUNTIF('Elève (5ème1)'!BL21:BN21,"B"))*3)+((COUNTIF('Elève (5ème1)'!BL21:BN21,"C"))*2)+((COUNTIF('Elève (5ème1)'!BL21:BN21,"D"))*1))/(COUNTA(BL21:BN21)),"")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(5ème1)'!BS21:BU21,"A"))*4)+((COUNTIF('Elève (5ème1)'!BS21:BU21,"B"))*3)+((COUNTIF('Elève (5ème1)'!BS21:BU21,"C"))*2)+((COUNTIF('Elève (5ème1)'!BS21:BU21,"D"))*1))/(COUNTA(BS21:BU21)),"")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(5ème1)'!BX21:BZ21,"A"))*4)+((COUNTIF('Elève (5ème1)'!BX21:BZ21,"B"))*3)+((COUNTIF('Elève (5ème1)'!BX21:BZ21,"C"))*2)+((COUNTIF('Elève (5ème1)'!BX21:BZ21,"D"))*1))/(COUNTA(BX21:BZ21)),"")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(5ème1)'!CC21:CE21,"A"))*4)+((COUNTIF('Elève (5ème1)'!CC21:CE21,"B"))*3)+((COUNTIF('Elève (5ème1)'!CC21:CE21,"C"))*2)+((COUNTIF('Elève (5ème1)'!CC21:CE21,"D"))*1))/(COUNTA(CC21:CE21)),"")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(5ème1)'!CJ21:CL21,"A"))*4)+((COUNTIF('Elève (5ème1)'!CJ21:CL21,"B"))*3)+((COUNTIF('Elève (5ème1)'!CJ21:CL21,"C"))*2)+((COUNTIF('Elève (5ème1)'!CJ21:CL21,"D"))*1))/(COUNTA(CJ21:CL21)),"")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(5ème1)'!CO21:CQ21,"A"))*4)+((COUNTIF('Elève (5ème1)'!CO21:CQ21,"B"))*3)+((COUNTIF('Elève (5ème1)'!CO21:CQ21,"C"))*2)+((COUNTIF('Elève (5ème1)'!CO21:CQ21,"D"))*1))/(COUNTA(CO21:CQ21)),"")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(5ème1)'!CT21:CV21,"A"))*4)+((COUNTIF('Elève (5ème1)'!CT21:CV21,"B"))*3)+((COUNTIF('Elève (5ème1)'!CT21:CV21,"C"))*2)+((COUNTIF('Elève (5ème1)'!CT21:CV21,"D"))*1))/(COUNTA(CT21:CV21)),"")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(5ème1)'!DA21:DC21,"A"))*4)+((COUNTIF('Elève (5ème1)'!DA21:DC21,"B"))*3)+((COUNTIF('Elève (5ème1)'!DA21:DC21,"C"))*2)+((COUNTIF('Elève (5ème1)'!DA21:DC21,"D"))*1))/(COUNTA(DA21:DC21)),"")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(5ème1)'!DF21:DH21,"A"))*4)+((COUNTIF('Elève (5ème1)'!DF21:DH21,"B"))*3)+((COUNTIF('Elève (5ème1)'!DF21:DH21,"C"))*2)+((COUNTIF('Elève (5ème1)'!DF21:DH21,"D"))*1))/(COUNTA(DF21:DH21)),"")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(5ème1)'!DK21:DM21,"A"))*4)+((COUNTIF('Elève (5ème1)'!DK21:DM21,"B"))*3)+((COUNTIF('Elève (5ème1)'!DK21:DM21,"C"))*2)+((COUNTIF('Elève (5ème1)'!DK21:DM21,"D"))*1))/(COUNTA(DK21:DM21)),"")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(5ème1)'!DR21:DT21,"A"))*4)+((COUNTIF('Elève (5ème1)'!DR21:DT21,"B"))*3)+((COUNTIF('Elève (5ème1)'!DR21:DT21,"C"))*2)+((COUNTIF('Elève (5ème1)'!DR21:DT21,"D"))*1))/(COUNTA(DR21:DT21)),"")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(5ème1)'!DW21:DY21,"A"))*4)+((COUNTIF('Elève (5ème1)'!DW21:DY21,"B"))*3)+((COUNTIF('Elève (5ème1)'!DW21:DY21,"C"))*2)+((COUNTIF('Elève (5ème1)'!DW21:DY21,"D"))*1))/(COUNTA(DW21:DY21)),"")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(5ème1)'!EB21:ED21,"A"))*4)+((COUNTIF('Elève (5ème1)'!EB21:ED21,"B"))*3)+((COUNTIF('Elève (5ème1)'!EB21:ED21,"C"))*2)+((COUNTIF('Elève (5ème1)'!EB21:ED21,"D"))*1))/(COUNTA(EB21:ED21)),"")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(5ème1)'!EI21:EK21,"A"))*4)+((COUNTIF('Elève (5ème1)'!EI21:EK21,"B"))*3)+((COUNTIF('Elève (5ème1)'!EI21:EK21,"C"))*2)+((COUNTIF('Elève (5ème1)'!EI21:EK21,"D"))*1))/(COUNTA(EI21:EK21)),"")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(5ème1)'!EN21:EP21,"A"))*4)+((COUNTIF('Elève (5ème1)'!EN21:EP21,"B"))*3)+((COUNTIF('Elève (5ème1)'!EN21:EP21,"C"))*2)+((COUNTIF('Elève (5ème1)'!EN21:EP21,"D"))*1))/(COUNTA(EN21:EP21)),"")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(5ème1)'!ES21:EU21,"A"))*4)+((COUNTIF('Elève (5ème1)'!ES21:EU21,"B"))*3)+((COUNTIF('Elève (5ème1)'!ES21:EU21,"C"))*2)+((COUNTIF('Elève (5ème1)'!ES21:EU21,"D"))*1))/(COUNTA(ES21:EU21)),"")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(5ème1)'!EZ21:FB21,"A"))*4)+((COUNTIF('Elève (5ème1)'!EZ21:FB21,"B"))*3)+((COUNTIF('Elève (5ème1)'!EZ21:FB21,"C"))*2)+((COUNTIF('Elève (5ème1)'!EZ21:FB21,"D"))*1))/(COUNTA(EZ21:FB21)),"")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(5ème1)'!FE21:FG21,"A"))*4)+((COUNTIF('Elève (5ème1)'!FE21:FG21,"B"))*3)+((COUNTIF('Elève (5ème1)'!FE21:FG21,"C"))*2)+((COUNTIF('Elève (5ème1)'!FE21:FG21,"D"))*1))/(COUNTA(FE21:FG21)),"")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(5ème1)'!FJ21:FL21,"A"))*4)+((COUNTIF('Elève (5ème1)'!FJ21:FL21,"B"))*3)+((COUNTIF('Elève (5ème1)'!FJ21:FL21,"C"))*2)+((COUNTIF('Elève (5ème1)'!FJ21:FL21,"D"))*1))/(COUNTA(FJ21:FL21)),"")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(5ème1)'!FQ21:FS21,"A"))*4)+((COUNTIF('Elève (5ème1)'!FQ21:FS21,"B"))*3)+((COUNTIF('Elève (5ème1)'!FQ21:FS21,"C"))*2)+((COUNTIF('Elève (5ème1)'!FQ21:FS21,"D"))*1))/(COUNTA(FQ21:FS21)),"")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(5ème1)'!FV21:FX21,"A"))*4)+((COUNTIF('Elève (5ème1)'!FV21:FX21,"B"))*3)+((COUNTIF('Elève (5ème1)'!FV21:FX21,"C"))*2)+((COUNTIF('Elève (5ème1)'!FV21:FX21,"D"))*1))/(COUNTA(FV21:FX21)),"")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(5ème1)'!GA21:GC21,"A"))*4)+((COUNTIF('Elève (5ème1)'!GA21:GC21,"B"))*3)+((COUNTIF('Elève (5ème1)'!GA21:GC21,"C"))*2)+((COUNTIF('Elève (5ème1)'!GA21:GC21,"D"))*1))/(COUNTA(GA21:GC21)),"")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(5ème1)'!GH21:GJ21,"A"))*4)+((COUNTIF('Elève (5ème1)'!GH21:GJ21,"B"))*3)+((COUNTIF('Elève (5ème1)'!GH21:GJ21,"C"))*2)+((COUNTIF('Elève (5ème1)'!GH21:GJ21,"D"))*1))/(COUNTA(GH21:GJ21)),"")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(5ème1)'!GM21:GO21,"A"))*4)+((COUNTIF('Elève (5ème1)'!GM21:GO21,"B"))*3)+((COUNTIF('Elève (5ème1)'!GM21:GO21,"C"))*2)+((COUNTIF('Elève (5ème1)'!GM21:GO21,"D"))*1))/(COUNTA(GM21:GO21)),"")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(5ème1)'!GR21:GT21,"A"))*4)+((COUNTIF('Elève (5ème1)'!GR21:GT21,"B"))*3)+((COUNTIF('Elève (5ème1)'!GR21:GT21,"C"))*2)+((COUNTIF('Elève (5ème1)'!GR21:GT21,"D"))*1))/(COUNTA(GR21:GT21)),"")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(5ème1)'!GY21:HA21,"A"))*4)+((COUNTIF('Elève (5ème1)'!GY21:HA21,"B"))*3)+((COUNTIF('Elève (5ème1)'!GY21:HA21,"C"))*2)+((COUNTIF('Elève (5ème1)'!GY21:HA21,"D"))*1))/(COUNTA(GY21:HA21)),"")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(5ème1)'!HD21:HF21,"A"))*4)+((COUNTIF('Elève (5ème1)'!HD21:HF21,"B"))*3)+((COUNTIF('Elève (5ème1)'!HD21:HF21,"C"))*2)+((COUNTIF('Elève (5ème1)'!HD21:HF21,"D"))*1))/(COUNTA(HD21:HF21)),"")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(5ème1)'!HI21:HK21,"A"))*4)+((COUNTIF('Elève (5ème1)'!HI21:HK21,"B"))*3)+((COUNTIF('Elève (5ème1)'!HI21:HK21,"C"))*2)+((COUNTIF('Elève (5ème1)'!HI21:HK21,"D"))*1))/(COUNTA(HI21:HK21)),"")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(5ème1)'!HP21:HR21,"A"))*4)+((COUNTIF('Elève (5ème1)'!HP21:HR21,"B"))*3)+((COUNTIF('Elève (5ème1)'!HP21:HR21,"C"))*2)+((COUNTIF('Elève (5ème1)'!HP21:HR21,"D"))*1))/(COUNTA(HP21:HR21)),"")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(5ème1)'!HU21:HW21,"A"))*4)+((COUNTIF('Elève (5ème1)'!HU21:HW21,"B"))*3)+((COUNTIF('Elève (5ème1)'!HU21:HW21,"C"))*2)+((COUNTIF('Elève (5ème1)'!HU21:HW21,"D"))*1))/(COUNTA(HU21:HW21)),"")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(5ème1)'!HZ21:IB21,"A"))*4)+((COUNTIF('Elève (5ème1)'!HZ21:IB21,"B"))*3)+((COUNTIF('Elève (5ème1)'!HZ21:IB21,"C"))*2)+((COUNTIF('Elève (5ème1)'!HZ21:IB21,"D"))*1))/(COUNTA(HZ21:IB21)),"")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(5ème1)'!IG21:II21,"A"))*4)+((COUNTIF('Elève (5ème1)'!IG21:II21,"B"))*3)+((COUNTIF('Elève (5ème1)'!IG21:II21,"C"))*2)+((COUNTIF('Elève (5ème1)'!IG21:II21,"D"))*1))/(COUNTA(IG21:II21)),"")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(5ème1)'!IL21:IN21,"A"))*4)+((COUNTIF('Elève (5ème1)'!IL21:IN21,"B"))*3)+((COUNTIF('Elève (5ème1)'!IL21:IN21,"C"))*2)+((COUNTIF('Elève (5ème1)'!IL21:IN21,"D"))*1))/(COUNTA(IL21:IN21)),"")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(5ème1)'!IQ21:IS21,"A"))*4)+((COUNTIF('Elève (5ème1)'!IQ21:IS21,"B"))*3)+((COUNTIF('Elève (5ème1)'!IQ21:IS21,"C"))*2)+((COUNTIF('Elève (5ème1)'!IQ21:IS21,"D"))*1))/(COUNTA(IQ21:IS21)),"")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(5ème1)'!IX21:IZ21,"A"))*4)+((COUNTIF('Elève (5ème1)'!IX21:IZ21,"B"))*3)+((COUNTIF('Elève (5ème1)'!IX21:IZ21,"C"))*2)+((COUNTIF('Elève (5ème1)'!IX21:IZ21,"D"))*1))/(COUNTA(IX21:IZ21)),"")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(5ème1)'!JC21:JE21,"A"))*4)+((COUNTIF('Elève (5ème1)'!JC21:JE21,"B"))*3)+((COUNTIF('Elève (5ème1)'!JC21:JE21,"C"))*2)+((COUNTIF('Elève (5ème1)'!JC21:JE21,"D"))*1))/(COUNTA(JC21:JE21)),"")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(5ème1)'!JH21:JJ21,"A"))*4)+((COUNTIF('Elève (5ème1)'!JH21:JJ21,"B"))*3)+((COUNTIF('Elève (5ème1)'!JH21:JJ21,"C"))*2)+((COUNTIF('Elève (5ème1)'!JH21:JJ21,"D"))*1))/(COUNTA(JH21:JJ21)),"")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(5ème1)'!JO21:JQ21,"A"))*4)+((COUNTIF('Elève (5ème1)'!JO21:JQ21,"B"))*3)+((COUNTIF('Elève (5ème1)'!JO21:JQ21,"C"))*2)+((COUNTIF('Elève (5ème1)'!JO21:JQ21,"D"))*1))/(COUNTA(JO21:JQ21)),"")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(5ème1)'!JT21:JV21,"A"))*4)+((COUNTIF('Elève (5ème1)'!JT21:JV21,"B"))*3)+((COUNTIF('Elève (5ème1)'!JT21:JV21,"C"))*2)+((COUNTIF('Elève (5ème1)'!JT21:JV21,"D"))*1))/(COUNTA(JT21:JV21)),"")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(5ème1)'!JY21:KA21,"A"))*4)+((COUNTIF('Elève (5ème1)'!JY21:KA21,"B"))*3)+((COUNTIF('Elève (5ème1)'!JY21:KA21,"C"))*2)+((COUNTIF('Elève (5ème1)'!JY21:KA21,"D"))*1))/(COUNTA(JY21:KA21)),"")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(5ème1)'!KF21:KH21,"A"))*4)+((COUNTIF('Elève (5ème1)'!KF21:KH21,"B"))*3)+((COUNTIF('Elève (5ème1)'!KF21:KH21,"C"))*2)+((COUNTIF('Elève (5ème1)'!KF21:KH21,"D"))*1))/(COUNTA(KF21:KH21)),"")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(5ème1)'!KK21:KM21,"A"))*4)+((COUNTIF('Elève (5ème1)'!KK21:KM21,"B"))*3)+((COUNTIF('Elève (5ème1)'!KK21:KM21,"C"))*2)+((COUNTIF('Elève (5ème1)'!KK21:KM21,"D"))*1))/(COUNTA(KK21:KM21)),"")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(5ème1)'!KP21:KR21,"A"))*4)+((COUNTIF('Elève (5ème1)'!KP21:KR21,"B"))*3)+((COUNTIF('Elève (5ème1)'!KP21:KR21,"C"))*2)+((COUNTIF('Elève (5ème1)'!KP21:KR21,"D"))*1))/(COUNTA(KP21:KR21)),"")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(5ème1)'!KW21:KY21,"A"))*4)+((COUNTIF('Elève (5ème1)'!KW21:KY21,"B"))*3)+((COUNTIF('Elève (5ème1)'!KW21:KY21,"C"))*2)+((COUNTIF('Elève (5ème1)'!KW21:KY21,"D"))*1))/(COUNTA(KW21:KY21)),"")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(5ème1)'!LB21:LD21,"A"))*4)+((COUNTIF('Elève (5ème1)'!LB21:LD21,"B"))*3)+((COUNTIF('Elève (5ème1)'!LB21:LD21,"C"))*2)+((COUNTIF('Elève (5ème1)'!LB21:LD21,"D"))*1))/(COUNTA(LB21:LD21)),"")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(5ème1)'!LG21:LI21,"A"))*4)+((COUNTIF('Elève (5ème1)'!LG21:LI21,"B"))*3)+((COUNTIF('Elève (5ème1)'!LG21:LI21,"C"))*2)+((COUNTIF('Elève (5ème1)'!LG21:LI21,"D"))*1))/(COUNTA(LG21:LI21)),"")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(5ème1)'!LN21:LP21,"A"))*4)+((COUNTIF('Elève (5ème1)'!LN21:LP21,"B"))*3)+((COUNTIF('Elève (5ème1)'!LN21:LP21,"C"))*2)+((COUNTIF('Elève (5ème1)'!LN21:LP21,"D"))*1))/(COUNTA(LN21:LP21)),"")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(5ème1)'!LS21:LU21,"A"))*4)+((COUNTIF('Elève (5ème1)'!LS21:LU21,"B"))*3)+((COUNTIF('Elève (5ème1)'!LS21:LU21,"C"))*2)+((COUNTIF('Elève (5ème1)'!LS21:LU21,"D"))*1))/(COUNTA(LS21:LU21)),"")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(5ème1)'!LX21:LZ21,"A"))*4)+((COUNTIF('Elève (5ème1)'!LX21:LZ21,"B"))*3)+((COUNTIF('Elève (5ème1)'!LX21:LZ21,"C"))*2)+((COUNTIF('Elève (5ème1)'!LX21:LZ21,"D"))*1))/(COUNTA(LX21:LZ21)),"")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(5ème1)'!ME21:MG21,"A"))*4)+((COUNTIF('Elève (5ème1)'!ME21:MG21,"B"))*3)+((COUNTIF('Elève (5ème1)'!ME21:MG21,"C"))*2)+((COUNTIF('Elève (5ème1)'!ME21:MG21,"D"))*1))/(COUNTA(ME21:MG21)),"")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(5ème1)'!MJ21:ML21,"A"))*4)+((COUNTIF('Elève (5ème1)'!MJ21:ML21,"B"))*3)+((COUNTIF('Elève (5ème1)'!MJ21:ML21,"C"))*2)+((COUNTIF('Elève (5ème1)'!MJ21:ML21,"D"))*1))/(COUNTA(MJ21:ML21)),"")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(5ème1)'!MO21:MQ21,"A"))*4)+((COUNTIF('Elève (5ème1)'!MO21:MQ21,"B"))*3)+((COUNTIF('Elève (5ème1)'!MO21:MQ21,"C"))*2)+((COUNTIF('Elève (5ème1)'!MO21:MQ21,"D"))*1))/(COUNTA(MO21:MQ21)),"")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(5ème1)'!MV21:MX21,"A"))*4)+((COUNTIF('Elève (5ème1)'!MV21:MX21,"B"))*3)+((COUNTIF('Elève (5ème1)'!MV21:MX21,"C"))*2)+((COUNTIF('Elève (5ème1)'!MV21:MX21,"D"))*1))/(COUNTA(MV21:MX21)),"")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(5ème1)'!NA21:NC21,"A"))*4)+((COUNTIF('Elève (5ème1)'!NA21:NC21,"B"))*3)+((COUNTIF('Elève (5ème1)'!NA21:NC21,"C"))*2)+((COUNTIF('Elève (5ème1)'!NA21:NC21,"D"))*1))/(COUNTA(NA21:NC21)),"")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(5ème1)'!NF21:NH21,"A"))*4)+((COUNTIF('Elève (5ème1)'!NF21:NH21,"B"))*3)+((COUNTIF('Elève (5ème1)'!NF21:NH21,"C"))*2)+((COUNTIF('Elève (5ème1)'!NF21:NH21,"D"))*1))/(COUNTA(NF21:NH21)),"")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(5ème1)'!NM21:NO21,"A"))*4)+((COUNTIF('Elève (5ème1)'!NM21:NO21,"B"))*3)+((COUNTIF('Elève (5ème1)'!NM21:NO21,"C"))*2)+((COUNTIF('Elève (5ème1)'!NM21:NO21,"D"))*1))/(COUNTA(NM21:NO21)),"")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(5ème1)'!NR21:NT21,"A"))*4)+((COUNTIF('Elève (5ème1)'!NR21:NT21,"B"))*3)+((COUNTIF('Elève (5ème1)'!NR21:NT21,"C"))*2)+((COUNTIF('Elève (5ème1)'!NR21:NT21,"D"))*1))/(COUNTA(NR21:NT21)),"")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(5ème1)'!NW21:NY21,"A"))*4)+((COUNTIF('Elève (5ème1)'!NW21:NY21,"B"))*3)+((COUNTIF('Elève (5ème1)'!NW21:NY21,"C"))*2)+((COUNTIF('Elève (5ème1)'!NW21:NY21,"D"))*1))/(COUNTA(NW21:NY21)),"")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(5ème1)'!OD21:OF21,"A"))*4)+((COUNTIF('Elève (5ème1)'!OD21:OF21,"B"))*3)+((COUNTIF('Elève (5ème1)'!OD21:OF21,"C"))*2)+((COUNTIF('Elève (5ème1)'!OD21:OF21,"D"))*1))/(COUNTA(OD21:OF21)),"")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(5ème1)'!OI21:OK21,"A"))*4)+((COUNTIF('Elève (5ème1)'!OI21:OK21,"B"))*3)+((COUNTIF('Elève (5ème1)'!OI21:OK21,"C"))*2)+((COUNTIF('Elève (5ème1)'!OI21:OK21,"D"))*1))/(COUNTA(OI21:OK21)),"")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(5ème1)'!ON21:OP21,"A"))*4)+((COUNTIF('Elève (5ème1)'!ON21:OP21,"B"))*3)+((COUNTIF('Elève (5ème1)'!ON21:OP21,"C"))*2)+((COUNTIF('Elève (5ème1)'!ON21:OP21,"D"))*1))/(COUNTA(ON21:OP21)),"")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(5ème1)'!OU21:OW21,"A"))*4)+((COUNTIF('Elève (5ème1)'!OU21:OW21,"B"))*3)+((COUNTIF('Elève (5ème1)'!OU21:OW21,"C"))*2)+((COUNTIF('Elève (5ème1)'!OU21:OW21,"D"))*1))/(COUNTA(OU21:OW21)),"")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(5ème1)'!OZ21:PB21,"A"))*4)+((COUNTIF('Elève (5ème1)'!OZ21:PB21,"B"))*3)+((COUNTIF('Elève (5ème1)'!OZ21:PB21,"C"))*2)+((COUNTIF('Elève (5ème1)'!OZ21:PB21,"D"))*1))/(COUNTA(OZ21:PB21)),"")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(5ème1)'!PE21:PG21,"A"))*4)+((COUNTIF('Elève (5ème1)'!PE21:PG21,"B"))*3)+((COUNTIF('Elève (5ème1)'!PE21:PG21,"C"))*2)+((COUNTIF('Elève (5ème1)'!PE21:PG21,"D"))*1))/(COUNTA(PE21:PG21)),"")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(5ème1)'!PL21:PN21,"A"))*4)+((COUNTIF('Elève (5ème1)'!PL21:PN21,"B"))*3)+((COUNTIF('Elève (5ème1)'!PL21:PN21,"C"))*2)+((COUNTIF('Elève (5ème1)'!PL21:PN21,"D"))*1))/(COUNTA(PL21:PN21)),"")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(5ème1)'!PQ21:PS21,"A"))*4)+((COUNTIF('Elève (5ème1)'!PQ21:PS21,"B"))*3)+((COUNTIF('Elève (5ème1)'!PQ21:PS21,"C"))*2)+((COUNTIF('Elève (5ème1)'!PQ21:PS21,"D"))*1))/(COUNTA(PQ21:PS21)),"")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(5ème1)'!PV21:PX21,"A"))*4)+((COUNTIF('Elève (5ème1)'!PV21:PX21,"B"))*3)+((COUNTIF('Elève (5ème1)'!PV21:PX21,"C"))*2)+((COUNTIF('Elève (5ème1)'!PV21:PX21,"D"))*1))/(COUNTA(PV21:PX21)),"")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(5ème1)'!QC21:QE21,"A"))*4)+((COUNTIF('Elève (5ème1)'!QC21:QE21,"B"))*3)+((COUNTIF('Elève (5ème1)'!QC21:QE21,"C"))*2)+((COUNTIF('Elève (5ème1)'!QC21:QE21,"D"))*1))/(COUNTA(QC21:QE21)),"")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(5ème1)'!QH21:QJ21,"A"))*4)+((COUNTIF('Elève (5ème1)'!QH21:QJ21,"B"))*3)+((COUNTIF('Elève (5ème1)'!QH21:QJ21,"C"))*2)+((COUNTIF('Elève (5ème1)'!QH21:QJ21,"D"))*1))/(COUNTA(QH21:QJ21)),"")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(5ème1)'!QM21:QO21,"A"))*4)+((COUNTIF('Elève (5ème1)'!QM21:QO21,"B"))*3)+((COUNTIF('Elève (5ème1)'!QM21:QO21,"C"))*2)+((COUNTIF('Elève (5ème1)'!QM21:QO21,"D"))*1))/(COUNTA(QM21:QO21)),"")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(5ème1)'!QT21:QV21,"A"))*4)+((COUNTIF('Elève (5ème1)'!QT21:QV21,"B"))*3)+((COUNTIF('Elève (5ème1)'!QT21:QV21,"C"))*2)+((COUNTIF('Elève (5ème1)'!QT21:QV21,"D"))*1))/(COUNTA(QT21:QV21)),"")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(5ème1)'!QY21:RA21,"A"))*4)+((COUNTIF('Elève (5ème1)'!QY21:RA21,"B"))*3)+((COUNTIF('Elève (5ème1)'!QY21:RA21,"C"))*2)+((COUNTIF('Elève (5ème1)'!QY21:RA21,"D"))*1))/(COUNTA(QY21:RA21)),"")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(5ème1)'!RD21:RF21,"A"))*4)+((COUNTIF('Elève (5ème1)'!RD21:RF21,"B"))*3)+((COUNTIF('Elève (5ème1)'!RD21:RF21,"C"))*2)+((COUNTIF('Elève (5ème1)'!RD21:RF21,"D"))*1))/(COUNTA(RD21:RF21)),"")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(5ème1)'!RK21:RM21,"A"))*4)+((COUNTIF('Elève (5ème1)'!RK21:RM21,"B"))*3)+((COUNTIF('Elève (5ème1)'!RK21:RM21,"C"))*2)+((COUNTIF('Elève (5ème1)'!RK21:RM21,"D"))*1))/(COUNTA(RK21:RM21)),"")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(5ème1)'!RP21:RR21,"A"))*4)+((COUNTIF('Elève (5ème1)'!RP21:RR21,"B"))*3)+((COUNTIF('Elève (5ème1)'!RP21:RR21,"C"))*2)+((COUNTIF('Elève (5ème1)'!RP21:RR21,"D"))*1))/(COUNTA(RP21:RR21)),"")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(5ème1)'!RU21:RW21,"A"))*4)+((COUNTIF('Elève (5ème1)'!RU21:RW21,"B"))*3)+((COUNTIF('Elève (5ème1)'!RU21:RW21,"C"))*2)+((COUNTIF('Elève (5ème1)'!RU21:RW21,"D"))*1))/(COUNTA(RU21:RW21)),"")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(5ème1)'!SB21:SD21,"A"))*4)+((COUNTIF('Elève (5ème1)'!SB21:SD21,"B"))*3)+((COUNTIF('Elève (5ème1)'!SB21:SD21,"C"))*2)+((COUNTIF('Elève (5ème1)'!SB21:SD21,"D"))*1))/(COUNTA(SB21:SD21)),"")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(5ème1)'!SG21:SI21,"A"))*4)+((COUNTIF('Elève (5ème1)'!SG21:SI21,"B"))*3)+((COUNTIF('Elève (5ème1)'!SG21:SI21,"C"))*2)+((COUNTIF('Elève (5ème1)'!SG21:SI21,"D"))*1))/(COUNTA(SG21:SI21)),"")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(5ème1)'!SL21:SN21,"A"))*4)+((COUNTIF('Elève (5ème1)'!SL21:SN21,"B"))*3)+((COUNTIF('Elève (5ème1)'!SL21:SN21,"C"))*2)+((COUNTIF('Elève (5ème1)'!SL21:SN21,"D"))*1))/(COUNTA(SL21:SN21)),"")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31" t="s">
        <v>26</v>
      </c>
      <c r="B22" s="232"/>
      <c r="C22" s="167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>20</v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>
        <f ca="1">IF(COUNTA(C22:E22)-COUNTBLANK(C22:E22)=0,"",SUM(C22:E22)/(COUNTA(C22:E22)-COUNTBLANK(C22:E22)))</f>
        <v>20</v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>15</v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>
        <f ca="1">IF(COUNTA(T22:V22)-COUNTBLANK(T22:V22)=0,"",SUM(T22:V22)/(COUNTA(T22:V22)-COUNTBLANK(T22:V22)))</f>
        <v>15</v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>13.75</v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>
        <f ca="1">IF(COUNTA(AK22:AM22)-COUNTBLANK(AK22:AM22)=0,"",SUM(AK22:AM22)/(COUNTA(AK22:AM22)-COUNTBLANK(AK22:AM22)))</f>
        <v>13.75</v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>13.75</v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>
        <f ca="1">IF(COUNTA(BB22:BD22)-COUNTBLANK(BB22:BD22)=0,"",SUM(BB22:BD22)/(COUNTA(BB22:BD22)-COUNTBLANK(BB22:BD22)))</f>
        <v>13.75</v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>18.125</v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>
        <f ca="1">IF(COUNTA(BS22:BU22)-COUNTBLANK(BS22:BU22)=0,"",SUM(BS22:BU22)/(COUNTA(BS22:BU22)-COUNTBLANK(BS22:BU22)))</f>
        <v>18.125</v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>18.75</v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>
        <f ca="1">IF(COUNTA(CJ22:CL22)-COUNTBLANK(CJ22:CL22)=0,"",SUM(CJ22:CL22)/(COUNTA(CJ22:CL22)-COUNTBLANK(CJ22:CL22)))</f>
        <v>18.75</v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>16.25</v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>
        <f ca="1">IF(COUNTA(DA22:DC22)-COUNTBLANK(DA22:DC22)=0,"",SUM(DA22:DC22)/(COUNTA(DA22:DC22)-COUNTBLANK(DA22:DC22)))</f>
        <v>16.25</v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>18.125</v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>
        <f ca="1">IF(COUNTA(DR22:DT22)-COUNTBLANK(DR22:DT22)=0,"",SUM(DR22:DT22)/(COUNTA(DR22:DT22)-COUNTBLANK(DR22:DT22)))</f>
        <v>18.125</v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>17.5</v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>
        <f ca="1">IF(COUNTA(EI22:EK22)-COUNTBLANK(EI22:EK22)=0,"",SUM(EI22:EK22)/(COUNTA(EI22:EK22)-COUNTBLANK(EI22:EK22)))</f>
        <v>17.5</v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>16.25</v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>
        <f ca="1">IF(COUNTA(EZ22:FB22)-COUNTBLANK(EZ22:FB22)=0,"",SUM(EZ22:FB22)/(COUNTA(EZ22:FB22)-COUNTBLANK(EZ22:FB22)))</f>
        <v>16.25</v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>15.625</v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>
        <f ca="1">IF(COUNTA(FQ22:FS22)-COUNTBLANK(FQ22:FS22)=0,"",SUM(FQ22:FS22)/(COUNTA(FQ22:FS22)-COUNTBLANK(FQ22:FS22)))</f>
        <v>15.625</v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>16.875</v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>
        <f ca="1">IF(COUNTA(GH22:GJ22)-COUNTBLANK(GH22:GJ22)=0,"",SUM(GH22:GJ22)/(COUNTA(GH22:GJ22)-COUNTBLANK(GH22:GJ22)))</f>
        <v>16.875</v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>16.25</v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>
        <f ca="1">IF(COUNTA(GY22:HA22)-COUNTBLANK(GY22:HA22)=0,"",SUM(GY22:HA22)/(COUNTA(GY22:HA22)-COUNTBLANK(GY22:HA22)))</f>
        <v>16.25</v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>16.875</v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>
        <f ca="1">IF(COUNTA(HP22:HR22)-COUNTBLANK(HP22:HR22)=0,"",SUM(HP22:HR22)/(COUNTA(HP22:HR22)-COUNTBLANK(HP22:HR22)))</f>
        <v>16.875</v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>18.75</v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>
        <f ca="1">IF(COUNTA(IG22:II22)-COUNTBLANK(IG22:II22)=0,"",SUM(IG22:II22)/(COUNTA(IG22:II22)-COUNTBLANK(IG22:II22)))</f>
        <v>18.75</v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>18.75</v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>
        <f ca="1">IF(COUNTA(IX22:IZ22)-COUNTBLANK(IX22:IZ22)=0,"",SUM(IX22:IZ22)/(COUNTA(IX22:IZ22)-COUNTBLANK(IX22:IZ22)))</f>
        <v>18.75</v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>20</v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>
        <f ca="1">IF(COUNTA(JO22:JQ22)-COUNTBLANK(JO22:JQ22)=0,"",SUM(JO22:JQ22)/(COUNTA(JO22:JQ22)-COUNTBLANK(JO22:JQ22)))</f>
        <v>20</v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>18.75</v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>
        <f ca="1">IF(COUNTA(KF22:KH22)-COUNTBLANK(KF22:KH22)=0,"",SUM(KF22:KH22)/(COUNTA(KF22:KH22)-COUNTBLANK(KF22:KH22)))</f>
        <v>18.75</v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>13.125</v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>
        <f ca="1">IF(COUNTA(KW22:KY22)-COUNTBLANK(KW22:KY22)=0,"",SUM(KW22:KY22)/(COUNTA(KW22:KY22)-COUNTBLANK(KW22:KY22)))</f>
        <v>13.125</v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>18.125</v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>
        <f ca="1">IF(COUNTA(LN22:LP22)-COUNTBLANK(LN22:LP22)=0,"",SUM(LN22:LP22)/(COUNTA(LN22:LP22)-COUNTBLANK(LN22:LP22)))</f>
        <v>18.125</v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>16.25</v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>
        <f ca="1">IF(COUNTA(ME22:MG22)-COUNTBLANK(ME22:MG22)=0,"",SUM(ME22:MG22)/(COUNTA(ME22:MG22)-COUNTBLANK(ME22:MG22)))</f>
        <v>16.25</v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>11.875</v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>
        <f ca="1">IF(COUNTA(MV22:MX22)-COUNTBLANK(MV22:MX22)=0,"",SUM(MV22:MX22)/(COUNTA(MV22:MX22)-COUNTBLANK(MV22:MX22)))</f>
        <v>11.875</v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>14.375</v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>
        <f ca="1">IF(COUNTA(NM22:NO22)-COUNTBLANK(NM22:NO22)=0,"",SUM(NM22:NO22)/(COUNTA(NM22:NO22)-COUNTBLANK(NM22:NO22)))</f>
        <v>14.375</v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>18.75</v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>
        <f ca="1">IF(COUNTA(OD22:OF22)-COUNTBLANK(OD22:OF22)=0,"",SUM(OD22:OF22)/(COUNTA(OD22:OF22)-COUNTBLANK(OD22:OF22)))</f>
        <v>18.75</v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>16.25</v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>
        <f ca="1">IF(COUNTA(OU22:OW22)-COUNTBLANK(OU22:OW22)=0,"",SUM(OU22:OW22)/(COUNTA(OU22:OW22)-COUNTBLANK(OU22:OW22)))</f>
        <v>16.25</v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>14.375</v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>
        <f ca="1">IF(COUNTA(PL22:PN22)-COUNTBLANK(PL22:PN22)=0,"",SUM(PL22:PN22)/(COUNTA(PL22:PN22)-COUNTBLANK(PL22:PN22)))</f>
        <v>14.375</v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>16.875</v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>
        <f ca="1">IF(COUNTA(QC22:QE22)-COUNTBLANK(QC22:QE22)=0,"",SUM(QC22:QE22)/(COUNTA(QC22:QE22)-COUNTBLANK(QC22:QE22)))</f>
        <v>16.875</v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>15.625</v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>
        <f ca="1">IF(COUNTA(QT22:QV22)-COUNTBLANK(QT22:QV22)=0,"",SUM(QT22:QV22)/(COUNTA(QT22:QV22)-COUNTBLANK(QT22:QV22)))</f>
        <v>15.625</v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>18.75</v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>
        <f ca="1">IF(COUNTA(RK22:RM22)-COUNTBLANK(RK22:RM22)=0,"",SUM(RK22:RM22)/(COUNTA(RK22:RM22)-COUNTBLANK(RK22:RM22)))</f>
        <v>18.75</v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>18.75</v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>
        <f ca="1">IF(COUNTA(SB22:SD22)-COUNTBLANK(SB22:SD22)=0,"",SUM(SB22:SD22)/(COUNTA(SB22:SD22)-COUNTBLANK(SB22:SD22)))</f>
        <v>18.75</v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>4</v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  <row r="28" spans="1:512" ht="18" x14ac:dyDescent="0.25"/>
    <row r="29" spans="1:512" ht="18" x14ac:dyDescent="0.25"/>
    <row r="30" spans="1:512" ht="18" x14ac:dyDescent="0.25"/>
  </sheetData>
  <sheetProtection algorithmName="SHA-512" hashValue="FJCFxuPBoxoWgu9LvycmQ4HaVC1xri/3U67S6zxr0AMl4Z+hZSkqpq57X9On4l/5k1jRYJHwvp8uCoZmOJgeoQ==" saltValue="Dyshz5c4f9+/ugJngzYGPA==" spinCount="100000" sheet="1" insertColumns="0" deleteColumns="0" selectLockedCells="1"/>
  <dataConsolidate/>
  <mergeCells count="15">
    <mergeCell ref="A21:B21"/>
    <mergeCell ref="A22:B22"/>
    <mergeCell ref="A17:B17"/>
    <mergeCell ref="A18:B18"/>
    <mergeCell ref="A19:B19"/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214</v>
      </c>
      <c r="B1" s="206" t="s">
        <v>0</v>
      </c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7"/>
      <c r="AC1" s="38" t="s">
        <v>40</v>
      </c>
    </row>
    <row r="2" spans="1:29" ht="24.95" customHeight="1" thickTop="1" x14ac:dyDescent="0.25">
      <c r="A2" s="208" t="s">
        <v>1</v>
      </c>
      <c r="B2" s="210" t="s">
        <v>2</v>
      </c>
      <c r="C2" s="210"/>
      <c r="D2" s="210"/>
      <c r="E2" s="211"/>
      <c r="F2" s="212" t="s">
        <v>3</v>
      </c>
      <c r="G2" s="213"/>
      <c r="H2" s="213"/>
      <c r="I2" s="214"/>
      <c r="J2" s="212" t="s">
        <v>4</v>
      </c>
      <c r="K2" s="213"/>
      <c r="L2" s="213"/>
      <c r="M2" s="214"/>
      <c r="N2" s="212" t="s">
        <v>5</v>
      </c>
      <c r="O2" s="213"/>
      <c r="P2" s="213"/>
      <c r="Q2" s="214"/>
      <c r="R2" s="212" t="s">
        <v>6</v>
      </c>
      <c r="S2" s="213"/>
      <c r="T2" s="213"/>
      <c r="U2" s="214"/>
      <c r="V2" s="215" t="s">
        <v>38</v>
      </c>
      <c r="W2" s="216"/>
      <c r="X2" s="217"/>
      <c r="Y2" s="218" t="s">
        <v>36</v>
      </c>
      <c r="Z2" s="219"/>
      <c r="AA2" s="220"/>
      <c r="AC2" s="47" t="s">
        <v>49</v>
      </c>
    </row>
    <row r="3" spans="1:29" ht="24.95" customHeight="1" thickBot="1" x14ac:dyDescent="0.3">
      <c r="A3" s="209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46</v>
      </c>
    </row>
    <row r="4" spans="1:29" ht="15.75" customHeight="1" thickTop="1" x14ac:dyDescent="0.25">
      <c r="A4" s="44" t="str">
        <f ca="1">CELL("contenu",INDIRECT(ADDRESS(ROW()-2,3,1,,CELL("contenu",$AC$3))))</f>
        <v>ANTIGNY Arthur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CELL("contenu",INDIRECT(ADDRESS(ROW()-2,3,1,,CELL("contenu",$AC$3))))</f>
        <v>AURIAULT Anne-Lise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BOUISSOU Simon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CAMARET Pierre-Louis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COUTANT Elena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CRETEL--HERIVEAU Rose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DE PONCHEVILLE Aliette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FAROOQ ELIAS Mathyus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GALEANO Antoine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GERARD Lenny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GILLOT Quiterie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JEANDEMANGE Marc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JOURDAIN Marc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LADAN Juliette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LALOUM Tina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LE DRESSAY Max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LECUYER Garance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MANZANARES Margaux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MEKIBES Aslane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MOTTIER Leopold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NEIGE--SARFATI Raphael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POUPAULT Sasha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RANCHOUX Louis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RIVIERE Thomas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ROBLOT Maia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STEPHANT Marius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TECLU Lulia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 t="str">
        <f t="shared" ca="1" si="0"/>
        <v>TROCHET Paul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 t="str">
        <f t="shared" ca="1" si="0"/>
        <v>ZHENDRE Meline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j691dZpizB5XyTKYVZAL/Om3ZDomJSXcWA3LwfTht1q/HO1FNoz0XHzmgGCV5Qgp3EDiQV8RK7Ti922sEv4pjQ==" saltValue="RJoNhsoF3XIGEfBkZXA3gw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SR27"/>
  <sheetViews>
    <sheetView topLeftCell="A2" zoomScale="59" zoomScaleNormal="70" workbookViewId="0">
      <pane xSplit="2" topLeftCell="PP1" activePane="topRight" state="frozen"/>
      <selection activeCell="Y3" sqref="Y3:AA3"/>
      <selection pane="topRight" activeCell="OU19" sqref="OU19"/>
    </sheetView>
  </sheetViews>
  <sheetFormatPr baseColWidth="10" defaultColWidth="5.7109375" defaultRowHeight="15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23" t="s">
        <v>41</v>
      </c>
      <c r="B1" s="224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50</v>
      </c>
      <c r="C2" s="148" t="str">
        <f ca="1">IF(CELL("contenu",INDIRECT(ADDRESS(C1,1,1,1,CELL("contenu",$B$2))))="","----",CELL("contenu",INDIRECT(ADDRESS(C1,1,1,1,CELL("contenu",$B$2)))))</f>
        <v>ANTIGNY Arthur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AURIAULT Anne-Lise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BOUISSOU Simon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CAMARET Pierre-Louis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COUTANT Elena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CRETEL--HERIVEAU Rose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DE PONCHEVILLE Aliette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FAROOQ ELIAS Mathyus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GALEANO Antoine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GERARD Lenny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GILLOT Quiterie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JEANDEMANGE Marc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JOURDAIN Marc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LADAN Juliette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LALOUM Tina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LE DRESSAY Max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LECUYER Garance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MANZANARES Margaux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MEKIBES Aslane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MOTTIER Leopold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NEIGE--SARFATI Raphael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POUPAULT Sasha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RANCHOUX Louis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RIVIERE Thomas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ROBLOT Maia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STEPHANT Marius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TECLU Lulia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 t="str">
        <f ca="1">IF(CELL("contenu",INDIRECT(ADDRESS(QT1,1,1,1,CELL("contenu",$B$2))))="","----",CELL("contenu",INDIRECT(ADDRESS(QT1,1,1,1,CELL("contenu",$B$2)))))</f>
        <v>TROCHET Paul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 t="str">
        <f ca="1">IF(CELL("contenu",INDIRECT(ADDRESS(RK1,1,1,1,CELL("contenu",$B$2))))="","----",CELL("contenu",INDIRECT(ADDRESS(RK1,1,1,1,CELL("contenu",$B$2)))))</f>
        <v>ZHENDRE Meline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(5ème2)'!C5:E9,"A"))*4)+((COUNTIF('Elève (5ème2)'!C5:E9,"B"))*3)+((COUNTIF('Elève (5ème2)'!C5:E9,"C"))*2)+((COUNTIF('Elève (5ème2)'!C5:E9,"D"))*1))/(COUNTA(C5:E9)),"")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4"/>
      <c r="I4" s="186"/>
      <c r="J4" s="205"/>
      <c r="K4" s="106" t="str">
        <f>IFERROR((((COUNTIF('Elève (5ème2)'!H5:J9,"A"))*4)+((COUNTIF('Elève (5ème2)'!H5:J9,"B"))*3)+((COUNTIF('Elève (5ème2)'!H5:J9,"C"))*2)+((COUNTIF('Elève (5ème2)'!H5:J9,"D"))*1))/(COUNTA(H5:J9)),"")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(5ème2)'!M5:O9,"A"))*4)+((COUNTIF('Elève (5ème2)'!M5:O9,"B"))*3)+((COUNTIF('Elève (5ème2)'!M5:O9,"C"))*2)+((COUNTIF('Elève (5ème2)'!M5:O9,"D"))*1))/(COUNTA(M5:O9)),"")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(5ème2)'!T5:V9,"A"))*4)+((COUNTIF('Elève (5ème2)'!T5:V9,"B"))*3)+((COUNTIF('Elève (5ème2)'!T5:V9,"C"))*2)+((COUNTIF('Elève (5ème2)'!T5:V9,"D"))*1))/(COUNTA(T5:V9)),"")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4"/>
      <c r="Z4" s="186"/>
      <c r="AA4" s="205"/>
      <c r="AB4" s="106" t="str">
        <f>IFERROR((((COUNTIF('Elève (5ème2)'!Y5:AA9,"A"))*4)+((COUNTIF('Elève (5ème2)'!Y5:AA9,"B"))*3)+((COUNTIF('Elève (5ème2)'!Y5:AA9,"C"))*2)+((COUNTIF('Elève (5ème2)'!Y5:AA9,"D"))*1))/(COUNTA(Y5:AA9)),"")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(5ème2)'!AD5:AF9,"A"))*4)+((COUNTIF('Elève (5ème2)'!AD5:AF9,"B"))*3)+((COUNTIF('Elève (5ème2)'!AD5:AF9,"C"))*2)+((COUNTIF('Elève (5ème2)'!AD5:AF9,"D"))*1))/(COUNTA(AD5:AF9)),"")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(5ème2)'!AK5:AM9,"A"))*4)+((COUNTIF('Elève (5ème2)'!AK5:AM9,"B"))*3)+((COUNTIF('Elève (5ème2)'!AK5:AM9,"C"))*2)+((COUNTIF('Elève (5ème2)'!AK5:AM9,"D"))*1))/(COUNTA(AK5:AM9)),"")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4"/>
      <c r="AQ4" s="186"/>
      <c r="AR4" s="205"/>
      <c r="AS4" s="106" t="str">
        <f>IFERROR((((COUNTIF('Elève (5ème2)'!AP5:AR9,"A"))*4)+((COUNTIF('Elève (5ème2)'!AP5:AR9,"B"))*3)+((COUNTIF('Elève (5ème2)'!AP5:AR9,"C"))*2)+((COUNTIF('Elève (5ème2)'!AP5:AR9,"D"))*1))/(COUNTA(AP5:AR9)),"")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(5ème2)'!AU5:AW9,"A"))*4)+((COUNTIF('Elève (5ème2)'!AU5:AW9,"B"))*3)+((COUNTIF('Elève (5ème2)'!AU5:AW9,"C"))*2)+((COUNTIF('Elève (5ème2)'!AU5:AW9,"D"))*1))/(COUNTA(AU5:AW9)),"")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(5ème2)'!BB5:BD9,"A"))*4)+((COUNTIF('Elève (5ème2)'!BB5:BD9,"B"))*3)+((COUNTIF('Elève (5ème2)'!BB5:BD9,"C"))*2)+((COUNTIF('Elève (5ème2)'!BB5:BD9,"D"))*1))/(COUNTA(BB5:BD9)),"")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4"/>
      <c r="BH4" s="186"/>
      <c r="BI4" s="205"/>
      <c r="BJ4" s="106" t="str">
        <f>IFERROR((((COUNTIF('Elève (5ème2)'!BG5:BI9,"A"))*4)+((COUNTIF('Elève (5ème2)'!BG5:BI9,"B"))*3)+((COUNTIF('Elève (5ème2)'!BG5:BI9,"C"))*2)+((COUNTIF('Elève (5ème2)'!BG5:BI9,"D"))*1))/(COUNTA(BG5:BI9)),"")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(5ème2)'!BL5:BN9,"A"))*4)+((COUNTIF('Elève (5ème2)'!BL5:BN9,"B"))*3)+((COUNTIF('Elève (5ème2)'!BL5:BN9,"C"))*2)+((COUNTIF('Elève (5ème2)'!BL5:BN9,"D"))*1))/(COUNTA(BL5:BN9)),"")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(5ème2)'!BS5:BU9,"A"))*4)+((COUNTIF('Elève (5ème2)'!BS5:BU9,"B"))*3)+((COUNTIF('Elève (5ème2)'!BS5:BU9,"C"))*2)+((COUNTIF('Elève (5ème2)'!BS5:BU9,"D"))*1))/(COUNTA(BS5:BU9)),"")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4"/>
      <c r="BY4" s="186"/>
      <c r="BZ4" s="205"/>
      <c r="CA4" s="106" t="str">
        <f>IFERROR((((COUNTIF('Elève (5ème2)'!BX5:BZ9,"A"))*4)+((COUNTIF('Elève (5ème2)'!BX5:BZ9,"B"))*3)+((COUNTIF('Elève (5ème2)'!BX5:BZ9,"C"))*2)+((COUNTIF('Elève (5ème2)'!BX5:BZ9,"D"))*1))/(COUNTA(BX5:BZ9)),"")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(5ème2)'!CC5:CE9,"A"))*4)+((COUNTIF('Elève (5ème2)'!CC5:CE9,"B"))*3)+((COUNTIF('Elève (5ème2)'!CC5:CE9,"C"))*2)+((COUNTIF('Elève (5ème2)'!CC5:CE9,"D"))*1))/(COUNTA(CC5:CE9)),"")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(5ème2)'!CJ5:CL9,"A"))*4)+((COUNTIF('Elève (5ème2)'!CJ5:CL9,"B"))*3)+((COUNTIF('Elève (5ème2)'!CJ5:CL9,"C"))*2)+((COUNTIF('Elève (5ème2)'!CJ5:CL9,"D"))*1))/(COUNTA(CJ5:CL9)),"")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4"/>
      <c r="CP4" s="186"/>
      <c r="CQ4" s="205"/>
      <c r="CR4" s="106" t="str">
        <f>IFERROR((((COUNTIF('Elève (5ème2)'!CO5:CQ9,"A"))*4)+((COUNTIF('Elève (5ème2)'!CO5:CQ9,"B"))*3)+((COUNTIF('Elève (5ème2)'!CO5:CQ9,"C"))*2)+((COUNTIF('Elève (5ème2)'!CO5:CQ9,"D"))*1))/(COUNTA(CO5:CQ9)),"")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(5ème2)'!CT5:CV9,"A"))*4)+((COUNTIF('Elève (5ème2)'!CT5:CV9,"B"))*3)+((COUNTIF('Elève (5ème2)'!CT5:CV9,"C"))*2)+((COUNTIF('Elève (5ème2)'!CT5:CV9,"D"))*1))/(COUNTA(CT5:CV9)),"")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(5ème2)'!DA5:DC9,"A"))*4)+((COUNTIF('Elève (5ème2)'!DA5:DC9,"B"))*3)+((COUNTIF('Elève (5ème2)'!DA5:DC9,"C"))*2)+((COUNTIF('Elève (5ème2)'!DA5:DC9,"D"))*1))/(COUNTA(DA5:DC9)),"")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4"/>
      <c r="DG4" s="186"/>
      <c r="DH4" s="205"/>
      <c r="DI4" s="106" t="str">
        <f>IFERROR((((COUNTIF('Elève (5ème2)'!DF5:DH9,"A"))*4)+((COUNTIF('Elève (5ème2)'!DF5:DH9,"B"))*3)+((COUNTIF('Elève (5ème2)'!DF5:DH9,"C"))*2)+((COUNTIF('Elève (5ème2)'!DF5:DH9,"D"))*1))/(COUNTA(DF5:DH9)),"")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(5ème2)'!DK5:DM9,"A"))*4)+((COUNTIF('Elève (5ème2)'!DK5:DM9,"B"))*3)+((COUNTIF('Elève (5ème2)'!DK5:DM9,"C"))*2)+((COUNTIF('Elève (5ème2)'!DK5:DM9,"D"))*1))/(COUNTA(DK5:DM9)),"")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(5ème2)'!DR5:DT9,"A"))*4)+((COUNTIF('Elève (5ème2)'!DR5:DT9,"B"))*3)+((COUNTIF('Elève (5ème2)'!DR5:DT9,"C"))*2)+((COUNTIF('Elève (5ème2)'!DR5:DT9,"D"))*1))/(COUNTA(DR5:DT9)),"")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4"/>
      <c r="DX4" s="186"/>
      <c r="DY4" s="205"/>
      <c r="DZ4" s="106" t="str">
        <f>IFERROR((((COUNTIF('Elève (5ème2)'!DW5:DY9,"A"))*4)+((COUNTIF('Elève (5ème2)'!DW5:DY9,"B"))*3)+((COUNTIF('Elève (5ème2)'!DW5:DY9,"C"))*2)+((COUNTIF('Elève (5ème2)'!DW5:DY9,"D"))*1))/(COUNTA(DW5:DY9)),"")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(5ème2)'!EB5:ED9,"A"))*4)+((COUNTIF('Elève (5ème2)'!EB5:ED9,"B"))*3)+((COUNTIF('Elève (5ème2)'!EB5:ED9,"C"))*2)+((COUNTIF('Elève (5ème2)'!EB5:ED9,"D"))*1))/(COUNTA(EB5:ED9)),"")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(5ème2)'!EI5:EK9,"A"))*4)+((COUNTIF('Elève (5ème2)'!EI5:EK9,"B"))*3)+((COUNTIF('Elève (5ème2)'!EI5:EK9,"C"))*2)+((COUNTIF('Elève (5ème2)'!EI5:EK9,"D"))*1))/(COUNTA(EI5:EK9)),"")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4"/>
      <c r="EO4" s="186"/>
      <c r="EP4" s="205"/>
      <c r="EQ4" s="106" t="str">
        <f>IFERROR((((COUNTIF('Elève (5ème2)'!EN5:EP9,"A"))*4)+((COUNTIF('Elève (5ème2)'!EN5:EP9,"B"))*3)+((COUNTIF('Elève (5ème2)'!EN5:EP9,"C"))*2)+((COUNTIF('Elève (5ème2)'!EN5:EP9,"D"))*1))/(COUNTA(EN5:EP9)),"")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(5ème2)'!ES5:EU9,"A"))*4)+((COUNTIF('Elève (5ème2)'!ES5:EU9,"B"))*3)+((COUNTIF('Elève (5ème2)'!ES5:EU9,"C"))*2)+((COUNTIF('Elève (5ème2)'!ES5:EU9,"D"))*1))/(COUNTA(ES5:EU9)),"")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(5ème2)'!EZ5:FB9,"A"))*4)+((COUNTIF('Elève (5ème2)'!EZ5:FB9,"B"))*3)+((COUNTIF('Elève (5ème2)'!EZ5:FB9,"C"))*2)+((COUNTIF('Elève (5ème2)'!EZ5:FB9,"D"))*1))/(COUNTA(EZ5:FB9)),"")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4"/>
      <c r="FF4" s="186"/>
      <c r="FG4" s="205"/>
      <c r="FH4" s="106" t="str">
        <f>IFERROR((((COUNTIF('Elève (5ème2)'!FE5:FG9,"A"))*4)+((COUNTIF('Elève (5ème2)'!FE5:FG9,"B"))*3)+((COUNTIF('Elève (5ème2)'!FE5:FG9,"C"))*2)+((COUNTIF('Elève (5ème2)'!FE5:FG9,"D"))*1))/(COUNTA(FE5:FG9)),"")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(5ème2)'!FJ5:FL9,"A"))*4)+((COUNTIF('Elève (5ème2)'!FJ5:FL9,"B"))*3)+((COUNTIF('Elève (5ème2)'!FJ5:FL9,"C"))*2)+((COUNTIF('Elève (5ème2)'!FJ5:FL9,"D"))*1))/(COUNTA(FJ5:FL9)),"")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(5ème2)'!FQ5:FS9,"A"))*4)+((COUNTIF('Elève (5ème2)'!FQ5:FS9,"B"))*3)+((COUNTIF('Elève (5ème2)'!FQ5:FS9,"C"))*2)+((COUNTIF('Elève (5ème2)'!FQ5:FS9,"D"))*1))/(COUNTA(FQ5:FS9)),"")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4"/>
      <c r="FW4" s="186"/>
      <c r="FX4" s="205"/>
      <c r="FY4" s="106" t="str">
        <f>IFERROR((((COUNTIF('Elève (5ème2)'!FV5:FX9,"A"))*4)+((COUNTIF('Elève (5ème2)'!FV5:FX9,"B"))*3)+((COUNTIF('Elève (5ème2)'!FV5:FX9,"C"))*2)+((COUNTIF('Elève (5ème2)'!FV5:FX9,"D"))*1))/(COUNTA(FV5:FX9)),"")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(5ème2)'!GA5:GC9,"A"))*4)+((COUNTIF('Elève (5ème2)'!GA5:GC9,"B"))*3)+((COUNTIF('Elève (5ème2)'!GA5:GC9,"C"))*2)+((COUNTIF('Elève (5ème2)'!GA5:GC9,"D"))*1))/(COUNTA(GA5:GC9)),"")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(5ème2)'!GH5:GJ9,"A"))*4)+((COUNTIF('Elève (5ème2)'!GH5:GJ9,"B"))*3)+((COUNTIF('Elève (5ème2)'!GH5:GJ9,"C"))*2)+((COUNTIF('Elève (5ème2)'!GH5:GJ9,"D"))*1))/(COUNTA(GH5:GJ9)),"")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4"/>
      <c r="GN4" s="186"/>
      <c r="GO4" s="205"/>
      <c r="GP4" s="106" t="str">
        <f>IFERROR((((COUNTIF('Elève (5ème2)'!GM5:GO9,"A"))*4)+((COUNTIF('Elève (5ème2)'!GM5:GO9,"B"))*3)+((COUNTIF('Elève (5ème2)'!GM5:GO9,"C"))*2)+((COUNTIF('Elève (5ème2)'!GM5:GO9,"D"))*1))/(COUNTA(GM5:GO9)),"")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(5ème2)'!GR5:GT9,"A"))*4)+((COUNTIF('Elève (5ème2)'!GR5:GT9,"B"))*3)+((COUNTIF('Elève (5ème2)'!GR5:GT9,"C"))*2)+((COUNTIF('Elève (5ème2)'!GR5:GT9,"D"))*1))/(COUNTA(GR5:GT9)),"")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(5ème2)'!GY5:HA9,"A"))*4)+((COUNTIF('Elève (5ème2)'!GY5:HA9,"B"))*3)+((COUNTIF('Elève (5ème2)'!GY5:HA9,"C"))*2)+((COUNTIF('Elève (5ème2)'!GY5:HA9,"D"))*1))/(COUNTA(GY5:HA9)),"")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4"/>
      <c r="HE4" s="186"/>
      <c r="HF4" s="205"/>
      <c r="HG4" s="106" t="str">
        <f>IFERROR((((COUNTIF('Elève (5ème2)'!HD5:HF9,"A"))*4)+((COUNTIF('Elève (5ème2)'!HD5:HF9,"B"))*3)+((COUNTIF('Elève (5ème2)'!HD5:HF9,"C"))*2)+((COUNTIF('Elève (5ème2)'!HD5:HF9,"D"))*1))/(COUNTA(HD5:HF9)),"")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(5ème2)'!HI5:HK9,"A"))*4)+((COUNTIF('Elève (5ème2)'!HI5:HK9,"B"))*3)+((COUNTIF('Elève (5ème2)'!HI5:HK9,"C"))*2)+((COUNTIF('Elève (5ème2)'!HI5:HK9,"D"))*1))/(COUNTA(HI5:HK9)),"")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(5ème2)'!HP5:HR9,"A"))*4)+((COUNTIF('Elève (5ème2)'!HP5:HR9,"B"))*3)+((COUNTIF('Elève (5ème2)'!HP5:HR9,"C"))*2)+((COUNTIF('Elève (5ème2)'!HP5:HR9,"D"))*1))/(COUNTA(HP5:HR9)),"")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4"/>
      <c r="HV4" s="186"/>
      <c r="HW4" s="205"/>
      <c r="HX4" s="106" t="str">
        <f>IFERROR((((COUNTIF('Elève (5ème2)'!HU5:HW9,"A"))*4)+((COUNTIF('Elève (5ème2)'!HU5:HW9,"B"))*3)+((COUNTIF('Elève (5ème2)'!HU5:HW9,"C"))*2)+((COUNTIF('Elève (5ème2)'!HU5:HW9,"D"))*1))/(COUNTA(HU5:HW9)),"")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(5ème2)'!HZ5:IB9,"A"))*4)+((COUNTIF('Elève (5ème2)'!HZ5:IB9,"B"))*3)+((COUNTIF('Elève (5ème2)'!HZ5:IB9,"C"))*2)+((COUNTIF('Elève (5ème2)'!HZ5:IB9,"D"))*1))/(COUNTA(HZ5:IB9)),"")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(5ème2)'!IG5:II9,"A"))*4)+((COUNTIF('Elève (5ème2)'!IG5:II9,"B"))*3)+((COUNTIF('Elève (5ème2)'!IG5:II9,"C"))*2)+((COUNTIF('Elève (5ème2)'!IG5:II9,"D"))*1))/(COUNTA(IG5:II9)),"")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4"/>
      <c r="IM4" s="186"/>
      <c r="IN4" s="205"/>
      <c r="IO4" s="106" t="str">
        <f>IFERROR((((COUNTIF('Elève (5ème2)'!IL5:IN9,"A"))*4)+((COUNTIF('Elève (5ème2)'!IL5:IN9,"B"))*3)+((COUNTIF('Elève (5ème2)'!IL5:IN9,"C"))*2)+((COUNTIF('Elève (5ème2)'!IL5:IN9,"D"))*1))/(COUNTA(IL5:IN9)),"")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(5ème2)'!IQ5:IS9,"A"))*4)+((COUNTIF('Elève (5ème2)'!IQ5:IS9,"B"))*3)+((COUNTIF('Elève (5ème2)'!IQ5:IS9,"C"))*2)+((COUNTIF('Elève (5ème2)'!IQ5:IS9,"D"))*1))/(COUNTA(IQ5:IS9)),"")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(5ème2)'!IX5:IZ9,"A"))*4)+((COUNTIF('Elève (5ème2)'!IX5:IZ9,"B"))*3)+((COUNTIF('Elève (5ème2)'!IX5:IZ9,"C"))*2)+((COUNTIF('Elève (5ème2)'!IX5:IZ9,"D"))*1))/(COUNTA(IX5:IZ9)),"")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4"/>
      <c r="JD4" s="186"/>
      <c r="JE4" s="205"/>
      <c r="JF4" s="106" t="str">
        <f>IFERROR((((COUNTIF('Elève (5ème2)'!JC5:JE9,"A"))*4)+((COUNTIF('Elève (5ème2)'!JC5:JE9,"B"))*3)+((COUNTIF('Elève (5ème2)'!JC5:JE9,"C"))*2)+((COUNTIF('Elève (5ème2)'!JC5:JE9,"D"))*1))/(COUNTA(JC5:JE9)),"")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(5ème2)'!JH5:JJ9,"A"))*4)+((COUNTIF('Elève (5ème2)'!JH5:JJ9,"B"))*3)+((COUNTIF('Elève (5ème2)'!JH5:JJ9,"C"))*2)+((COUNTIF('Elève (5ème2)'!JH5:JJ9,"D"))*1))/(COUNTA(JH5:JJ9)),"")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(5ème2)'!JO5:JQ9,"A"))*4)+((COUNTIF('Elève (5ème2)'!JO5:JQ9,"B"))*3)+((COUNTIF('Elève (5ème2)'!JO5:JQ9,"C"))*2)+((COUNTIF('Elève (5ème2)'!JO5:JQ9,"D"))*1))/(COUNTA(JO5:JQ9)),"")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4"/>
      <c r="JU4" s="186"/>
      <c r="JV4" s="205"/>
      <c r="JW4" s="106" t="str">
        <f>IFERROR((((COUNTIF('Elève (5ème2)'!JT5:JV9,"A"))*4)+((COUNTIF('Elève (5ème2)'!JT5:JV9,"B"))*3)+((COUNTIF('Elève (5ème2)'!JT5:JV9,"C"))*2)+((COUNTIF('Elève (5ème2)'!JT5:JV9,"D"))*1))/(COUNTA(JT5:JV9)),"")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(5ème2)'!JY5:KA9,"A"))*4)+((COUNTIF('Elève (5ème2)'!JY5:KA9,"B"))*3)+((COUNTIF('Elève (5ème2)'!JY5:KA9,"C"))*2)+((COUNTIF('Elève (5ème2)'!JY5:KA9,"D"))*1))/(COUNTA(JY5:KA9)),"")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(5ème2)'!KF5:KH9,"A"))*4)+((COUNTIF('Elève (5ème2)'!KF5:KH9,"B"))*3)+((COUNTIF('Elève (5ème2)'!KF5:KH9,"C"))*2)+((COUNTIF('Elève (5ème2)'!KF5:KH9,"D"))*1))/(COUNTA(KF5:KH9)),"")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4"/>
      <c r="KL4" s="186"/>
      <c r="KM4" s="205"/>
      <c r="KN4" s="106" t="str">
        <f>IFERROR((((COUNTIF('Elève (5ème2)'!KK5:KM9,"A"))*4)+((COUNTIF('Elève (5ème2)'!KK5:KM9,"B"))*3)+((COUNTIF('Elève (5ème2)'!KK5:KM9,"C"))*2)+((COUNTIF('Elève (5ème2)'!KK5:KM9,"D"))*1))/(COUNTA(KK5:KM9)),"")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(5ème2)'!KP5:KR9,"A"))*4)+((COUNTIF('Elève (5ème2)'!KP5:KR9,"B"))*3)+((COUNTIF('Elève (5ème2)'!KP5:KR9,"C"))*2)+((COUNTIF('Elève (5ème2)'!KP5:KR9,"D"))*1))/(COUNTA(KP5:KR9)),"")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(5ème2)'!KW5:KY9,"A"))*4)+((COUNTIF('Elève (5ème2)'!KW5:KY9,"B"))*3)+((COUNTIF('Elève (5ème2)'!KW5:KY9,"C"))*2)+((COUNTIF('Elève (5ème2)'!KW5:KY9,"D"))*1))/(COUNTA(KW5:KY9)),"")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4"/>
      <c r="LC4" s="186"/>
      <c r="LD4" s="205"/>
      <c r="LE4" s="106" t="str">
        <f>IFERROR((((COUNTIF('Elève (5ème2)'!LB5:LD9,"A"))*4)+((COUNTIF('Elève (5ème2)'!LB5:LD9,"B"))*3)+((COUNTIF('Elève (5ème2)'!LB5:LD9,"C"))*2)+((COUNTIF('Elève (5ème2)'!LB5:LD9,"D"))*1))/(COUNTA(LB5:LD9)),"")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(5ème2)'!LG5:LI9,"A"))*4)+((COUNTIF('Elève (5ème2)'!LG5:LI9,"B"))*3)+((COUNTIF('Elève (5ème2)'!LG5:LI9,"C"))*2)+((COUNTIF('Elève (5ème2)'!LG5:LI9,"D"))*1))/(COUNTA(LG5:LI9)),"")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(5ème2)'!LN5:LP9,"A"))*4)+((COUNTIF('Elève (5ème2)'!LN5:LP9,"B"))*3)+((COUNTIF('Elève (5ème2)'!LN5:LP9,"C"))*2)+((COUNTIF('Elève (5ème2)'!LN5:LP9,"D"))*1))/(COUNTA(LN5:LP9)),"")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4"/>
      <c r="LT4" s="186"/>
      <c r="LU4" s="205"/>
      <c r="LV4" s="106" t="str">
        <f>IFERROR((((COUNTIF('Elève (5ème2)'!LS5:LU9,"A"))*4)+((COUNTIF('Elève (5ème2)'!LS5:LU9,"B"))*3)+((COUNTIF('Elève (5ème2)'!LS5:LU9,"C"))*2)+((COUNTIF('Elève (5ème2)'!LS5:LU9,"D"))*1))/(COUNTA(LS5:LU9)),"")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(5ème2)'!LX5:LZ9,"A"))*4)+((COUNTIF('Elève (5ème2)'!LX5:LZ9,"B"))*3)+((COUNTIF('Elève (5ème2)'!LX5:LZ9,"C"))*2)+((COUNTIF('Elève (5ème2)'!LX5:LZ9,"D"))*1))/(COUNTA(LX5:LZ9)),"")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(5ème2)'!ME5:MG9,"A"))*4)+((COUNTIF('Elève (5ème2)'!ME5:MG9,"B"))*3)+((COUNTIF('Elève (5ème2)'!ME5:MG9,"C"))*2)+((COUNTIF('Elève (5ème2)'!ME5:MG9,"D"))*1))/(COUNTA(ME5:MG9)),"")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4"/>
      <c r="MK4" s="186"/>
      <c r="ML4" s="205"/>
      <c r="MM4" s="106" t="str">
        <f>IFERROR((((COUNTIF('Elève (5ème2)'!MJ5:ML9,"A"))*4)+((COUNTIF('Elève (5ème2)'!MJ5:ML9,"B"))*3)+((COUNTIF('Elève (5ème2)'!MJ5:ML9,"C"))*2)+((COUNTIF('Elève (5ème2)'!MJ5:ML9,"D"))*1))/(COUNTA(MJ5:ML9)),"")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(5ème2)'!MO5:MQ9,"A"))*4)+((COUNTIF('Elève (5ème2)'!MO5:MQ9,"B"))*3)+((COUNTIF('Elève (5ème2)'!MO5:MQ9,"C"))*2)+((COUNTIF('Elève (5ème2)'!MO5:MQ9,"D"))*1))/(COUNTA(MO5:MQ9)),"")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(5ème2)'!MV5:MX9,"A"))*4)+((COUNTIF('Elève (5ème2)'!MV5:MX9,"B"))*3)+((COUNTIF('Elève (5ème2)'!MV5:MX9,"C"))*2)+((COUNTIF('Elève (5ème2)'!MV5:MX9,"D"))*1))/(COUNTA(MV5:MX9)),"")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4"/>
      <c r="NB4" s="186"/>
      <c r="NC4" s="205"/>
      <c r="ND4" s="106" t="str">
        <f>IFERROR((((COUNTIF('Elève (5ème2)'!NA5:NC9,"A"))*4)+((COUNTIF('Elève (5ème2)'!NA5:NC9,"B"))*3)+((COUNTIF('Elève (5ème2)'!NA5:NC9,"C"))*2)+((COUNTIF('Elève (5ème2)'!NA5:NC9,"D"))*1))/(COUNTA(NA5:NC9)),"")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(5ème2)'!NF5:NH9,"A"))*4)+((COUNTIF('Elève (5ème2)'!NF5:NH9,"B"))*3)+((COUNTIF('Elève (5ème2)'!NF5:NH9,"C"))*2)+((COUNTIF('Elève (5ème2)'!NF5:NH9,"D"))*1))/(COUNTA(NF5:NH9)),"")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(5ème2)'!NM5:NO9,"A"))*4)+((COUNTIF('Elève (5ème2)'!NM5:NO9,"B"))*3)+((COUNTIF('Elève (5ème2)'!NM5:NO9,"C"))*2)+((COUNTIF('Elève (5ème2)'!NM5:NO9,"D"))*1))/(COUNTA(NM5:NO9)),"")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4"/>
      <c r="NS4" s="186"/>
      <c r="NT4" s="205"/>
      <c r="NU4" s="106" t="str">
        <f>IFERROR((((COUNTIF('Elève (5ème2)'!NR5:NT9,"A"))*4)+((COUNTIF('Elève (5ème2)'!NR5:NT9,"B"))*3)+((COUNTIF('Elève (5ème2)'!NR5:NT9,"C"))*2)+((COUNTIF('Elève (5ème2)'!NR5:NT9,"D"))*1))/(COUNTA(NR5:NT9)),"")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(5ème2)'!NW5:NY9,"A"))*4)+((COUNTIF('Elève (5ème2)'!NW5:NY9,"B"))*3)+((COUNTIF('Elève (5ème2)'!NW5:NY9,"C"))*2)+((COUNTIF('Elève (5ème2)'!NW5:NY9,"D"))*1))/(COUNTA(NW5:NY9)),"")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(5ème2)'!OD5:OF9,"A"))*4)+((COUNTIF('Elève (5ème2)'!OD5:OF9,"B"))*3)+((COUNTIF('Elève (5ème2)'!OD5:OF9,"C"))*2)+((COUNTIF('Elève (5ème2)'!OD5:OF9,"D"))*1))/(COUNTA(OD5:OF9)),"")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4"/>
      <c r="OJ4" s="186"/>
      <c r="OK4" s="205"/>
      <c r="OL4" s="106" t="str">
        <f>IFERROR((((COUNTIF('Elève (5ème2)'!OI5:OK9,"A"))*4)+((COUNTIF('Elève (5ème2)'!OI5:OK9,"B"))*3)+((COUNTIF('Elève (5ème2)'!OI5:OK9,"C"))*2)+((COUNTIF('Elève (5ème2)'!OI5:OK9,"D"))*1))/(COUNTA(OI5:OK9)),"")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(5ème2)'!ON5:OP9,"A"))*4)+((COUNTIF('Elève (5ème2)'!ON5:OP9,"B"))*3)+((COUNTIF('Elève (5ème2)'!ON5:OP9,"C"))*2)+((COUNTIF('Elève (5ème2)'!ON5:OP9,"D"))*1))/(COUNTA(ON5:OP9)),"")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(5ème2)'!OU5:OW9,"A"))*4)+((COUNTIF('Elève (5ème2)'!OU5:OW9,"B"))*3)+((COUNTIF('Elève (5ème2)'!OU5:OW9,"C"))*2)+((COUNTIF('Elève (5ème2)'!OU5:OW9,"D"))*1))/(COUNTA(OU5:OW9)),"")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4"/>
      <c r="PA4" s="186"/>
      <c r="PB4" s="205"/>
      <c r="PC4" s="106" t="str">
        <f>IFERROR((((COUNTIF('Elève (5ème2)'!OZ5:PB9,"A"))*4)+((COUNTIF('Elève (5ème2)'!OZ5:PB9,"B"))*3)+((COUNTIF('Elève (5ème2)'!OZ5:PB9,"C"))*2)+((COUNTIF('Elève (5ème2)'!OZ5:PB9,"D"))*1))/(COUNTA(OZ5:PB9)),"")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(5ème2)'!PE5:PG9,"A"))*4)+((COUNTIF('Elève (5ème2)'!PE5:PG9,"B"))*3)+((COUNTIF('Elève (5ème2)'!PE5:PG9,"C"))*2)+((COUNTIF('Elève (5ème2)'!PE5:PG9,"D"))*1))/(COUNTA(PE5:PG9)),"")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(5ème2)'!PL5:PN9,"A"))*4)+((COUNTIF('Elève (5ème2)'!PL5:PN9,"B"))*3)+((COUNTIF('Elève (5ème2)'!PL5:PN9,"C"))*2)+((COUNTIF('Elève (5ème2)'!PL5:PN9,"D"))*1))/(COUNTA(PL5:PN9)),"")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4"/>
      <c r="PR4" s="186"/>
      <c r="PS4" s="205"/>
      <c r="PT4" s="106" t="str">
        <f>IFERROR((((COUNTIF('Elève (5ème2)'!PQ5:PS9,"A"))*4)+((COUNTIF('Elève (5ème2)'!PQ5:PS9,"B"))*3)+((COUNTIF('Elève (5ème2)'!PQ5:PS9,"C"))*2)+((COUNTIF('Elève (5ème2)'!PQ5:PS9,"D"))*1))/(COUNTA(PQ5:PS9)),"")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(5ème2)'!PV5:PX9,"A"))*4)+((COUNTIF('Elève (5ème2)'!PV5:PX9,"B"))*3)+((COUNTIF('Elève (5ème2)'!PV5:PX9,"C"))*2)+((COUNTIF('Elève (5ème2)'!PV5:PX9,"D"))*1))/(COUNTA(PV5:PX9)),"")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(5ème2)'!QC5:QE9,"A"))*4)+((COUNTIF('Elève (5ème2)'!QC5:QE9,"B"))*3)+((COUNTIF('Elève (5ème2)'!QC5:QE9,"C"))*2)+((COUNTIF('Elève (5ème2)'!QC5:QE9,"D"))*1))/(COUNTA(QC5:QE9)),"")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4"/>
      <c r="QI4" s="186"/>
      <c r="QJ4" s="205"/>
      <c r="QK4" s="106" t="str">
        <f>IFERROR((((COUNTIF('Elève (5ème2)'!QH5:QJ9,"A"))*4)+((COUNTIF('Elève (5ème2)'!QH5:QJ9,"B"))*3)+((COUNTIF('Elève (5ème2)'!QH5:QJ9,"C"))*2)+((COUNTIF('Elève (5ème2)'!QH5:QJ9,"D"))*1))/(COUNTA(QH5:QJ9)),"")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(5ème2)'!QM5:QO9,"A"))*4)+((COUNTIF('Elève (5ème2)'!QM5:QO9,"B"))*3)+((COUNTIF('Elève (5ème2)'!QM5:QO9,"C"))*2)+((COUNTIF('Elève (5ème2)'!QM5:QO9,"D"))*1))/(COUNTA(QM5:QO9)),"")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(5ème2)'!QT5:QV9,"A"))*4)+((COUNTIF('Elève (5ème2)'!QT5:QV9,"B"))*3)+((COUNTIF('Elève (5ème2)'!QT5:QV9,"C"))*2)+((COUNTIF('Elève (5ème2)'!QT5:QV9,"D"))*1))/(COUNTA(QT5:QV9)),"")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4"/>
      <c r="QZ4" s="186"/>
      <c r="RA4" s="205"/>
      <c r="RB4" s="106" t="str">
        <f>IFERROR((((COUNTIF('Elève (5ème2)'!QY5:RA9,"A"))*4)+((COUNTIF('Elève (5ème2)'!QY5:RA9,"B"))*3)+((COUNTIF('Elève (5ème2)'!QY5:RA9,"C"))*2)+((COUNTIF('Elève (5ème2)'!QY5:RA9,"D"))*1))/(COUNTA(QY5:RA9)),"")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(5ème2)'!RD5:RF9,"A"))*4)+((COUNTIF('Elève (5ème2)'!RD5:RF9,"B"))*3)+((COUNTIF('Elève (5ème2)'!RD5:RF9,"C"))*2)+((COUNTIF('Elève (5ème2)'!RD5:RF9,"D"))*1))/(COUNTA(RD5:RF9)),"")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(5ème2)'!RK5:RM9,"A"))*4)+((COUNTIF('Elève (5ème2)'!RK5:RM9,"B"))*3)+((COUNTIF('Elève (5ème2)'!RK5:RM9,"C"))*2)+((COUNTIF('Elève (5ème2)'!RK5:RM9,"D"))*1))/(COUNTA(RK5:RM9)),"")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4"/>
      <c r="RQ4" s="186"/>
      <c r="RR4" s="205"/>
      <c r="RS4" s="106" t="str">
        <f>IFERROR((((COUNTIF('Elève (5ème2)'!RP5:RR9,"A"))*4)+((COUNTIF('Elève (5ème2)'!RP5:RR9,"B"))*3)+((COUNTIF('Elève (5ème2)'!RP5:RR9,"C"))*2)+((COUNTIF('Elève (5ème2)'!RP5:RR9,"D"))*1))/(COUNTA(RP5:RR9)),"")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(5ème2)'!RU5:RW9,"A"))*4)+((COUNTIF('Elève (5ème2)'!RU5:RW9,"B"))*3)+((COUNTIF('Elève (5ème2)'!RU5:RW9,"C"))*2)+((COUNTIF('Elève (5ème2)'!RU5:RW9,"D"))*1))/(COUNTA(RU5:RW9)),"")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(5ème2)'!SB5:SD9,"A"))*4)+((COUNTIF('Elève (5ème2)'!SB5:SD9,"B"))*3)+((COUNTIF('Elève (5ème2)'!SB5:SD9,"C"))*2)+((COUNTIF('Elève (5ème2)'!SB5:SD9,"D"))*1))/(COUNTA(SB5:SD9)),"")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4"/>
      <c r="SH4" s="186"/>
      <c r="SI4" s="205"/>
      <c r="SJ4" s="106" t="str">
        <f>IFERROR((((COUNTIF('Elève (5ème2)'!SG5:SI9,"A"))*4)+((COUNTIF('Elève (5ème2)'!SG5:SI9,"B"))*3)+((COUNTIF('Elève (5ème2)'!SG5:SI9,"C"))*2)+((COUNTIF('Elève (5ème2)'!SG5:SI9,"D"))*1))/(COUNTA(SG5:SI9)),"")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(5ème2)'!SL5:SN9,"A"))*4)+((COUNTIF('Elève (5ème2)'!SL5:SN9,"B"))*3)+((COUNTIF('Elève (5ème2)'!SL5:SN9,"C"))*2)+((COUNTIF('Elève (5ème2)'!SL5:SN9,"D"))*1))/(COUNTA(SL5:SN9)),"")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1" t="s">
        <v>12</v>
      </c>
      <c r="B5" s="222"/>
      <c r="C5" s="153"/>
      <c r="D5" s="154"/>
      <c r="E5" s="155"/>
      <c r="F5" s="108" t="str">
        <f>IFERROR((((COUNTIF('Elève (5ème2)'!C5:E5,"A"))*4)+((COUNTIF('Elève (5ème2)'!C5:E5,"B"))*3)+((COUNTIF('Elève (5ème2)'!C5:E5,"C"))*2)+((COUNTIF('Elève (5ème2)'!C5:E5,"D"))*1))/(COUNTA(C5:E5)),"")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(5ème2)'!H5:J5,"A"))*4)+((COUNTIF('Elève (5ème2)'!H5:J5,"B"))*3)+((COUNTIF('Elève (5ème2)'!H5:J5,"C"))*2)+((COUNTIF('Elève (5ème2)'!H5:J5,"D"))*1))/(COUNTA(H5:J5)),"")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(5ème2)'!M5:O5,"A"))*4)+((COUNTIF('Elève (5ème2)'!M5:O5,"B"))*3)+((COUNTIF('Elève (5ème2)'!M5:O5,"C"))*2)+((COUNTIF('Elève (5ème2)'!M5:O5,"D"))*1))/(COUNTA(M5:O5)),"")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(5ème2)'!T5:V5,"A"))*4)+((COUNTIF('Elève (5ème2)'!T5:V5,"B"))*3)+((COUNTIF('Elève (5ème2)'!T5:V5,"C"))*2)+((COUNTIF('Elève (5ème2)'!T5:V5,"D"))*1))/(COUNTA(T5:V5)),"")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(5ème2)'!Y5:AA5,"A"))*4)+((COUNTIF('Elève (5ème2)'!Y5:AA5,"B"))*3)+((COUNTIF('Elève (5ème2)'!Y5:AA5,"C"))*2)+((COUNTIF('Elève (5ème2)'!Y5:AA5,"D"))*1))/(COUNTA(Y5:AA5)),"")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(5ème2)'!AD5:AF5,"A"))*4)+((COUNTIF('Elève (5ème2)'!AD5:AF5,"B"))*3)+((COUNTIF('Elève (5ème2)'!AD5:AF5,"C"))*2)+((COUNTIF('Elève (5ème2)'!AD5:AF5,"D"))*1))/(COUNTA(AD5:AF5)),"")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(5ème2)'!AK5:AM5,"A"))*4)+((COUNTIF('Elève (5ème2)'!AK5:AM5,"B"))*3)+((COUNTIF('Elève (5ème2)'!AK5:AM5,"C"))*2)+((COUNTIF('Elève (5ème2)'!AK5:AM5,"D"))*1))/(COUNTA(AK5:AM5)),"")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(5ème2)'!AP5:AR5,"A"))*4)+((COUNTIF('Elève (5ème2)'!AP5:AR5,"B"))*3)+((COUNTIF('Elève (5ème2)'!AP5:AR5,"C"))*2)+((COUNTIF('Elève (5ème2)'!AP5:AR5,"D"))*1))/(COUNTA(AP5:AR5)),"")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(5ème2)'!AU5:AW5,"A"))*4)+((COUNTIF('Elève (5ème2)'!AU5:AW5,"B"))*3)+((COUNTIF('Elève (5ème2)'!AU5:AW5,"C"))*2)+((COUNTIF('Elève (5ème2)'!AU5:AW5,"D"))*1))/(COUNTA(AU5:AW5)),"")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(5ème2)'!BB5:BD5,"A"))*4)+((COUNTIF('Elève (5ème2)'!BB5:BD5,"B"))*3)+((COUNTIF('Elève (5ème2)'!BB5:BD5,"C"))*2)+((COUNTIF('Elève (5ème2)'!BB5:BD5,"D"))*1))/(COUNTA(BB5:BD5)),"")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(5ème2)'!BG5:BI5,"A"))*4)+((COUNTIF('Elève (5ème2)'!BG5:BI5,"B"))*3)+((COUNTIF('Elève (5ème2)'!BG5:BI5,"C"))*2)+((COUNTIF('Elève (5ème2)'!BG5:BI5,"D"))*1))/(COUNTA(BG5:BI5)),"")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(5ème2)'!BL5:BN5,"A"))*4)+((COUNTIF('Elève (5ème2)'!BL5:BN5,"B"))*3)+((COUNTIF('Elève (5ème2)'!BL5:BN5,"C"))*2)+((COUNTIF('Elève (5ème2)'!BL5:BN5,"D"))*1))/(COUNTA(BL5:BN5)),"")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(5ème2)'!BS5:BU5,"A"))*4)+((COUNTIF('Elève (5ème2)'!BS5:BU5,"B"))*3)+((COUNTIF('Elève (5ème2)'!BS5:BU5,"C"))*2)+((COUNTIF('Elève (5ème2)'!BS5:BU5,"D"))*1))/(COUNTA(BS5:BU5)),"")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(5ème2)'!BX5:BZ5,"A"))*4)+((COUNTIF('Elève (5ème2)'!BX5:BZ5,"B"))*3)+((COUNTIF('Elève (5ème2)'!BX5:BZ5,"C"))*2)+((COUNTIF('Elève (5ème2)'!BX5:BZ5,"D"))*1))/(COUNTA(BX5:BZ5)),"")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(5ème2)'!CC5:CE5,"A"))*4)+((COUNTIF('Elève (5ème2)'!CC5:CE5,"B"))*3)+((COUNTIF('Elève (5ème2)'!CC5:CE5,"C"))*2)+((COUNTIF('Elève (5ème2)'!CC5:CE5,"D"))*1))/(COUNTA(CC5:CE5)),"")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(5ème2)'!CJ5:CL5,"A"))*4)+((COUNTIF('Elève (5ème2)'!CJ5:CL5,"B"))*3)+((COUNTIF('Elève (5ème2)'!CJ5:CL5,"C"))*2)+((COUNTIF('Elève (5ème2)'!CJ5:CL5,"D"))*1))/(COUNTA(CJ5:CL5)),"")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(5ème2)'!CO5:CQ5,"A"))*4)+((COUNTIF('Elève (5ème2)'!CO5:CQ5,"B"))*3)+((COUNTIF('Elève (5ème2)'!CO5:CQ5,"C"))*2)+((COUNTIF('Elève (5ème2)'!CO5:CQ5,"D"))*1))/(COUNTA(CO5:CQ5)),"")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(5ème2)'!CT5:CV5,"A"))*4)+((COUNTIF('Elève (5ème2)'!CT5:CV5,"B"))*3)+((COUNTIF('Elève (5ème2)'!CT5:CV5,"C"))*2)+((COUNTIF('Elève (5ème2)'!CT5:CV5,"D"))*1))/(COUNTA(CT5:CV5)),"")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(5ème2)'!DA5:DC5,"A"))*4)+((COUNTIF('Elève (5ème2)'!DA5:DC5,"B"))*3)+((COUNTIF('Elève (5ème2)'!DA5:DC5,"C"))*2)+((COUNTIF('Elève (5ème2)'!DA5:DC5,"D"))*1))/(COUNTA(DA5:DC5)),"")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(5ème2)'!DF5:DH5,"A"))*4)+((COUNTIF('Elève (5ème2)'!DF5:DH5,"B"))*3)+((COUNTIF('Elève (5ème2)'!DF5:DH5,"C"))*2)+((COUNTIF('Elève (5ème2)'!DF5:DH5,"D"))*1))/(COUNTA(DF5:DH5)),"")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(5ème2)'!DK5:DM5,"A"))*4)+((COUNTIF('Elève (5ème2)'!DK5:DM5,"B"))*3)+((COUNTIF('Elève (5ème2)'!DK5:DM5,"C"))*2)+((COUNTIF('Elève (5ème2)'!DK5:DM5,"D"))*1))/(COUNTA(DK5:DM5)),"")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(5ème2)'!DR5:DT5,"A"))*4)+((COUNTIF('Elève (5ème2)'!DR5:DT5,"B"))*3)+((COUNTIF('Elève (5ème2)'!DR5:DT5,"C"))*2)+((COUNTIF('Elève (5ème2)'!DR5:DT5,"D"))*1))/(COUNTA(DR5:DT5)),"")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(5ème2)'!DW5:DY5,"A"))*4)+((COUNTIF('Elève (5ème2)'!DW5:DY5,"B"))*3)+((COUNTIF('Elève (5ème2)'!DW5:DY5,"C"))*2)+((COUNTIF('Elève (5ème2)'!DW5:DY5,"D"))*1))/(COUNTA(DW5:DY5)),"")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(5ème2)'!EB5:ED5,"A"))*4)+((COUNTIF('Elève (5ème2)'!EB5:ED5,"B"))*3)+((COUNTIF('Elève (5ème2)'!EB5:ED5,"C"))*2)+((COUNTIF('Elève (5ème2)'!EB5:ED5,"D"))*1))/(COUNTA(EB5:ED5)),"")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(5ème2)'!EI5:EK5,"A"))*4)+((COUNTIF('Elève (5ème2)'!EI5:EK5,"B"))*3)+((COUNTIF('Elève (5ème2)'!EI5:EK5,"C"))*2)+((COUNTIF('Elève (5ème2)'!EI5:EK5,"D"))*1))/(COUNTA(EI5:EK5)),"")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(5ème2)'!EN5:EP5,"A"))*4)+((COUNTIF('Elève (5ème2)'!EN5:EP5,"B"))*3)+((COUNTIF('Elève (5ème2)'!EN5:EP5,"C"))*2)+((COUNTIF('Elève (5ème2)'!EN5:EP5,"D"))*1))/(COUNTA(EN5:EP5)),"")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(5ème2)'!ES5:EU5,"A"))*4)+((COUNTIF('Elève (5ème2)'!ES5:EU5,"B"))*3)+((COUNTIF('Elève (5ème2)'!ES5:EU5,"C"))*2)+((COUNTIF('Elève (5ème2)'!ES5:EU5,"D"))*1))/(COUNTA(ES5:EU5)),"")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(5ème2)'!EZ5:FB5,"A"))*4)+((COUNTIF('Elève (5ème2)'!EZ5:FB5,"B"))*3)+((COUNTIF('Elève (5ème2)'!EZ5:FB5,"C"))*2)+((COUNTIF('Elève (5ème2)'!EZ5:FB5,"D"))*1))/(COUNTA(EZ5:FB5)),"")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(5ème2)'!FE5:FG5,"A"))*4)+((COUNTIF('Elève (5ème2)'!FE5:FG5,"B"))*3)+((COUNTIF('Elève (5ème2)'!FE5:FG5,"C"))*2)+((COUNTIF('Elève (5ème2)'!FE5:FG5,"D"))*1))/(COUNTA(FE5:FG5)),"")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(5ème2)'!FJ5:FL5,"A"))*4)+((COUNTIF('Elève (5ème2)'!FJ5:FL5,"B"))*3)+((COUNTIF('Elève (5ème2)'!FJ5:FL5,"C"))*2)+((COUNTIF('Elève (5ème2)'!FJ5:FL5,"D"))*1))/(COUNTA(FJ5:FL5)),"")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(5ème2)'!FQ5:FS5,"A"))*4)+((COUNTIF('Elève (5ème2)'!FQ5:FS5,"B"))*3)+((COUNTIF('Elève (5ème2)'!FQ5:FS5,"C"))*2)+((COUNTIF('Elève (5ème2)'!FQ5:FS5,"D"))*1))/(COUNTA(FQ5:FS5)),"")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(5ème2)'!FV5:FX5,"A"))*4)+((COUNTIF('Elève (5ème2)'!FV5:FX5,"B"))*3)+((COUNTIF('Elève (5ème2)'!FV5:FX5,"C"))*2)+((COUNTIF('Elève (5ème2)'!FV5:FX5,"D"))*1))/(COUNTA(FV5:FX5)),"")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(5ème2)'!GA5:GC5,"A"))*4)+((COUNTIF('Elève (5ème2)'!GA5:GC5,"B"))*3)+((COUNTIF('Elève (5ème2)'!GA5:GC5,"C"))*2)+((COUNTIF('Elève (5ème2)'!GA5:GC5,"D"))*1))/(COUNTA(GA5:GC5)),"")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(5ème2)'!GH5:GJ5,"A"))*4)+((COUNTIF('Elève (5ème2)'!GH5:GJ5,"B"))*3)+((COUNTIF('Elève (5ème2)'!GH5:GJ5,"C"))*2)+((COUNTIF('Elève (5ème2)'!GH5:GJ5,"D"))*1))/(COUNTA(GH5:GJ5)),"")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(5ème2)'!GM5:GO5,"A"))*4)+((COUNTIF('Elève (5ème2)'!GM5:GO5,"B"))*3)+((COUNTIF('Elève (5ème2)'!GM5:GO5,"C"))*2)+((COUNTIF('Elève (5ème2)'!GM5:GO5,"D"))*1))/(COUNTA(GM5:GO5)),"")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(5ème2)'!GR5:GT5,"A"))*4)+((COUNTIF('Elève (5ème2)'!GR5:GT5,"B"))*3)+((COUNTIF('Elève (5ème2)'!GR5:GT5,"C"))*2)+((COUNTIF('Elève (5ème2)'!GR5:GT5,"D"))*1))/(COUNTA(GR5:GT5)),"")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(5ème2)'!GY5:HA5,"A"))*4)+((COUNTIF('Elève (5ème2)'!GY5:HA5,"B"))*3)+((COUNTIF('Elève (5ème2)'!GY5:HA5,"C"))*2)+((COUNTIF('Elève (5ème2)'!GY5:HA5,"D"))*1))/(COUNTA(GY5:HA5)),"")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(5ème2)'!HD5:HF5,"A"))*4)+((COUNTIF('Elève (5ème2)'!HD5:HF5,"B"))*3)+((COUNTIF('Elève (5ème2)'!HD5:HF5,"C"))*2)+((COUNTIF('Elève (5ème2)'!HD5:HF5,"D"))*1))/(COUNTA(HD5:HF5)),"")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(5ème2)'!HI5:HK5,"A"))*4)+((COUNTIF('Elève (5ème2)'!HI5:HK5,"B"))*3)+((COUNTIF('Elève (5ème2)'!HI5:HK5,"C"))*2)+((COUNTIF('Elève (5ème2)'!HI5:HK5,"D"))*1))/(COUNTA(HI5:HK5)),"")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(5ème2)'!HP5:HR5,"A"))*4)+((COUNTIF('Elève (5ème2)'!HP5:HR5,"B"))*3)+((COUNTIF('Elève (5ème2)'!HP5:HR5,"C"))*2)+((COUNTIF('Elève (5ème2)'!HP5:HR5,"D"))*1))/(COUNTA(HP5:HR5)),"")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(5ème2)'!HU5:HW5,"A"))*4)+((COUNTIF('Elève (5ème2)'!HU5:HW5,"B"))*3)+((COUNTIF('Elève (5ème2)'!HU5:HW5,"C"))*2)+((COUNTIF('Elève (5ème2)'!HU5:HW5,"D"))*1))/(COUNTA(HU5:HW5)),"")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(5ème2)'!HZ5:IB5,"A"))*4)+((COUNTIF('Elève (5ème2)'!HZ5:IB5,"B"))*3)+((COUNTIF('Elève (5ème2)'!HZ5:IB5,"C"))*2)+((COUNTIF('Elève (5ème2)'!HZ5:IB5,"D"))*1))/(COUNTA(HZ5:IB5)),"")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(5ème2)'!IG5:II5,"A"))*4)+((COUNTIF('Elève (5ème2)'!IG5:II5,"B"))*3)+((COUNTIF('Elève (5ème2)'!IG5:II5,"C"))*2)+((COUNTIF('Elève (5ème2)'!IG5:II5,"D"))*1))/(COUNTA(IG5:II5)),"")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(5ème2)'!IL5:IN5,"A"))*4)+((COUNTIF('Elève (5ème2)'!IL5:IN5,"B"))*3)+((COUNTIF('Elève (5ème2)'!IL5:IN5,"C"))*2)+((COUNTIF('Elève (5ème2)'!IL5:IN5,"D"))*1))/(COUNTA(IL5:IN5)),"")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(5ème2)'!IQ5:IS5,"A"))*4)+((COUNTIF('Elève (5ème2)'!IQ5:IS5,"B"))*3)+((COUNTIF('Elève (5ème2)'!IQ5:IS5,"C"))*2)+((COUNTIF('Elève (5ème2)'!IQ5:IS5,"D"))*1))/(COUNTA(IQ5:IS5)),"")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(5ème2)'!IX5:IZ5,"A"))*4)+((COUNTIF('Elève (5ème2)'!IX5:IZ5,"B"))*3)+((COUNTIF('Elève (5ème2)'!IX5:IZ5,"C"))*2)+((COUNTIF('Elève (5ème2)'!IX5:IZ5,"D"))*1))/(COUNTA(IX5:IZ5)),"")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(5ème2)'!JC5:JE5,"A"))*4)+((COUNTIF('Elève (5ème2)'!JC5:JE5,"B"))*3)+((COUNTIF('Elève (5ème2)'!JC5:JE5,"C"))*2)+((COUNTIF('Elève (5ème2)'!JC5:JE5,"D"))*1))/(COUNTA(JC5:JE5)),"")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(5ème2)'!JH5:JJ5,"A"))*4)+((COUNTIF('Elève (5ème2)'!JH5:JJ5,"B"))*3)+((COUNTIF('Elève (5ème2)'!JH5:JJ5,"C"))*2)+((COUNTIF('Elève (5ème2)'!JH5:JJ5,"D"))*1))/(COUNTA(JH5:JJ5)),"")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(5ème2)'!JO5:JQ5,"A"))*4)+((COUNTIF('Elève (5ème2)'!JO5:JQ5,"B"))*3)+((COUNTIF('Elève (5ème2)'!JO5:JQ5,"C"))*2)+((COUNTIF('Elève (5ème2)'!JO5:JQ5,"D"))*1))/(COUNTA(JO5:JQ5)),"")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(5ème2)'!JT5:JV5,"A"))*4)+((COUNTIF('Elève (5ème2)'!JT5:JV5,"B"))*3)+((COUNTIF('Elève (5ème2)'!JT5:JV5,"C"))*2)+((COUNTIF('Elève (5ème2)'!JT5:JV5,"D"))*1))/(COUNTA(JT5:JV5)),"")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(5ème2)'!JY5:KA5,"A"))*4)+((COUNTIF('Elève (5ème2)'!JY5:KA5,"B"))*3)+((COUNTIF('Elève (5ème2)'!JY5:KA5,"C"))*2)+((COUNTIF('Elève (5ème2)'!JY5:KA5,"D"))*1))/(COUNTA(JY5:KA5)),"")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(5ème2)'!KF5:KH5,"A"))*4)+((COUNTIF('Elève (5ème2)'!KF5:KH5,"B"))*3)+((COUNTIF('Elève (5ème2)'!KF5:KH5,"C"))*2)+((COUNTIF('Elève (5ème2)'!KF5:KH5,"D"))*1))/(COUNTA(KF5:KH5)),"")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(5ème2)'!KK5:KM5,"A"))*4)+((COUNTIF('Elève (5ème2)'!KK5:KM5,"B"))*3)+((COUNTIF('Elève (5ème2)'!KK5:KM5,"C"))*2)+((COUNTIF('Elève (5ème2)'!KK5:KM5,"D"))*1))/(COUNTA(KK5:KM5)),"")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(5ème2)'!KP5:KR5,"A"))*4)+((COUNTIF('Elève (5ème2)'!KP5:KR5,"B"))*3)+((COUNTIF('Elève (5ème2)'!KP5:KR5,"C"))*2)+((COUNTIF('Elève (5ème2)'!KP5:KR5,"D"))*1))/(COUNTA(KP5:KR5)),"")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(5ème2)'!KW5:KY5,"A"))*4)+((COUNTIF('Elève (5ème2)'!KW5:KY5,"B"))*3)+((COUNTIF('Elève (5ème2)'!KW5:KY5,"C"))*2)+((COUNTIF('Elève (5ème2)'!KW5:KY5,"D"))*1))/(COUNTA(KW5:KY5)),"")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(5ème2)'!LB5:LD5,"A"))*4)+((COUNTIF('Elève (5ème2)'!LB5:LD5,"B"))*3)+((COUNTIF('Elève (5ème2)'!LB5:LD5,"C"))*2)+((COUNTIF('Elève (5ème2)'!LB5:LD5,"D"))*1))/(COUNTA(LB5:LD5)),"")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(5ème2)'!LG5:LI5,"A"))*4)+((COUNTIF('Elève (5ème2)'!LG5:LI5,"B"))*3)+((COUNTIF('Elève (5ème2)'!LG5:LI5,"C"))*2)+((COUNTIF('Elève (5ème2)'!LG5:LI5,"D"))*1))/(COUNTA(LG5:LI5)),"")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(5ème2)'!LN5:LP5,"A"))*4)+((COUNTIF('Elève (5ème2)'!LN5:LP5,"B"))*3)+((COUNTIF('Elève (5ème2)'!LN5:LP5,"C"))*2)+((COUNTIF('Elève (5ème2)'!LN5:LP5,"D"))*1))/(COUNTA(LN5:LP5)),"")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(5ème2)'!LS5:LU5,"A"))*4)+((COUNTIF('Elève (5ème2)'!LS5:LU5,"B"))*3)+((COUNTIF('Elève (5ème2)'!LS5:LU5,"C"))*2)+((COUNTIF('Elève (5ème2)'!LS5:LU5,"D"))*1))/(COUNTA(LS5:LU5)),"")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(5ème2)'!LX5:LZ5,"A"))*4)+((COUNTIF('Elève (5ème2)'!LX5:LZ5,"B"))*3)+((COUNTIF('Elève (5ème2)'!LX5:LZ5,"C"))*2)+((COUNTIF('Elève (5ème2)'!LX5:LZ5,"D"))*1))/(COUNTA(LX5:LZ5)),"")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(5ème2)'!ME5:MG5,"A"))*4)+((COUNTIF('Elève (5ème2)'!ME5:MG5,"B"))*3)+((COUNTIF('Elève (5ème2)'!ME5:MG5,"C"))*2)+((COUNTIF('Elève (5ème2)'!ME5:MG5,"D"))*1))/(COUNTA(ME5:MG5)),"")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(5ème2)'!MJ5:ML5,"A"))*4)+((COUNTIF('Elève (5ème2)'!MJ5:ML5,"B"))*3)+((COUNTIF('Elève (5ème2)'!MJ5:ML5,"C"))*2)+((COUNTIF('Elève (5ème2)'!MJ5:ML5,"D"))*1))/(COUNTA(MJ5:ML5)),"")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(5ème2)'!MO5:MQ5,"A"))*4)+((COUNTIF('Elève (5ème2)'!MO5:MQ5,"B"))*3)+((COUNTIF('Elève (5ème2)'!MO5:MQ5,"C"))*2)+((COUNTIF('Elève (5ème2)'!MO5:MQ5,"D"))*1))/(COUNTA(MO5:MQ5)),"")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(5ème2)'!MV5:MX5,"A"))*4)+((COUNTIF('Elève (5ème2)'!MV5:MX5,"B"))*3)+((COUNTIF('Elève (5ème2)'!MV5:MX5,"C"))*2)+((COUNTIF('Elève (5ème2)'!MV5:MX5,"D"))*1))/(COUNTA(MV5:MX5)),"")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(5ème2)'!NA5:NC5,"A"))*4)+((COUNTIF('Elève (5ème2)'!NA5:NC5,"B"))*3)+((COUNTIF('Elève (5ème2)'!NA5:NC5,"C"))*2)+((COUNTIF('Elève (5ème2)'!NA5:NC5,"D"))*1))/(COUNTA(NA5:NC5)),"")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(5ème2)'!NF5:NH5,"A"))*4)+((COUNTIF('Elève (5ème2)'!NF5:NH5,"B"))*3)+((COUNTIF('Elève (5ème2)'!NF5:NH5,"C"))*2)+((COUNTIF('Elève (5ème2)'!NF5:NH5,"D"))*1))/(COUNTA(NF5:NH5)),"")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(5ème2)'!NM5:NO5,"A"))*4)+((COUNTIF('Elève (5ème2)'!NM5:NO5,"B"))*3)+((COUNTIF('Elève (5ème2)'!NM5:NO5,"C"))*2)+((COUNTIF('Elève (5ème2)'!NM5:NO5,"D"))*1))/(COUNTA(NM5:NO5)),"")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(5ème2)'!NR5:NT5,"A"))*4)+((COUNTIF('Elève (5ème2)'!NR5:NT5,"B"))*3)+((COUNTIF('Elève (5ème2)'!NR5:NT5,"C"))*2)+((COUNTIF('Elève (5ème2)'!NR5:NT5,"D"))*1))/(COUNTA(NR5:NT5)),"")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(5ème2)'!NW5:NY5,"A"))*4)+((COUNTIF('Elève (5ème2)'!NW5:NY5,"B"))*3)+((COUNTIF('Elève (5ème2)'!NW5:NY5,"C"))*2)+((COUNTIF('Elève (5ème2)'!NW5:NY5,"D"))*1))/(COUNTA(NW5:NY5)),"")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(5ème2)'!OD5:OF5,"A"))*4)+((COUNTIF('Elève (5ème2)'!OD5:OF5,"B"))*3)+((COUNTIF('Elève (5ème2)'!OD5:OF5,"C"))*2)+((COUNTIF('Elève (5ème2)'!OD5:OF5,"D"))*1))/(COUNTA(OD5:OF5)),"")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(5ème2)'!OI5:OK5,"A"))*4)+((COUNTIF('Elève (5ème2)'!OI5:OK5,"B"))*3)+((COUNTIF('Elève (5ème2)'!OI5:OK5,"C"))*2)+((COUNTIF('Elève (5ème2)'!OI5:OK5,"D"))*1))/(COUNTA(OI5:OK5)),"")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(5ème2)'!ON5:OP5,"A"))*4)+((COUNTIF('Elève (5ème2)'!ON5:OP5,"B"))*3)+((COUNTIF('Elève (5ème2)'!ON5:OP5,"C"))*2)+((COUNTIF('Elève (5ème2)'!ON5:OP5,"D"))*1))/(COUNTA(ON5:OP5)),"")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(5ème2)'!OU5:OW5,"A"))*4)+((COUNTIF('Elève (5ème2)'!OU5:OW5,"B"))*3)+((COUNTIF('Elève (5ème2)'!OU5:OW5,"C"))*2)+((COUNTIF('Elève (5ème2)'!OU5:OW5,"D"))*1))/(COUNTA(OU5:OW5)),"")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(5ème2)'!OZ5:PB5,"A"))*4)+((COUNTIF('Elève (5ème2)'!OZ5:PB5,"B"))*3)+((COUNTIF('Elève (5ème2)'!OZ5:PB5,"C"))*2)+((COUNTIF('Elève (5ème2)'!OZ5:PB5,"D"))*1))/(COUNTA(OZ5:PB5)),"")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(5ème2)'!PE5:PG5,"A"))*4)+((COUNTIF('Elève (5ème2)'!PE5:PG5,"B"))*3)+((COUNTIF('Elève (5ème2)'!PE5:PG5,"C"))*2)+((COUNTIF('Elève (5ème2)'!PE5:PG5,"D"))*1))/(COUNTA(PE5:PG5)),"")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(5ème2)'!PL5:PN5,"A"))*4)+((COUNTIF('Elève (5ème2)'!PL5:PN5,"B"))*3)+((COUNTIF('Elève (5ème2)'!PL5:PN5,"C"))*2)+((COUNTIF('Elève (5ème2)'!PL5:PN5,"D"))*1))/(COUNTA(PL5:PN5)),"")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(5ème2)'!PQ5:PS5,"A"))*4)+((COUNTIF('Elève (5ème2)'!PQ5:PS5,"B"))*3)+((COUNTIF('Elève (5ème2)'!PQ5:PS5,"C"))*2)+((COUNTIF('Elève (5ème2)'!PQ5:PS5,"D"))*1))/(COUNTA(PQ5:PS5)),"")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(5ème2)'!PV5:PX5,"A"))*4)+((COUNTIF('Elève (5ème2)'!PV5:PX5,"B"))*3)+((COUNTIF('Elève (5ème2)'!PV5:PX5,"C"))*2)+((COUNTIF('Elève (5ème2)'!PV5:PX5,"D"))*1))/(COUNTA(PV5:PX5)),"")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(5ème2)'!QC5:QE5,"A"))*4)+((COUNTIF('Elève (5ème2)'!QC5:QE5,"B"))*3)+((COUNTIF('Elève (5ème2)'!QC5:QE5,"C"))*2)+((COUNTIF('Elève (5ème2)'!QC5:QE5,"D"))*1))/(COUNTA(QC5:QE5)),"")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(5ème2)'!QH5:QJ5,"A"))*4)+((COUNTIF('Elève (5ème2)'!QH5:QJ5,"B"))*3)+((COUNTIF('Elève (5ème2)'!QH5:QJ5,"C"))*2)+((COUNTIF('Elève (5ème2)'!QH5:QJ5,"D"))*1))/(COUNTA(QH5:QJ5)),"")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(5ème2)'!QM5:QO5,"A"))*4)+((COUNTIF('Elève (5ème2)'!QM5:QO5,"B"))*3)+((COUNTIF('Elève (5ème2)'!QM5:QO5,"C"))*2)+((COUNTIF('Elève (5ème2)'!QM5:QO5,"D"))*1))/(COUNTA(QM5:QO5)),"")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(5ème2)'!QT5:QV5,"A"))*4)+((COUNTIF('Elève (5ème2)'!QT5:QV5,"B"))*3)+((COUNTIF('Elève (5ème2)'!QT5:QV5,"C"))*2)+((COUNTIF('Elève (5ème2)'!QT5:QV5,"D"))*1))/(COUNTA(QT5:QV5)),"")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(5ème2)'!QY5:RA5,"A"))*4)+((COUNTIF('Elève (5ème2)'!QY5:RA5,"B"))*3)+((COUNTIF('Elève (5ème2)'!QY5:RA5,"C"))*2)+((COUNTIF('Elève (5ème2)'!QY5:RA5,"D"))*1))/(COUNTA(QY5:RA5)),"")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(5ème2)'!RD5:RF5,"A"))*4)+((COUNTIF('Elève (5ème2)'!RD5:RF5,"B"))*3)+((COUNTIF('Elève (5ème2)'!RD5:RF5,"C"))*2)+((COUNTIF('Elève (5ème2)'!RD5:RF5,"D"))*1))/(COUNTA(RD5:RF5)),"")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(5ème2)'!RK5:RM5,"A"))*4)+((COUNTIF('Elève (5ème2)'!RK5:RM5,"B"))*3)+((COUNTIF('Elève (5ème2)'!RK5:RM5,"C"))*2)+((COUNTIF('Elève (5ème2)'!RK5:RM5,"D"))*1))/(COUNTA(RK5:RM5)),"")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(5ème2)'!RP5:RR5,"A"))*4)+((COUNTIF('Elève (5ème2)'!RP5:RR5,"B"))*3)+((COUNTIF('Elève (5ème2)'!RP5:RR5,"C"))*2)+((COUNTIF('Elève (5ème2)'!RP5:RR5,"D"))*1))/(COUNTA(RP5:RR5)),"")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(5ème2)'!RU5:RW5,"A"))*4)+((COUNTIF('Elève (5ème2)'!RU5:RW5,"B"))*3)+((COUNTIF('Elève (5ème2)'!RU5:RW5,"C"))*2)+((COUNTIF('Elève (5ème2)'!RU5:RW5,"D"))*1))/(COUNTA(RU5:RW5)),"")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(5ème2)'!SB5:SD5,"A"))*4)+((COUNTIF('Elève (5ème2)'!SB5:SD5,"B"))*3)+((COUNTIF('Elève (5ème2)'!SB5:SD5,"C"))*2)+((COUNTIF('Elève (5ème2)'!SB5:SD5,"D"))*1))/(COUNTA(SB5:SD5)),"")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(5ème2)'!SG5:SI5,"A"))*4)+((COUNTIF('Elève (5ème2)'!SG5:SI5,"B"))*3)+((COUNTIF('Elève (5ème2)'!SG5:SI5,"C"))*2)+((COUNTIF('Elève (5ème2)'!SG5:SI5,"D"))*1))/(COUNTA(SG5:SI5)),"")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(5ème2)'!SL5:SN5,"A"))*4)+((COUNTIF('Elève (5ème2)'!SL5:SN5,"B"))*3)+((COUNTIF('Elève (5ème2)'!SL5:SN5,"C"))*2)+((COUNTIF('Elève (5ème2)'!SL5:SN5,"D"))*1))/(COUNTA(SL5:SN5)),"")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7" t="s">
        <v>13</v>
      </c>
      <c r="B6" s="228"/>
      <c r="C6" s="156"/>
      <c r="D6" s="157"/>
      <c r="E6" s="158"/>
      <c r="F6" s="110" t="str">
        <f>IFERROR((((COUNTIF('Elève (5ème2)'!C6:E6,"A"))*4)+((COUNTIF('Elève (5ème2)'!C6:E6,"B"))*3)+((COUNTIF('Elève (5ème2)'!C6:E6,"C"))*2)+((COUNTIF('Elève (5ème2)'!C6:E6,"D"))*1))/(COUNTA(C6:E6)),"")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(5ème2)'!H6:J6,"A"))*4)+((COUNTIF('Elève (5ème2)'!H6:J6,"B"))*3)+((COUNTIF('Elève (5ème2)'!H6:J6,"C"))*2)+((COUNTIF('Elève (5ème2)'!H6:J6,"D"))*1))/(COUNTA(H6:J6)),"")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(5ème2)'!M6:O6,"A"))*4)+((COUNTIF('Elève (5ème2)'!M6:O6,"B"))*3)+((COUNTIF('Elève (5ème2)'!M6:O6,"C"))*2)+((COUNTIF('Elève (5ème2)'!M6:O6,"D"))*1))/(COUNTA(M6:O6)),"")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(5ème2)'!T6:V6,"A"))*4)+((COUNTIF('Elève (5ème2)'!T6:V6,"B"))*3)+((COUNTIF('Elève (5ème2)'!T6:V6,"C"))*2)+((COUNTIF('Elève (5ème2)'!T6:V6,"D"))*1))/(COUNTA(T6:V6)),"")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(5ème2)'!Y6:AA6,"A"))*4)+((COUNTIF('Elève (5ème2)'!Y6:AA6,"B"))*3)+((COUNTIF('Elève (5ème2)'!Y6:AA6,"C"))*2)+((COUNTIF('Elève (5ème2)'!Y6:AA6,"D"))*1))/(COUNTA(Y6:AA6)),"")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(5ème2)'!AD6:AF6,"A"))*4)+((COUNTIF('Elève (5ème2)'!AD6:AF6,"B"))*3)+((COUNTIF('Elève (5ème2)'!AD6:AF6,"C"))*2)+((COUNTIF('Elève (5ème2)'!AD6:AF6,"D"))*1))/(COUNTA(AD6:AF6)),"")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(5ème2)'!AK6:AM6,"A"))*4)+((COUNTIF('Elève (5ème2)'!AK6:AM6,"B"))*3)+((COUNTIF('Elève (5ème2)'!AK6:AM6,"C"))*2)+((COUNTIF('Elève (5ème2)'!AK6:AM6,"D"))*1))/(COUNTA(AK6:AM6)),"")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(5ème2)'!AP6:AR6,"A"))*4)+((COUNTIF('Elève (5ème2)'!AP6:AR6,"B"))*3)+((COUNTIF('Elève (5ème2)'!AP6:AR6,"C"))*2)+((COUNTIF('Elève (5ème2)'!AP6:AR6,"D"))*1))/(COUNTA(AP6:AR6)),"")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(5ème2)'!AU6:AW6,"A"))*4)+((COUNTIF('Elève (5ème2)'!AU6:AW6,"B"))*3)+((COUNTIF('Elève (5ème2)'!AU6:AW6,"C"))*2)+((COUNTIF('Elève (5ème2)'!AU6:AW6,"D"))*1))/(COUNTA(AU6:AW6)),"")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(5ème2)'!BB6:BD6,"A"))*4)+((COUNTIF('Elève (5ème2)'!BB6:BD6,"B"))*3)+((COUNTIF('Elève (5ème2)'!BB6:BD6,"C"))*2)+((COUNTIF('Elève (5ème2)'!BB6:BD6,"D"))*1))/(COUNTA(BB6:BD6)),"")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(5ème2)'!BG6:BI6,"A"))*4)+((COUNTIF('Elève (5ème2)'!BG6:BI6,"B"))*3)+((COUNTIF('Elève (5ème2)'!BG6:BI6,"C"))*2)+((COUNTIF('Elève (5ème2)'!BG6:BI6,"D"))*1))/(COUNTA(BG6:BI6)),"")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(5ème2)'!BL6:BN6,"A"))*4)+((COUNTIF('Elève (5ème2)'!BL6:BN6,"B"))*3)+((COUNTIF('Elève (5ème2)'!BL6:BN6,"C"))*2)+((COUNTIF('Elève (5ème2)'!BL6:BN6,"D"))*1))/(COUNTA(BL6:BN6)),"")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(5ème2)'!BS6:BU6,"A"))*4)+((COUNTIF('Elève (5ème2)'!BS6:BU6,"B"))*3)+((COUNTIF('Elève (5ème2)'!BS6:BU6,"C"))*2)+((COUNTIF('Elève (5ème2)'!BS6:BU6,"D"))*1))/(COUNTA(BS6:BU6)),"")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(5ème2)'!BX6:BZ6,"A"))*4)+((COUNTIF('Elève (5ème2)'!BX6:BZ6,"B"))*3)+((COUNTIF('Elève (5ème2)'!BX6:BZ6,"C"))*2)+((COUNTIF('Elève (5ème2)'!BX6:BZ6,"D"))*1))/(COUNTA(BX6:BZ6)),"")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(5ème2)'!CC6:CE6,"A"))*4)+((COUNTIF('Elève (5ème2)'!CC6:CE6,"B"))*3)+((COUNTIF('Elève (5ème2)'!CC6:CE6,"C"))*2)+((COUNTIF('Elève (5ème2)'!CC6:CE6,"D"))*1))/(COUNTA(CC6:CE6)),"")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(5ème2)'!CJ6:CL6,"A"))*4)+((COUNTIF('Elève (5ème2)'!CJ6:CL6,"B"))*3)+((COUNTIF('Elève (5ème2)'!CJ6:CL6,"C"))*2)+((COUNTIF('Elève (5ème2)'!CJ6:CL6,"D"))*1))/(COUNTA(CJ6:CL6)),"")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(5ème2)'!CO6:CQ6,"A"))*4)+((COUNTIF('Elève (5ème2)'!CO6:CQ6,"B"))*3)+((COUNTIF('Elève (5ème2)'!CO6:CQ6,"C"))*2)+((COUNTIF('Elève (5ème2)'!CO6:CQ6,"D"))*1))/(COUNTA(CO6:CQ6)),"")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(5ème2)'!CT6:CV6,"A"))*4)+((COUNTIF('Elève (5ème2)'!CT6:CV6,"B"))*3)+((COUNTIF('Elève (5ème2)'!CT6:CV6,"C"))*2)+((COUNTIF('Elève (5ème2)'!CT6:CV6,"D"))*1))/(COUNTA(CT6:CV6)),"")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(5ème2)'!DA6:DC6,"A"))*4)+((COUNTIF('Elève (5ème2)'!DA6:DC6,"B"))*3)+((COUNTIF('Elève (5ème2)'!DA6:DC6,"C"))*2)+((COUNTIF('Elève (5ème2)'!DA6:DC6,"D"))*1))/(COUNTA(DA6:DC6)),"")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(5ème2)'!DF6:DH6,"A"))*4)+((COUNTIF('Elève (5ème2)'!DF6:DH6,"B"))*3)+((COUNTIF('Elève (5ème2)'!DF6:DH6,"C"))*2)+((COUNTIF('Elève (5ème2)'!DF6:DH6,"D"))*1))/(COUNTA(DF6:DH6)),"")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(5ème2)'!DK6:DM6,"A"))*4)+((COUNTIF('Elève (5ème2)'!DK6:DM6,"B"))*3)+((COUNTIF('Elève (5ème2)'!DK6:DM6,"C"))*2)+((COUNTIF('Elève (5ème2)'!DK6:DM6,"D"))*1))/(COUNTA(DK6:DM6)),"")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(5ème2)'!DR6:DT6,"A"))*4)+((COUNTIF('Elève (5ème2)'!DR6:DT6,"B"))*3)+((COUNTIF('Elève (5ème2)'!DR6:DT6,"C"))*2)+((COUNTIF('Elève (5ème2)'!DR6:DT6,"D"))*1))/(COUNTA(DR6:DT6)),"")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(5ème2)'!DW6:DY6,"A"))*4)+((COUNTIF('Elève (5ème2)'!DW6:DY6,"B"))*3)+((COUNTIF('Elève (5ème2)'!DW6:DY6,"C"))*2)+((COUNTIF('Elève (5ème2)'!DW6:DY6,"D"))*1))/(COUNTA(DW6:DY6)),"")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(5ème2)'!EB6:ED6,"A"))*4)+((COUNTIF('Elève (5ème2)'!EB6:ED6,"B"))*3)+((COUNTIF('Elève (5ème2)'!EB6:ED6,"C"))*2)+((COUNTIF('Elève (5ème2)'!EB6:ED6,"D"))*1))/(COUNTA(EB6:ED6)),"")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(5ème2)'!EI6:EK6,"A"))*4)+((COUNTIF('Elève (5ème2)'!EI6:EK6,"B"))*3)+((COUNTIF('Elève (5ème2)'!EI6:EK6,"C"))*2)+((COUNTIF('Elève (5ème2)'!EI6:EK6,"D"))*1))/(COUNTA(EI6:EK6)),"")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(5ème2)'!EN6:EP6,"A"))*4)+((COUNTIF('Elève (5ème2)'!EN6:EP6,"B"))*3)+((COUNTIF('Elève (5ème2)'!EN6:EP6,"C"))*2)+((COUNTIF('Elève (5ème2)'!EN6:EP6,"D"))*1))/(COUNTA(EN6:EP6)),"")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(5ème2)'!ES6:EU6,"A"))*4)+((COUNTIF('Elève (5ème2)'!ES6:EU6,"B"))*3)+((COUNTIF('Elève (5ème2)'!ES6:EU6,"C"))*2)+((COUNTIF('Elève (5ème2)'!ES6:EU6,"D"))*1))/(COUNTA(ES6:EU6)),"")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(5ème2)'!EZ6:FB6,"A"))*4)+((COUNTIF('Elève (5ème2)'!EZ6:FB6,"B"))*3)+((COUNTIF('Elève (5ème2)'!EZ6:FB6,"C"))*2)+((COUNTIF('Elève (5ème2)'!EZ6:FB6,"D"))*1))/(COUNTA(EZ6:FB6)),"")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(5ème2)'!FE6:FG6,"A"))*4)+((COUNTIF('Elève (5ème2)'!FE6:FG6,"B"))*3)+((COUNTIF('Elève (5ème2)'!FE6:FG6,"C"))*2)+((COUNTIF('Elève (5ème2)'!FE6:FG6,"D"))*1))/(COUNTA(FE6:FG6)),"")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(5ème2)'!FJ6:FL6,"A"))*4)+((COUNTIF('Elève (5ème2)'!FJ6:FL6,"B"))*3)+((COUNTIF('Elève (5ème2)'!FJ6:FL6,"C"))*2)+((COUNTIF('Elève (5ème2)'!FJ6:FL6,"D"))*1))/(COUNTA(FJ6:FL6)),"")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(5ème2)'!FQ6:FS6,"A"))*4)+((COUNTIF('Elève (5ème2)'!FQ6:FS6,"B"))*3)+((COUNTIF('Elève (5ème2)'!FQ6:FS6,"C"))*2)+((COUNTIF('Elève (5ème2)'!FQ6:FS6,"D"))*1))/(COUNTA(FQ6:FS6)),"")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(5ème2)'!FV6:FX6,"A"))*4)+((COUNTIF('Elève (5ème2)'!FV6:FX6,"B"))*3)+((COUNTIF('Elève (5ème2)'!FV6:FX6,"C"))*2)+((COUNTIF('Elève (5ème2)'!FV6:FX6,"D"))*1))/(COUNTA(FV6:FX6)),"")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(5ème2)'!GA6:GC6,"A"))*4)+((COUNTIF('Elève (5ème2)'!GA6:GC6,"B"))*3)+((COUNTIF('Elève (5ème2)'!GA6:GC6,"C"))*2)+((COUNTIF('Elève (5ème2)'!GA6:GC6,"D"))*1))/(COUNTA(GA6:GC6)),"")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(5ème2)'!GH6:GJ6,"A"))*4)+((COUNTIF('Elève (5ème2)'!GH6:GJ6,"B"))*3)+((COUNTIF('Elève (5ème2)'!GH6:GJ6,"C"))*2)+((COUNTIF('Elève (5ème2)'!GH6:GJ6,"D"))*1))/(COUNTA(GH6:GJ6)),"")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(5ème2)'!GM6:GO6,"A"))*4)+((COUNTIF('Elève (5ème2)'!GM6:GO6,"B"))*3)+((COUNTIF('Elève (5ème2)'!GM6:GO6,"C"))*2)+((COUNTIF('Elève (5ème2)'!GM6:GO6,"D"))*1))/(COUNTA(GM6:GO6)),"")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(5ème2)'!GR6:GT6,"A"))*4)+((COUNTIF('Elève (5ème2)'!GR6:GT6,"B"))*3)+((COUNTIF('Elève (5ème2)'!GR6:GT6,"C"))*2)+((COUNTIF('Elève (5ème2)'!GR6:GT6,"D"))*1))/(COUNTA(GR6:GT6)),"")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(5ème2)'!GY6:HA6,"A"))*4)+((COUNTIF('Elève (5ème2)'!GY6:HA6,"B"))*3)+((COUNTIF('Elève (5ème2)'!GY6:HA6,"C"))*2)+((COUNTIF('Elève (5ème2)'!GY6:HA6,"D"))*1))/(COUNTA(GY6:HA6)),"")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(5ème2)'!HD6:HF6,"A"))*4)+((COUNTIF('Elève (5ème2)'!HD6:HF6,"B"))*3)+((COUNTIF('Elève (5ème2)'!HD6:HF6,"C"))*2)+((COUNTIF('Elève (5ème2)'!HD6:HF6,"D"))*1))/(COUNTA(HD6:HF6)),"")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(5ème2)'!HI6:HK6,"A"))*4)+((COUNTIF('Elève (5ème2)'!HI6:HK6,"B"))*3)+((COUNTIF('Elève (5ème2)'!HI6:HK6,"C"))*2)+((COUNTIF('Elève (5ème2)'!HI6:HK6,"D"))*1))/(COUNTA(HI6:HK6)),"")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(5ème2)'!HP6:HR6,"A"))*4)+((COUNTIF('Elève (5ème2)'!HP6:HR6,"B"))*3)+((COUNTIF('Elève (5ème2)'!HP6:HR6,"C"))*2)+((COUNTIF('Elève (5ème2)'!HP6:HR6,"D"))*1))/(COUNTA(HP6:HR6)),"")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(5ème2)'!HU6:HW6,"A"))*4)+((COUNTIF('Elève (5ème2)'!HU6:HW6,"B"))*3)+((COUNTIF('Elève (5ème2)'!HU6:HW6,"C"))*2)+((COUNTIF('Elève (5ème2)'!HU6:HW6,"D"))*1))/(COUNTA(HU6:HW6)),"")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(5ème2)'!HZ6:IB6,"A"))*4)+((COUNTIF('Elève (5ème2)'!HZ6:IB6,"B"))*3)+((COUNTIF('Elève (5ème2)'!HZ6:IB6,"C"))*2)+((COUNTIF('Elève (5ème2)'!HZ6:IB6,"D"))*1))/(COUNTA(HZ6:IB6)),"")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(5ème2)'!IG6:II6,"A"))*4)+((COUNTIF('Elève (5ème2)'!IG6:II6,"B"))*3)+((COUNTIF('Elève (5ème2)'!IG6:II6,"C"))*2)+((COUNTIF('Elève (5ème2)'!IG6:II6,"D"))*1))/(COUNTA(IG6:II6)),"")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(5ème2)'!IL6:IN6,"A"))*4)+((COUNTIF('Elève (5ème2)'!IL6:IN6,"B"))*3)+((COUNTIF('Elève (5ème2)'!IL6:IN6,"C"))*2)+((COUNTIF('Elève (5ème2)'!IL6:IN6,"D"))*1))/(COUNTA(IL6:IN6)),"")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(5ème2)'!IQ6:IS6,"A"))*4)+((COUNTIF('Elève (5ème2)'!IQ6:IS6,"B"))*3)+((COUNTIF('Elève (5ème2)'!IQ6:IS6,"C"))*2)+((COUNTIF('Elève (5ème2)'!IQ6:IS6,"D"))*1))/(COUNTA(IQ6:IS6)),"")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(5ème2)'!IX6:IZ6,"A"))*4)+((COUNTIF('Elève (5ème2)'!IX6:IZ6,"B"))*3)+((COUNTIF('Elève (5ème2)'!IX6:IZ6,"C"))*2)+((COUNTIF('Elève (5ème2)'!IX6:IZ6,"D"))*1))/(COUNTA(IX6:IZ6)),"")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(5ème2)'!JC6:JE6,"A"))*4)+((COUNTIF('Elève (5ème2)'!JC6:JE6,"B"))*3)+((COUNTIF('Elève (5ème2)'!JC6:JE6,"C"))*2)+((COUNTIF('Elève (5ème2)'!JC6:JE6,"D"))*1))/(COUNTA(JC6:JE6)),"")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(5ème2)'!JH6:JJ6,"A"))*4)+((COUNTIF('Elève (5ème2)'!JH6:JJ6,"B"))*3)+((COUNTIF('Elève (5ème2)'!JH6:JJ6,"C"))*2)+((COUNTIF('Elève (5ème2)'!JH6:JJ6,"D"))*1))/(COUNTA(JH6:JJ6)),"")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(5ème2)'!JO6:JQ6,"A"))*4)+((COUNTIF('Elève (5ème2)'!JO6:JQ6,"B"))*3)+((COUNTIF('Elève (5ème2)'!JO6:JQ6,"C"))*2)+((COUNTIF('Elève (5ème2)'!JO6:JQ6,"D"))*1))/(COUNTA(JO6:JQ6)),"")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(5ème2)'!JT6:JV6,"A"))*4)+((COUNTIF('Elève (5ème2)'!JT6:JV6,"B"))*3)+((COUNTIF('Elève (5ème2)'!JT6:JV6,"C"))*2)+((COUNTIF('Elève (5ème2)'!JT6:JV6,"D"))*1))/(COUNTA(JT6:JV6)),"")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(5ème2)'!JY6:KA6,"A"))*4)+((COUNTIF('Elève (5ème2)'!JY6:KA6,"B"))*3)+((COUNTIF('Elève (5ème2)'!JY6:KA6,"C"))*2)+((COUNTIF('Elève (5ème2)'!JY6:KA6,"D"))*1))/(COUNTA(JY6:KA6)),"")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(5ème2)'!KF6:KH6,"A"))*4)+((COUNTIF('Elève (5ème2)'!KF6:KH6,"B"))*3)+((COUNTIF('Elève (5ème2)'!KF6:KH6,"C"))*2)+((COUNTIF('Elève (5ème2)'!KF6:KH6,"D"))*1))/(COUNTA(KF6:KH6)),"")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(5ème2)'!KK6:KM6,"A"))*4)+((COUNTIF('Elève (5ème2)'!KK6:KM6,"B"))*3)+((COUNTIF('Elève (5ème2)'!KK6:KM6,"C"))*2)+((COUNTIF('Elève (5ème2)'!KK6:KM6,"D"))*1))/(COUNTA(KK6:KM6)),"")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(5ème2)'!KP6:KR6,"A"))*4)+((COUNTIF('Elève (5ème2)'!KP6:KR6,"B"))*3)+((COUNTIF('Elève (5ème2)'!KP6:KR6,"C"))*2)+((COUNTIF('Elève (5ème2)'!KP6:KR6,"D"))*1))/(COUNTA(KP6:KR6)),"")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(5ème2)'!KW6:KY6,"A"))*4)+((COUNTIF('Elève (5ème2)'!KW6:KY6,"B"))*3)+((COUNTIF('Elève (5ème2)'!KW6:KY6,"C"))*2)+((COUNTIF('Elève (5ème2)'!KW6:KY6,"D"))*1))/(COUNTA(KW6:KY6)),"")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(5ème2)'!LB6:LD6,"A"))*4)+((COUNTIF('Elève (5ème2)'!LB6:LD6,"B"))*3)+((COUNTIF('Elève (5ème2)'!LB6:LD6,"C"))*2)+((COUNTIF('Elève (5ème2)'!LB6:LD6,"D"))*1))/(COUNTA(LB6:LD6)),"")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(5ème2)'!LG6:LI6,"A"))*4)+((COUNTIF('Elève (5ème2)'!LG6:LI6,"B"))*3)+((COUNTIF('Elève (5ème2)'!LG6:LI6,"C"))*2)+((COUNTIF('Elève (5ème2)'!LG6:LI6,"D"))*1))/(COUNTA(LG6:LI6)),"")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(5ème2)'!LN6:LP6,"A"))*4)+((COUNTIF('Elève (5ème2)'!LN6:LP6,"B"))*3)+((COUNTIF('Elève (5ème2)'!LN6:LP6,"C"))*2)+((COUNTIF('Elève (5ème2)'!LN6:LP6,"D"))*1))/(COUNTA(LN6:LP6)),"")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(5ème2)'!LS6:LU6,"A"))*4)+((COUNTIF('Elève (5ème2)'!LS6:LU6,"B"))*3)+((COUNTIF('Elève (5ème2)'!LS6:LU6,"C"))*2)+((COUNTIF('Elève (5ème2)'!LS6:LU6,"D"))*1))/(COUNTA(LS6:LU6)),"")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(5ème2)'!LX6:LZ6,"A"))*4)+((COUNTIF('Elève (5ème2)'!LX6:LZ6,"B"))*3)+((COUNTIF('Elève (5ème2)'!LX6:LZ6,"C"))*2)+((COUNTIF('Elève (5ème2)'!LX6:LZ6,"D"))*1))/(COUNTA(LX6:LZ6)),"")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(5ème2)'!ME6:MG6,"A"))*4)+((COUNTIF('Elève (5ème2)'!ME6:MG6,"B"))*3)+((COUNTIF('Elève (5ème2)'!ME6:MG6,"C"))*2)+((COUNTIF('Elève (5ème2)'!ME6:MG6,"D"))*1))/(COUNTA(ME6:MG6)),"")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(5ème2)'!MJ6:ML6,"A"))*4)+((COUNTIF('Elève (5ème2)'!MJ6:ML6,"B"))*3)+((COUNTIF('Elève (5ème2)'!MJ6:ML6,"C"))*2)+((COUNTIF('Elève (5ème2)'!MJ6:ML6,"D"))*1))/(COUNTA(MJ6:ML6)),"")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(5ème2)'!MO6:MQ6,"A"))*4)+((COUNTIF('Elève (5ème2)'!MO6:MQ6,"B"))*3)+((COUNTIF('Elève (5ème2)'!MO6:MQ6,"C"))*2)+((COUNTIF('Elève (5ème2)'!MO6:MQ6,"D"))*1))/(COUNTA(MO6:MQ6)),"")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(5ème2)'!MV6:MX6,"A"))*4)+((COUNTIF('Elève (5ème2)'!MV6:MX6,"B"))*3)+((COUNTIF('Elève (5ème2)'!MV6:MX6,"C"))*2)+((COUNTIF('Elève (5ème2)'!MV6:MX6,"D"))*1))/(COUNTA(MV6:MX6)),"")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(5ème2)'!NA6:NC6,"A"))*4)+((COUNTIF('Elève (5ème2)'!NA6:NC6,"B"))*3)+((COUNTIF('Elève (5ème2)'!NA6:NC6,"C"))*2)+((COUNTIF('Elève (5ème2)'!NA6:NC6,"D"))*1))/(COUNTA(NA6:NC6)),"")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(5ème2)'!NF6:NH6,"A"))*4)+((COUNTIF('Elève (5ème2)'!NF6:NH6,"B"))*3)+((COUNTIF('Elève (5ème2)'!NF6:NH6,"C"))*2)+((COUNTIF('Elève (5ème2)'!NF6:NH6,"D"))*1))/(COUNTA(NF6:NH6)),"")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(5ème2)'!NM6:NO6,"A"))*4)+((COUNTIF('Elève (5ème2)'!NM6:NO6,"B"))*3)+((COUNTIF('Elève (5ème2)'!NM6:NO6,"C"))*2)+((COUNTIF('Elève (5ème2)'!NM6:NO6,"D"))*1))/(COUNTA(NM6:NO6)),"")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(5ème2)'!NR6:NT6,"A"))*4)+((COUNTIF('Elève (5ème2)'!NR6:NT6,"B"))*3)+((COUNTIF('Elève (5ème2)'!NR6:NT6,"C"))*2)+((COUNTIF('Elève (5ème2)'!NR6:NT6,"D"))*1))/(COUNTA(NR6:NT6)),"")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(5ème2)'!NW6:NY6,"A"))*4)+((COUNTIF('Elève (5ème2)'!NW6:NY6,"B"))*3)+((COUNTIF('Elève (5ème2)'!NW6:NY6,"C"))*2)+((COUNTIF('Elève (5ème2)'!NW6:NY6,"D"))*1))/(COUNTA(NW6:NY6)),"")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(5ème2)'!OD6:OF6,"A"))*4)+((COUNTIF('Elève (5ème2)'!OD6:OF6,"B"))*3)+((COUNTIF('Elève (5ème2)'!OD6:OF6,"C"))*2)+((COUNTIF('Elève (5ème2)'!OD6:OF6,"D"))*1))/(COUNTA(OD6:OF6)),"")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(5ème2)'!OI6:OK6,"A"))*4)+((COUNTIF('Elève (5ème2)'!OI6:OK6,"B"))*3)+((COUNTIF('Elève (5ème2)'!OI6:OK6,"C"))*2)+((COUNTIF('Elève (5ème2)'!OI6:OK6,"D"))*1))/(COUNTA(OI6:OK6)),"")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(5ème2)'!ON6:OP6,"A"))*4)+((COUNTIF('Elève (5ème2)'!ON6:OP6,"B"))*3)+((COUNTIF('Elève (5ème2)'!ON6:OP6,"C"))*2)+((COUNTIF('Elève (5ème2)'!ON6:OP6,"D"))*1))/(COUNTA(ON6:OP6)),"")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(5ème2)'!OU6:OW6,"A"))*4)+((COUNTIF('Elève (5ème2)'!OU6:OW6,"B"))*3)+((COUNTIF('Elève (5ème2)'!OU6:OW6,"C"))*2)+((COUNTIF('Elève (5ème2)'!OU6:OW6,"D"))*1))/(COUNTA(OU6:OW6)),"")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(5ème2)'!OZ6:PB6,"A"))*4)+((COUNTIF('Elève (5ème2)'!OZ6:PB6,"B"))*3)+((COUNTIF('Elève (5ème2)'!OZ6:PB6,"C"))*2)+((COUNTIF('Elève (5ème2)'!OZ6:PB6,"D"))*1))/(COUNTA(OZ6:PB6)),"")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(5ème2)'!PE6:PG6,"A"))*4)+((COUNTIF('Elève (5ème2)'!PE6:PG6,"B"))*3)+((COUNTIF('Elève (5ème2)'!PE6:PG6,"C"))*2)+((COUNTIF('Elève (5ème2)'!PE6:PG6,"D"))*1))/(COUNTA(PE6:PG6)),"")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(5ème2)'!PL6:PN6,"A"))*4)+((COUNTIF('Elève (5ème2)'!PL6:PN6,"B"))*3)+((COUNTIF('Elève (5ème2)'!PL6:PN6,"C"))*2)+((COUNTIF('Elève (5ème2)'!PL6:PN6,"D"))*1))/(COUNTA(PL6:PN6)),"")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(5ème2)'!PQ6:PS6,"A"))*4)+((COUNTIF('Elève (5ème2)'!PQ6:PS6,"B"))*3)+((COUNTIF('Elève (5ème2)'!PQ6:PS6,"C"))*2)+((COUNTIF('Elève (5ème2)'!PQ6:PS6,"D"))*1))/(COUNTA(PQ6:PS6)),"")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(5ème2)'!PV6:PX6,"A"))*4)+((COUNTIF('Elève (5ème2)'!PV6:PX6,"B"))*3)+((COUNTIF('Elève (5ème2)'!PV6:PX6,"C"))*2)+((COUNTIF('Elève (5ème2)'!PV6:PX6,"D"))*1))/(COUNTA(PV6:PX6)),"")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(5ème2)'!QC6:QE6,"A"))*4)+((COUNTIF('Elève (5ème2)'!QC6:QE6,"B"))*3)+((COUNTIF('Elève (5ème2)'!QC6:QE6,"C"))*2)+((COUNTIF('Elève (5ème2)'!QC6:QE6,"D"))*1))/(COUNTA(QC6:QE6)),"")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(5ème2)'!QH6:QJ6,"A"))*4)+((COUNTIF('Elève (5ème2)'!QH6:QJ6,"B"))*3)+((COUNTIF('Elève (5ème2)'!QH6:QJ6,"C"))*2)+((COUNTIF('Elève (5ème2)'!QH6:QJ6,"D"))*1))/(COUNTA(QH6:QJ6)),"")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(5ème2)'!QM6:QO6,"A"))*4)+((COUNTIF('Elève (5ème2)'!QM6:QO6,"B"))*3)+((COUNTIF('Elève (5ème2)'!QM6:QO6,"C"))*2)+((COUNTIF('Elève (5ème2)'!QM6:QO6,"D"))*1))/(COUNTA(QM6:QO6)),"")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(5ème2)'!QT6:QV6,"A"))*4)+((COUNTIF('Elève (5ème2)'!QT6:QV6,"B"))*3)+((COUNTIF('Elève (5ème2)'!QT6:QV6,"C"))*2)+((COUNTIF('Elève (5ème2)'!QT6:QV6,"D"))*1))/(COUNTA(QT6:QV6)),"")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(5ème2)'!QY6:RA6,"A"))*4)+((COUNTIF('Elève (5ème2)'!QY6:RA6,"B"))*3)+((COUNTIF('Elève (5ème2)'!QY6:RA6,"C"))*2)+((COUNTIF('Elève (5ème2)'!QY6:RA6,"D"))*1))/(COUNTA(QY6:RA6)),"")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(5ème2)'!RD6:RF6,"A"))*4)+((COUNTIF('Elève (5ème2)'!RD6:RF6,"B"))*3)+((COUNTIF('Elève (5ème2)'!RD6:RF6,"C"))*2)+((COUNTIF('Elève (5ème2)'!RD6:RF6,"D"))*1))/(COUNTA(RD6:RF6)),"")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(5ème2)'!RK6:RM6,"A"))*4)+((COUNTIF('Elève (5ème2)'!RK6:RM6,"B"))*3)+((COUNTIF('Elève (5ème2)'!RK6:RM6,"C"))*2)+((COUNTIF('Elève (5ème2)'!RK6:RM6,"D"))*1))/(COUNTA(RK6:RM6)),"")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(5ème2)'!RP6:RR6,"A"))*4)+((COUNTIF('Elève (5ème2)'!RP6:RR6,"B"))*3)+((COUNTIF('Elève (5ème2)'!RP6:RR6,"C"))*2)+((COUNTIF('Elève (5ème2)'!RP6:RR6,"D"))*1))/(COUNTA(RP6:RR6)),"")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(5ème2)'!RU6:RW6,"A"))*4)+((COUNTIF('Elève (5ème2)'!RU6:RW6,"B"))*3)+((COUNTIF('Elève (5ème2)'!RU6:RW6,"C"))*2)+((COUNTIF('Elève (5ème2)'!RU6:RW6,"D"))*1))/(COUNTA(RU6:RW6)),"")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(5ème2)'!SB6:SD6,"A"))*4)+((COUNTIF('Elève (5ème2)'!SB6:SD6,"B"))*3)+((COUNTIF('Elève (5ème2)'!SB6:SD6,"C"))*2)+((COUNTIF('Elève (5ème2)'!SB6:SD6,"D"))*1))/(COUNTA(SB6:SD6)),"")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(5ème2)'!SG6:SI6,"A"))*4)+((COUNTIF('Elève (5ème2)'!SG6:SI6,"B"))*3)+((COUNTIF('Elève (5ème2)'!SG6:SI6,"C"))*2)+((COUNTIF('Elève (5ème2)'!SG6:SI6,"D"))*1))/(COUNTA(SG6:SI6)),"")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(5ème2)'!SL6:SN6,"A"))*4)+((COUNTIF('Elève (5ème2)'!SL6:SN6,"B"))*3)+((COUNTIF('Elève (5ème2)'!SL6:SN6,"C"))*2)+((COUNTIF('Elève (5ème2)'!SL6:SN6,"D"))*1))/(COUNTA(SL6:SN6)),"")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7" t="s">
        <v>14</v>
      </c>
      <c r="B7" s="228"/>
      <c r="C7" s="156"/>
      <c r="D7" s="157"/>
      <c r="E7" s="158"/>
      <c r="F7" s="110" t="str">
        <f>IFERROR((((COUNTIF('Elève (5ème2)'!C7:E7,"A"))*4)+((COUNTIF('Elève (5ème2)'!C7:E7,"B"))*3)+((COUNTIF('Elève (5ème2)'!C7:E7,"C"))*2)+((COUNTIF('Elève (5ème2)'!C7:E7,"D"))*1))/(COUNTA(C7:E7)),"")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(5ème2)'!H7:J7,"A"))*4)+((COUNTIF('Elève (5ème2)'!H7:J7,"B"))*3)+((COUNTIF('Elève (5ème2)'!H7:J7,"C"))*2)+((COUNTIF('Elève (5ème2)'!H7:J7,"D"))*1))/(COUNTA(H7:J7)),"")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(5ème2)'!M7:O7,"A"))*4)+((COUNTIF('Elève (5ème2)'!M7:O7,"B"))*3)+((COUNTIF('Elève (5ème2)'!M7:O7,"C"))*2)+((COUNTIF('Elève (5ème2)'!M7:O7,"D"))*1))/(COUNTA(M7:O7)),"")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(5ème2)'!T7:V7,"A"))*4)+((COUNTIF('Elève (5ème2)'!T7:V7,"B"))*3)+((COUNTIF('Elève (5ème2)'!T7:V7,"C"))*2)+((COUNTIF('Elève (5ème2)'!T7:V7,"D"))*1))/(COUNTA(T7:V7)),"")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(5ème2)'!Y7:AA7,"A"))*4)+((COUNTIF('Elève (5ème2)'!Y7:AA7,"B"))*3)+((COUNTIF('Elève (5ème2)'!Y7:AA7,"C"))*2)+((COUNTIF('Elève (5ème2)'!Y7:AA7,"D"))*1))/(COUNTA(Y7:AA7)),"")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(5ème2)'!AD7:AF7,"A"))*4)+((COUNTIF('Elève (5ème2)'!AD7:AF7,"B"))*3)+((COUNTIF('Elève (5ème2)'!AD7:AF7,"C"))*2)+((COUNTIF('Elève (5ème2)'!AD7:AF7,"D"))*1))/(COUNTA(AD7:AF7)),"")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(5ème2)'!AK7:AM7,"A"))*4)+((COUNTIF('Elève (5ème2)'!AK7:AM7,"B"))*3)+((COUNTIF('Elève (5ème2)'!AK7:AM7,"C"))*2)+((COUNTIF('Elève (5ème2)'!AK7:AM7,"D"))*1))/(COUNTA(AK7:AM7)),"")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(5ème2)'!AP7:AR7,"A"))*4)+((COUNTIF('Elève (5ème2)'!AP7:AR7,"B"))*3)+((COUNTIF('Elève (5ème2)'!AP7:AR7,"C"))*2)+((COUNTIF('Elève (5ème2)'!AP7:AR7,"D"))*1))/(COUNTA(AP7:AR7)),"")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(5ème2)'!AU7:AW7,"A"))*4)+((COUNTIF('Elève (5ème2)'!AU7:AW7,"B"))*3)+((COUNTIF('Elève (5ème2)'!AU7:AW7,"C"))*2)+((COUNTIF('Elève (5ème2)'!AU7:AW7,"D"))*1))/(COUNTA(AU7:AW7)),"")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(5ème2)'!BB7:BD7,"A"))*4)+((COUNTIF('Elève (5ème2)'!BB7:BD7,"B"))*3)+((COUNTIF('Elève (5ème2)'!BB7:BD7,"C"))*2)+((COUNTIF('Elève (5ème2)'!BB7:BD7,"D"))*1))/(COUNTA(BB7:BD7)),"")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(5ème2)'!BG7:BI7,"A"))*4)+((COUNTIF('Elève (5ème2)'!BG7:BI7,"B"))*3)+((COUNTIF('Elève (5ème2)'!BG7:BI7,"C"))*2)+((COUNTIF('Elève (5ème2)'!BG7:BI7,"D"))*1))/(COUNTA(BG7:BI7)),"")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(5ème2)'!BL7:BN7,"A"))*4)+((COUNTIF('Elève (5ème2)'!BL7:BN7,"B"))*3)+((COUNTIF('Elève (5ème2)'!BL7:BN7,"C"))*2)+((COUNTIF('Elève (5ème2)'!BL7:BN7,"D"))*1))/(COUNTA(BL7:BN7)),"")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(5ème2)'!BS7:BU7,"A"))*4)+((COUNTIF('Elève (5ème2)'!BS7:BU7,"B"))*3)+((COUNTIF('Elève (5ème2)'!BS7:BU7,"C"))*2)+((COUNTIF('Elève (5ème2)'!BS7:BU7,"D"))*1))/(COUNTA(BS7:BU7)),"")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(5ème2)'!BX7:BZ7,"A"))*4)+((COUNTIF('Elève (5ème2)'!BX7:BZ7,"B"))*3)+((COUNTIF('Elève (5ème2)'!BX7:BZ7,"C"))*2)+((COUNTIF('Elève (5ème2)'!BX7:BZ7,"D"))*1))/(COUNTA(BX7:BZ7)),"")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(5ème2)'!CC7:CE7,"A"))*4)+((COUNTIF('Elève (5ème2)'!CC7:CE7,"B"))*3)+((COUNTIF('Elève (5ème2)'!CC7:CE7,"C"))*2)+((COUNTIF('Elève (5ème2)'!CC7:CE7,"D"))*1))/(COUNTA(CC7:CE7)),"")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(5ème2)'!CJ7:CL7,"A"))*4)+((COUNTIF('Elève (5ème2)'!CJ7:CL7,"B"))*3)+((COUNTIF('Elève (5ème2)'!CJ7:CL7,"C"))*2)+((COUNTIF('Elève (5ème2)'!CJ7:CL7,"D"))*1))/(COUNTA(CJ7:CL7)),"")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(5ème2)'!CO7:CQ7,"A"))*4)+((COUNTIF('Elève (5ème2)'!CO7:CQ7,"B"))*3)+((COUNTIF('Elève (5ème2)'!CO7:CQ7,"C"))*2)+((COUNTIF('Elève (5ème2)'!CO7:CQ7,"D"))*1))/(COUNTA(CO7:CQ7)),"")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(5ème2)'!CT7:CV7,"A"))*4)+((COUNTIF('Elève (5ème2)'!CT7:CV7,"B"))*3)+((COUNTIF('Elève (5ème2)'!CT7:CV7,"C"))*2)+((COUNTIF('Elève (5ème2)'!CT7:CV7,"D"))*1))/(COUNTA(CT7:CV7)),"")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(5ème2)'!DA7:DC7,"A"))*4)+((COUNTIF('Elève (5ème2)'!DA7:DC7,"B"))*3)+((COUNTIF('Elève (5ème2)'!DA7:DC7,"C"))*2)+((COUNTIF('Elève (5ème2)'!DA7:DC7,"D"))*1))/(COUNTA(DA7:DC7)),"")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(5ème2)'!DF7:DH7,"A"))*4)+((COUNTIF('Elève (5ème2)'!DF7:DH7,"B"))*3)+((COUNTIF('Elève (5ème2)'!DF7:DH7,"C"))*2)+((COUNTIF('Elève (5ème2)'!DF7:DH7,"D"))*1))/(COUNTA(DF7:DH7)),"")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(5ème2)'!DK7:DM7,"A"))*4)+((COUNTIF('Elève (5ème2)'!DK7:DM7,"B"))*3)+((COUNTIF('Elève (5ème2)'!DK7:DM7,"C"))*2)+((COUNTIF('Elève (5ème2)'!DK7:DM7,"D"))*1))/(COUNTA(DK7:DM7)),"")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(5ème2)'!DR7:DT7,"A"))*4)+((COUNTIF('Elève (5ème2)'!DR7:DT7,"B"))*3)+((COUNTIF('Elève (5ème2)'!DR7:DT7,"C"))*2)+((COUNTIF('Elève (5ème2)'!DR7:DT7,"D"))*1))/(COUNTA(DR7:DT7)),"")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(5ème2)'!DW7:DY7,"A"))*4)+((COUNTIF('Elève (5ème2)'!DW7:DY7,"B"))*3)+((COUNTIF('Elève (5ème2)'!DW7:DY7,"C"))*2)+((COUNTIF('Elève (5ème2)'!DW7:DY7,"D"))*1))/(COUNTA(DW7:DY7)),"")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(5ème2)'!EB7:ED7,"A"))*4)+((COUNTIF('Elève (5ème2)'!EB7:ED7,"B"))*3)+((COUNTIF('Elève (5ème2)'!EB7:ED7,"C"))*2)+((COUNTIF('Elève (5ème2)'!EB7:ED7,"D"))*1))/(COUNTA(EB7:ED7)),"")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(5ème2)'!EI7:EK7,"A"))*4)+((COUNTIF('Elève (5ème2)'!EI7:EK7,"B"))*3)+((COUNTIF('Elève (5ème2)'!EI7:EK7,"C"))*2)+((COUNTIF('Elève (5ème2)'!EI7:EK7,"D"))*1))/(COUNTA(EI7:EK7)),"")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(5ème2)'!EN7:EP7,"A"))*4)+((COUNTIF('Elève (5ème2)'!EN7:EP7,"B"))*3)+((COUNTIF('Elève (5ème2)'!EN7:EP7,"C"))*2)+((COUNTIF('Elève (5ème2)'!EN7:EP7,"D"))*1))/(COUNTA(EN7:EP7)),"")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(5ème2)'!ES7:EU7,"A"))*4)+((COUNTIF('Elève (5ème2)'!ES7:EU7,"B"))*3)+((COUNTIF('Elève (5ème2)'!ES7:EU7,"C"))*2)+((COUNTIF('Elève (5ème2)'!ES7:EU7,"D"))*1))/(COUNTA(ES7:EU7)),"")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(5ème2)'!EZ7:FB7,"A"))*4)+((COUNTIF('Elève (5ème2)'!EZ7:FB7,"B"))*3)+((COUNTIF('Elève (5ème2)'!EZ7:FB7,"C"))*2)+((COUNTIF('Elève (5ème2)'!EZ7:FB7,"D"))*1))/(COUNTA(EZ7:FB7)),"")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(5ème2)'!FE7:FG7,"A"))*4)+((COUNTIF('Elève (5ème2)'!FE7:FG7,"B"))*3)+((COUNTIF('Elève (5ème2)'!FE7:FG7,"C"))*2)+((COUNTIF('Elève (5ème2)'!FE7:FG7,"D"))*1))/(COUNTA(FE7:FG7)),"")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(5ème2)'!FJ7:FL7,"A"))*4)+((COUNTIF('Elève (5ème2)'!FJ7:FL7,"B"))*3)+((COUNTIF('Elève (5ème2)'!FJ7:FL7,"C"))*2)+((COUNTIF('Elève (5ème2)'!FJ7:FL7,"D"))*1))/(COUNTA(FJ7:FL7)),"")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(5ème2)'!FQ7:FS7,"A"))*4)+((COUNTIF('Elève (5ème2)'!FQ7:FS7,"B"))*3)+((COUNTIF('Elève (5ème2)'!FQ7:FS7,"C"))*2)+((COUNTIF('Elève (5ème2)'!FQ7:FS7,"D"))*1))/(COUNTA(FQ7:FS7)),"")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(5ème2)'!FV7:FX7,"A"))*4)+((COUNTIF('Elève (5ème2)'!FV7:FX7,"B"))*3)+((COUNTIF('Elève (5ème2)'!FV7:FX7,"C"))*2)+((COUNTIF('Elève (5ème2)'!FV7:FX7,"D"))*1))/(COUNTA(FV7:FX7)),"")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(5ème2)'!GA7:GC7,"A"))*4)+((COUNTIF('Elève (5ème2)'!GA7:GC7,"B"))*3)+((COUNTIF('Elève (5ème2)'!GA7:GC7,"C"))*2)+((COUNTIF('Elève (5ème2)'!GA7:GC7,"D"))*1))/(COUNTA(GA7:GC7)),"")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(5ème2)'!GH7:GJ7,"A"))*4)+((COUNTIF('Elève (5ème2)'!GH7:GJ7,"B"))*3)+((COUNTIF('Elève (5ème2)'!GH7:GJ7,"C"))*2)+((COUNTIF('Elève (5ème2)'!GH7:GJ7,"D"))*1))/(COUNTA(GH7:GJ7)),"")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(5ème2)'!GM7:GO7,"A"))*4)+((COUNTIF('Elève (5ème2)'!GM7:GO7,"B"))*3)+((COUNTIF('Elève (5ème2)'!GM7:GO7,"C"))*2)+((COUNTIF('Elève (5ème2)'!GM7:GO7,"D"))*1))/(COUNTA(GM7:GO7)),"")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(5ème2)'!GR7:GT7,"A"))*4)+((COUNTIF('Elève (5ème2)'!GR7:GT7,"B"))*3)+((COUNTIF('Elève (5ème2)'!GR7:GT7,"C"))*2)+((COUNTIF('Elève (5ème2)'!GR7:GT7,"D"))*1))/(COUNTA(GR7:GT7)),"")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(5ème2)'!GY7:HA7,"A"))*4)+((COUNTIF('Elève (5ème2)'!GY7:HA7,"B"))*3)+((COUNTIF('Elève (5ème2)'!GY7:HA7,"C"))*2)+((COUNTIF('Elève (5ème2)'!GY7:HA7,"D"))*1))/(COUNTA(GY7:HA7)),"")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(5ème2)'!HD7:HF7,"A"))*4)+((COUNTIF('Elève (5ème2)'!HD7:HF7,"B"))*3)+((COUNTIF('Elève (5ème2)'!HD7:HF7,"C"))*2)+((COUNTIF('Elève (5ème2)'!HD7:HF7,"D"))*1))/(COUNTA(HD7:HF7)),"")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(5ème2)'!HI7:HK7,"A"))*4)+((COUNTIF('Elève (5ème2)'!HI7:HK7,"B"))*3)+((COUNTIF('Elève (5ème2)'!HI7:HK7,"C"))*2)+((COUNTIF('Elève (5ème2)'!HI7:HK7,"D"))*1))/(COUNTA(HI7:HK7)),"")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(5ème2)'!HP7:HR7,"A"))*4)+((COUNTIF('Elève (5ème2)'!HP7:HR7,"B"))*3)+((COUNTIF('Elève (5ème2)'!HP7:HR7,"C"))*2)+((COUNTIF('Elève (5ème2)'!HP7:HR7,"D"))*1))/(COUNTA(HP7:HR7)),"")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(5ème2)'!HU7:HW7,"A"))*4)+((COUNTIF('Elève (5ème2)'!HU7:HW7,"B"))*3)+((COUNTIF('Elève (5ème2)'!HU7:HW7,"C"))*2)+((COUNTIF('Elève (5ème2)'!HU7:HW7,"D"))*1))/(COUNTA(HU7:HW7)),"")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(5ème2)'!HZ7:IB7,"A"))*4)+((COUNTIF('Elève (5ème2)'!HZ7:IB7,"B"))*3)+((COUNTIF('Elève (5ème2)'!HZ7:IB7,"C"))*2)+((COUNTIF('Elève (5ème2)'!HZ7:IB7,"D"))*1))/(COUNTA(HZ7:IB7)),"")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(5ème2)'!IG7:II7,"A"))*4)+((COUNTIF('Elève (5ème2)'!IG7:II7,"B"))*3)+((COUNTIF('Elève (5ème2)'!IG7:II7,"C"))*2)+((COUNTIF('Elève (5ème2)'!IG7:II7,"D"))*1))/(COUNTA(IG7:II7)),"")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(5ème2)'!IL7:IN7,"A"))*4)+((COUNTIF('Elève (5ème2)'!IL7:IN7,"B"))*3)+((COUNTIF('Elève (5ème2)'!IL7:IN7,"C"))*2)+((COUNTIF('Elève (5ème2)'!IL7:IN7,"D"))*1))/(COUNTA(IL7:IN7)),"")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(5ème2)'!IQ7:IS7,"A"))*4)+((COUNTIF('Elève (5ème2)'!IQ7:IS7,"B"))*3)+((COUNTIF('Elève (5ème2)'!IQ7:IS7,"C"))*2)+((COUNTIF('Elève (5ème2)'!IQ7:IS7,"D"))*1))/(COUNTA(IQ7:IS7)),"")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(5ème2)'!IX7:IZ7,"A"))*4)+((COUNTIF('Elève (5ème2)'!IX7:IZ7,"B"))*3)+((COUNTIF('Elève (5ème2)'!IX7:IZ7,"C"))*2)+((COUNTIF('Elève (5ème2)'!IX7:IZ7,"D"))*1))/(COUNTA(IX7:IZ7)),"")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(5ème2)'!JC7:JE7,"A"))*4)+((COUNTIF('Elève (5ème2)'!JC7:JE7,"B"))*3)+((COUNTIF('Elève (5ème2)'!JC7:JE7,"C"))*2)+((COUNTIF('Elève (5ème2)'!JC7:JE7,"D"))*1))/(COUNTA(JC7:JE7)),"")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(5ème2)'!JH7:JJ7,"A"))*4)+((COUNTIF('Elève (5ème2)'!JH7:JJ7,"B"))*3)+((COUNTIF('Elève (5ème2)'!JH7:JJ7,"C"))*2)+((COUNTIF('Elève (5ème2)'!JH7:JJ7,"D"))*1))/(COUNTA(JH7:JJ7)),"")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(5ème2)'!JO7:JQ7,"A"))*4)+((COUNTIF('Elève (5ème2)'!JO7:JQ7,"B"))*3)+((COUNTIF('Elève (5ème2)'!JO7:JQ7,"C"))*2)+((COUNTIF('Elève (5ème2)'!JO7:JQ7,"D"))*1))/(COUNTA(JO7:JQ7)),"")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(5ème2)'!JT7:JV7,"A"))*4)+((COUNTIF('Elève (5ème2)'!JT7:JV7,"B"))*3)+((COUNTIF('Elève (5ème2)'!JT7:JV7,"C"))*2)+((COUNTIF('Elève (5ème2)'!JT7:JV7,"D"))*1))/(COUNTA(JT7:JV7)),"")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(5ème2)'!JY7:KA7,"A"))*4)+((COUNTIF('Elève (5ème2)'!JY7:KA7,"B"))*3)+((COUNTIF('Elève (5ème2)'!JY7:KA7,"C"))*2)+((COUNTIF('Elève (5ème2)'!JY7:KA7,"D"))*1))/(COUNTA(JY7:KA7)),"")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(5ème2)'!KF7:KH7,"A"))*4)+((COUNTIF('Elève (5ème2)'!KF7:KH7,"B"))*3)+((COUNTIF('Elève (5ème2)'!KF7:KH7,"C"))*2)+((COUNTIF('Elève (5ème2)'!KF7:KH7,"D"))*1))/(COUNTA(KF7:KH7)),"")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(5ème2)'!KK7:KM7,"A"))*4)+((COUNTIF('Elève (5ème2)'!KK7:KM7,"B"))*3)+((COUNTIF('Elève (5ème2)'!KK7:KM7,"C"))*2)+((COUNTIF('Elève (5ème2)'!KK7:KM7,"D"))*1))/(COUNTA(KK7:KM7)),"")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(5ème2)'!KP7:KR7,"A"))*4)+((COUNTIF('Elève (5ème2)'!KP7:KR7,"B"))*3)+((COUNTIF('Elève (5ème2)'!KP7:KR7,"C"))*2)+((COUNTIF('Elève (5ème2)'!KP7:KR7,"D"))*1))/(COUNTA(KP7:KR7)),"")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(5ème2)'!KW7:KY7,"A"))*4)+((COUNTIF('Elève (5ème2)'!KW7:KY7,"B"))*3)+((COUNTIF('Elève (5ème2)'!KW7:KY7,"C"))*2)+((COUNTIF('Elève (5ème2)'!KW7:KY7,"D"))*1))/(COUNTA(KW7:KY7)),"")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(5ème2)'!LB7:LD7,"A"))*4)+((COUNTIF('Elève (5ème2)'!LB7:LD7,"B"))*3)+((COUNTIF('Elève (5ème2)'!LB7:LD7,"C"))*2)+((COUNTIF('Elève (5ème2)'!LB7:LD7,"D"))*1))/(COUNTA(LB7:LD7)),"")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(5ème2)'!LG7:LI7,"A"))*4)+((COUNTIF('Elève (5ème2)'!LG7:LI7,"B"))*3)+((COUNTIF('Elève (5ème2)'!LG7:LI7,"C"))*2)+((COUNTIF('Elève (5ème2)'!LG7:LI7,"D"))*1))/(COUNTA(LG7:LI7)),"")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(5ème2)'!LN7:LP7,"A"))*4)+((COUNTIF('Elève (5ème2)'!LN7:LP7,"B"))*3)+((COUNTIF('Elève (5ème2)'!LN7:LP7,"C"))*2)+((COUNTIF('Elève (5ème2)'!LN7:LP7,"D"))*1))/(COUNTA(LN7:LP7)),"")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(5ème2)'!LS7:LU7,"A"))*4)+((COUNTIF('Elève (5ème2)'!LS7:LU7,"B"))*3)+((COUNTIF('Elève (5ème2)'!LS7:LU7,"C"))*2)+((COUNTIF('Elève (5ème2)'!LS7:LU7,"D"))*1))/(COUNTA(LS7:LU7)),"")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(5ème2)'!LX7:LZ7,"A"))*4)+((COUNTIF('Elève (5ème2)'!LX7:LZ7,"B"))*3)+((COUNTIF('Elève (5ème2)'!LX7:LZ7,"C"))*2)+((COUNTIF('Elève (5ème2)'!LX7:LZ7,"D"))*1))/(COUNTA(LX7:LZ7)),"")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(5ème2)'!ME7:MG7,"A"))*4)+((COUNTIF('Elève (5ème2)'!ME7:MG7,"B"))*3)+((COUNTIF('Elève (5ème2)'!ME7:MG7,"C"))*2)+((COUNTIF('Elève (5ème2)'!ME7:MG7,"D"))*1))/(COUNTA(ME7:MG7)),"")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(5ème2)'!MJ7:ML7,"A"))*4)+((COUNTIF('Elève (5ème2)'!MJ7:ML7,"B"))*3)+((COUNTIF('Elève (5ème2)'!MJ7:ML7,"C"))*2)+((COUNTIF('Elève (5ème2)'!MJ7:ML7,"D"))*1))/(COUNTA(MJ7:ML7)),"")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(5ème2)'!MO7:MQ7,"A"))*4)+((COUNTIF('Elève (5ème2)'!MO7:MQ7,"B"))*3)+((COUNTIF('Elève (5ème2)'!MO7:MQ7,"C"))*2)+((COUNTIF('Elève (5ème2)'!MO7:MQ7,"D"))*1))/(COUNTA(MO7:MQ7)),"")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(5ème2)'!MV7:MX7,"A"))*4)+((COUNTIF('Elève (5ème2)'!MV7:MX7,"B"))*3)+((COUNTIF('Elève (5ème2)'!MV7:MX7,"C"))*2)+((COUNTIF('Elève (5ème2)'!MV7:MX7,"D"))*1))/(COUNTA(MV7:MX7)),"")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(5ème2)'!NA7:NC7,"A"))*4)+((COUNTIF('Elève (5ème2)'!NA7:NC7,"B"))*3)+((COUNTIF('Elève (5ème2)'!NA7:NC7,"C"))*2)+((COUNTIF('Elève (5ème2)'!NA7:NC7,"D"))*1))/(COUNTA(NA7:NC7)),"")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(5ème2)'!NF7:NH7,"A"))*4)+((COUNTIF('Elève (5ème2)'!NF7:NH7,"B"))*3)+((COUNTIF('Elève (5ème2)'!NF7:NH7,"C"))*2)+((COUNTIF('Elève (5ème2)'!NF7:NH7,"D"))*1))/(COUNTA(NF7:NH7)),"")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(5ème2)'!NM7:NO7,"A"))*4)+((COUNTIF('Elève (5ème2)'!NM7:NO7,"B"))*3)+((COUNTIF('Elève (5ème2)'!NM7:NO7,"C"))*2)+((COUNTIF('Elève (5ème2)'!NM7:NO7,"D"))*1))/(COUNTA(NM7:NO7)),"")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(5ème2)'!NR7:NT7,"A"))*4)+((COUNTIF('Elève (5ème2)'!NR7:NT7,"B"))*3)+((COUNTIF('Elève (5ème2)'!NR7:NT7,"C"))*2)+((COUNTIF('Elève (5ème2)'!NR7:NT7,"D"))*1))/(COUNTA(NR7:NT7)),"")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(5ème2)'!NW7:NY7,"A"))*4)+((COUNTIF('Elève (5ème2)'!NW7:NY7,"B"))*3)+((COUNTIF('Elève (5ème2)'!NW7:NY7,"C"))*2)+((COUNTIF('Elève (5ème2)'!NW7:NY7,"D"))*1))/(COUNTA(NW7:NY7)),"")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(5ème2)'!OD7:OF7,"A"))*4)+((COUNTIF('Elève (5ème2)'!OD7:OF7,"B"))*3)+((COUNTIF('Elève (5ème2)'!OD7:OF7,"C"))*2)+((COUNTIF('Elève (5ème2)'!OD7:OF7,"D"))*1))/(COUNTA(OD7:OF7)),"")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(5ème2)'!OI7:OK7,"A"))*4)+((COUNTIF('Elève (5ème2)'!OI7:OK7,"B"))*3)+((COUNTIF('Elève (5ème2)'!OI7:OK7,"C"))*2)+((COUNTIF('Elève (5ème2)'!OI7:OK7,"D"))*1))/(COUNTA(OI7:OK7)),"")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(5ème2)'!ON7:OP7,"A"))*4)+((COUNTIF('Elève (5ème2)'!ON7:OP7,"B"))*3)+((COUNTIF('Elève (5ème2)'!ON7:OP7,"C"))*2)+((COUNTIF('Elève (5ème2)'!ON7:OP7,"D"))*1))/(COUNTA(ON7:OP7)),"")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(5ème2)'!OU7:OW7,"A"))*4)+((COUNTIF('Elève (5ème2)'!OU7:OW7,"B"))*3)+((COUNTIF('Elève (5ème2)'!OU7:OW7,"C"))*2)+((COUNTIF('Elève (5ème2)'!OU7:OW7,"D"))*1))/(COUNTA(OU7:OW7)),"")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(5ème2)'!OZ7:PB7,"A"))*4)+((COUNTIF('Elève (5ème2)'!OZ7:PB7,"B"))*3)+((COUNTIF('Elève (5ème2)'!OZ7:PB7,"C"))*2)+((COUNTIF('Elève (5ème2)'!OZ7:PB7,"D"))*1))/(COUNTA(OZ7:PB7)),"")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(5ème2)'!PE7:PG7,"A"))*4)+((COUNTIF('Elève (5ème2)'!PE7:PG7,"B"))*3)+((COUNTIF('Elève (5ème2)'!PE7:PG7,"C"))*2)+((COUNTIF('Elève (5ème2)'!PE7:PG7,"D"))*1))/(COUNTA(PE7:PG7)),"")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(5ème2)'!PL7:PN7,"A"))*4)+((COUNTIF('Elève (5ème2)'!PL7:PN7,"B"))*3)+((COUNTIF('Elève (5ème2)'!PL7:PN7,"C"))*2)+((COUNTIF('Elève (5ème2)'!PL7:PN7,"D"))*1))/(COUNTA(PL7:PN7)),"")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(5ème2)'!PQ7:PS7,"A"))*4)+((COUNTIF('Elève (5ème2)'!PQ7:PS7,"B"))*3)+((COUNTIF('Elève (5ème2)'!PQ7:PS7,"C"))*2)+((COUNTIF('Elève (5ème2)'!PQ7:PS7,"D"))*1))/(COUNTA(PQ7:PS7)),"")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(5ème2)'!PV7:PX7,"A"))*4)+((COUNTIF('Elève (5ème2)'!PV7:PX7,"B"))*3)+((COUNTIF('Elève (5ème2)'!PV7:PX7,"C"))*2)+((COUNTIF('Elève (5ème2)'!PV7:PX7,"D"))*1))/(COUNTA(PV7:PX7)),"")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(5ème2)'!QC7:QE7,"A"))*4)+((COUNTIF('Elève (5ème2)'!QC7:QE7,"B"))*3)+((COUNTIF('Elève (5ème2)'!QC7:QE7,"C"))*2)+((COUNTIF('Elève (5ème2)'!QC7:QE7,"D"))*1))/(COUNTA(QC7:QE7)),"")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(5ème2)'!QH7:QJ7,"A"))*4)+((COUNTIF('Elève (5ème2)'!QH7:QJ7,"B"))*3)+((COUNTIF('Elève (5ème2)'!QH7:QJ7,"C"))*2)+((COUNTIF('Elève (5ème2)'!QH7:QJ7,"D"))*1))/(COUNTA(QH7:QJ7)),"")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(5ème2)'!QM7:QO7,"A"))*4)+((COUNTIF('Elève (5ème2)'!QM7:QO7,"B"))*3)+((COUNTIF('Elève (5ème2)'!QM7:QO7,"C"))*2)+((COUNTIF('Elève (5ème2)'!QM7:QO7,"D"))*1))/(COUNTA(QM7:QO7)),"")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(5ème2)'!QT7:QV7,"A"))*4)+((COUNTIF('Elève (5ème2)'!QT7:QV7,"B"))*3)+((COUNTIF('Elève (5ème2)'!QT7:QV7,"C"))*2)+((COUNTIF('Elève (5ème2)'!QT7:QV7,"D"))*1))/(COUNTA(QT7:QV7)),"")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(5ème2)'!QY7:RA7,"A"))*4)+((COUNTIF('Elève (5ème2)'!QY7:RA7,"B"))*3)+((COUNTIF('Elève (5ème2)'!QY7:RA7,"C"))*2)+((COUNTIF('Elève (5ème2)'!QY7:RA7,"D"))*1))/(COUNTA(QY7:RA7)),"")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(5ème2)'!RD7:RF7,"A"))*4)+((COUNTIF('Elève (5ème2)'!RD7:RF7,"B"))*3)+((COUNTIF('Elève (5ème2)'!RD7:RF7,"C"))*2)+((COUNTIF('Elève (5ème2)'!RD7:RF7,"D"))*1))/(COUNTA(RD7:RF7)),"")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(5ème2)'!RK7:RM7,"A"))*4)+((COUNTIF('Elève (5ème2)'!RK7:RM7,"B"))*3)+((COUNTIF('Elève (5ème2)'!RK7:RM7,"C"))*2)+((COUNTIF('Elève (5ème2)'!RK7:RM7,"D"))*1))/(COUNTA(RK7:RM7)),"")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(5ème2)'!RP7:RR7,"A"))*4)+((COUNTIF('Elève (5ème2)'!RP7:RR7,"B"))*3)+((COUNTIF('Elève (5ème2)'!RP7:RR7,"C"))*2)+((COUNTIF('Elève (5ème2)'!RP7:RR7,"D"))*1))/(COUNTA(RP7:RR7)),"")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(5ème2)'!RU7:RW7,"A"))*4)+((COUNTIF('Elève (5ème2)'!RU7:RW7,"B"))*3)+((COUNTIF('Elève (5ème2)'!RU7:RW7,"C"))*2)+((COUNTIF('Elève (5ème2)'!RU7:RW7,"D"))*1))/(COUNTA(RU7:RW7)),"")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(5ème2)'!SB7:SD7,"A"))*4)+((COUNTIF('Elève (5ème2)'!SB7:SD7,"B"))*3)+((COUNTIF('Elève (5ème2)'!SB7:SD7,"C"))*2)+((COUNTIF('Elève (5ème2)'!SB7:SD7,"D"))*1))/(COUNTA(SB7:SD7)),"")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(5ème2)'!SG7:SI7,"A"))*4)+((COUNTIF('Elève (5ème2)'!SG7:SI7,"B"))*3)+((COUNTIF('Elève (5ème2)'!SG7:SI7,"C"))*2)+((COUNTIF('Elève (5ème2)'!SG7:SI7,"D"))*1))/(COUNTA(SG7:SI7)),"")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(5ème2)'!SL7:SN7,"A"))*4)+((COUNTIF('Elève (5ème2)'!SL7:SN7,"B"))*3)+((COUNTIF('Elève (5ème2)'!SL7:SN7,"C"))*2)+((COUNTIF('Elève (5ème2)'!SL7:SN7,"D"))*1))/(COUNTA(SL7:SN7)),"")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7" t="s">
        <v>15</v>
      </c>
      <c r="B8" s="228"/>
      <c r="C8" s="156"/>
      <c r="D8" s="157"/>
      <c r="E8" s="158"/>
      <c r="F8" s="110" t="str">
        <f>IFERROR((((COUNTIF('Elève (5ème2)'!C8:E8,"A"))*4)+((COUNTIF('Elève (5ème2)'!C8:E8,"B"))*3)+((COUNTIF('Elève (5ème2)'!C8:E8,"C"))*2)+((COUNTIF('Elève (5ème2)'!C8:E8,"D"))*1))/(COUNTA(C8:E8)),"")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(5ème2)'!H8:J8,"A"))*4)+((COUNTIF('Elève (5ème2)'!H8:J8,"B"))*3)+((COUNTIF('Elève (5ème2)'!H8:J8,"C"))*2)+((COUNTIF('Elève (5ème2)'!H8:J8,"D"))*1))/(COUNTA(H8:J8)),"")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(5ème2)'!M8:O8,"A"))*4)+((COUNTIF('Elève (5ème2)'!M8:O8,"B"))*3)+((COUNTIF('Elève (5ème2)'!M8:O8,"C"))*2)+((COUNTIF('Elève (5ème2)'!M8:O8,"D"))*1))/(COUNTA(M8:O8)),"")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(5ème2)'!T8:V8,"A"))*4)+((COUNTIF('Elève (5ème2)'!T8:V8,"B"))*3)+((COUNTIF('Elève (5ème2)'!T8:V8,"C"))*2)+((COUNTIF('Elève (5ème2)'!T8:V8,"D"))*1))/(COUNTA(T8:V8)),"")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(5ème2)'!Y8:AA8,"A"))*4)+((COUNTIF('Elève (5ème2)'!Y8:AA8,"B"))*3)+((COUNTIF('Elève (5ème2)'!Y8:AA8,"C"))*2)+((COUNTIF('Elève (5ème2)'!Y8:AA8,"D"))*1))/(COUNTA(Y8:AA8)),"")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(5ème2)'!AD8:AF8,"A"))*4)+((COUNTIF('Elève (5ème2)'!AD8:AF8,"B"))*3)+((COUNTIF('Elève (5ème2)'!AD8:AF8,"C"))*2)+((COUNTIF('Elève (5ème2)'!AD8:AF8,"D"))*1))/(COUNTA(AD8:AF8)),"")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(5ème2)'!AK8:AM8,"A"))*4)+((COUNTIF('Elève (5ème2)'!AK8:AM8,"B"))*3)+((COUNTIF('Elève (5ème2)'!AK8:AM8,"C"))*2)+((COUNTIF('Elève (5ème2)'!AK8:AM8,"D"))*1))/(COUNTA(AK8:AM8)),"")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(5ème2)'!AP8:AR8,"A"))*4)+((COUNTIF('Elève (5ème2)'!AP8:AR8,"B"))*3)+((COUNTIF('Elève (5ème2)'!AP8:AR8,"C"))*2)+((COUNTIF('Elève (5ème2)'!AP8:AR8,"D"))*1))/(COUNTA(AP8:AR8)),"")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(5ème2)'!AU8:AW8,"A"))*4)+((COUNTIF('Elève (5ème2)'!AU8:AW8,"B"))*3)+((COUNTIF('Elève (5ème2)'!AU8:AW8,"C"))*2)+((COUNTIF('Elève (5ème2)'!AU8:AW8,"D"))*1))/(COUNTA(AU8:AW8)),"")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(5ème2)'!BB8:BD8,"A"))*4)+((COUNTIF('Elève (5ème2)'!BB8:BD8,"B"))*3)+((COUNTIF('Elève (5ème2)'!BB8:BD8,"C"))*2)+((COUNTIF('Elève (5ème2)'!BB8:BD8,"D"))*1))/(COUNTA(BB8:BD8)),"")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(5ème2)'!BG8:BI8,"A"))*4)+((COUNTIF('Elève (5ème2)'!BG8:BI8,"B"))*3)+((COUNTIF('Elève (5ème2)'!BG8:BI8,"C"))*2)+((COUNTIF('Elève (5ème2)'!BG8:BI8,"D"))*1))/(COUNTA(BG8:BI8)),"")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(5ème2)'!BL8:BN8,"A"))*4)+((COUNTIF('Elève (5ème2)'!BL8:BN8,"B"))*3)+((COUNTIF('Elève (5ème2)'!BL8:BN8,"C"))*2)+((COUNTIF('Elève (5ème2)'!BL8:BN8,"D"))*1))/(COUNTA(BL8:BN8)),"")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(5ème2)'!BS8:BU8,"A"))*4)+((COUNTIF('Elève (5ème2)'!BS8:BU8,"B"))*3)+((COUNTIF('Elève (5ème2)'!BS8:BU8,"C"))*2)+((COUNTIF('Elève (5ème2)'!BS8:BU8,"D"))*1))/(COUNTA(BS8:BU8)),"")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(5ème2)'!BX8:BZ8,"A"))*4)+((COUNTIF('Elève (5ème2)'!BX8:BZ8,"B"))*3)+((COUNTIF('Elève (5ème2)'!BX8:BZ8,"C"))*2)+((COUNTIF('Elève (5ème2)'!BX8:BZ8,"D"))*1))/(COUNTA(BX8:BZ8)),"")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(5ème2)'!CC8:CE8,"A"))*4)+((COUNTIF('Elève (5ème2)'!CC8:CE8,"B"))*3)+((COUNTIF('Elève (5ème2)'!CC8:CE8,"C"))*2)+((COUNTIF('Elève (5ème2)'!CC8:CE8,"D"))*1))/(COUNTA(CC8:CE8)),"")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(5ème2)'!CJ8:CL8,"A"))*4)+((COUNTIF('Elève (5ème2)'!CJ8:CL8,"B"))*3)+((COUNTIF('Elève (5ème2)'!CJ8:CL8,"C"))*2)+((COUNTIF('Elève (5ème2)'!CJ8:CL8,"D"))*1))/(COUNTA(CJ8:CL8)),"")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(5ème2)'!CO8:CQ8,"A"))*4)+((COUNTIF('Elève (5ème2)'!CO8:CQ8,"B"))*3)+((COUNTIF('Elève (5ème2)'!CO8:CQ8,"C"))*2)+((COUNTIF('Elève (5ème2)'!CO8:CQ8,"D"))*1))/(COUNTA(CO8:CQ8)),"")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(5ème2)'!CT8:CV8,"A"))*4)+((COUNTIF('Elève (5ème2)'!CT8:CV8,"B"))*3)+((COUNTIF('Elève (5ème2)'!CT8:CV8,"C"))*2)+((COUNTIF('Elève (5ème2)'!CT8:CV8,"D"))*1))/(COUNTA(CT8:CV8)),"")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(5ème2)'!DA8:DC8,"A"))*4)+((COUNTIF('Elève (5ème2)'!DA8:DC8,"B"))*3)+((COUNTIF('Elève (5ème2)'!DA8:DC8,"C"))*2)+((COUNTIF('Elève (5ème2)'!DA8:DC8,"D"))*1))/(COUNTA(DA8:DC8)),"")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(5ème2)'!DF8:DH8,"A"))*4)+((COUNTIF('Elève (5ème2)'!DF8:DH8,"B"))*3)+((COUNTIF('Elève (5ème2)'!DF8:DH8,"C"))*2)+((COUNTIF('Elève (5ème2)'!DF8:DH8,"D"))*1))/(COUNTA(DF8:DH8)),"")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(5ème2)'!DK8:DM8,"A"))*4)+((COUNTIF('Elève (5ème2)'!DK8:DM8,"B"))*3)+((COUNTIF('Elève (5ème2)'!DK8:DM8,"C"))*2)+((COUNTIF('Elève (5ème2)'!DK8:DM8,"D"))*1))/(COUNTA(DK8:DM8)),"")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(5ème2)'!DR8:DT8,"A"))*4)+((COUNTIF('Elève (5ème2)'!DR8:DT8,"B"))*3)+((COUNTIF('Elève (5ème2)'!DR8:DT8,"C"))*2)+((COUNTIF('Elève (5ème2)'!DR8:DT8,"D"))*1))/(COUNTA(DR8:DT8)),"")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(5ème2)'!DW8:DY8,"A"))*4)+((COUNTIF('Elève (5ème2)'!DW8:DY8,"B"))*3)+((COUNTIF('Elève (5ème2)'!DW8:DY8,"C"))*2)+((COUNTIF('Elève (5ème2)'!DW8:DY8,"D"))*1))/(COUNTA(DW8:DY8)),"")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(5ème2)'!EB8:ED8,"A"))*4)+((COUNTIF('Elève (5ème2)'!EB8:ED8,"B"))*3)+((COUNTIF('Elève (5ème2)'!EB8:ED8,"C"))*2)+((COUNTIF('Elève (5ème2)'!EB8:ED8,"D"))*1))/(COUNTA(EB8:ED8)),"")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(5ème2)'!EI8:EK8,"A"))*4)+((COUNTIF('Elève (5ème2)'!EI8:EK8,"B"))*3)+((COUNTIF('Elève (5ème2)'!EI8:EK8,"C"))*2)+((COUNTIF('Elève (5ème2)'!EI8:EK8,"D"))*1))/(COUNTA(EI8:EK8)),"")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(5ème2)'!EN8:EP8,"A"))*4)+((COUNTIF('Elève (5ème2)'!EN8:EP8,"B"))*3)+((COUNTIF('Elève (5ème2)'!EN8:EP8,"C"))*2)+((COUNTIF('Elève (5ème2)'!EN8:EP8,"D"))*1))/(COUNTA(EN8:EP8)),"")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(5ème2)'!ES8:EU8,"A"))*4)+((COUNTIF('Elève (5ème2)'!ES8:EU8,"B"))*3)+((COUNTIF('Elève (5ème2)'!ES8:EU8,"C"))*2)+((COUNTIF('Elève (5ème2)'!ES8:EU8,"D"))*1))/(COUNTA(ES8:EU8)),"")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(5ème2)'!EZ8:FB8,"A"))*4)+((COUNTIF('Elève (5ème2)'!EZ8:FB8,"B"))*3)+((COUNTIF('Elève (5ème2)'!EZ8:FB8,"C"))*2)+((COUNTIF('Elève (5ème2)'!EZ8:FB8,"D"))*1))/(COUNTA(EZ8:FB8)),"")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(5ème2)'!FE8:FG8,"A"))*4)+((COUNTIF('Elève (5ème2)'!FE8:FG8,"B"))*3)+((COUNTIF('Elève (5ème2)'!FE8:FG8,"C"))*2)+((COUNTIF('Elève (5ème2)'!FE8:FG8,"D"))*1))/(COUNTA(FE8:FG8)),"")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(5ème2)'!FJ8:FL8,"A"))*4)+((COUNTIF('Elève (5ème2)'!FJ8:FL8,"B"))*3)+((COUNTIF('Elève (5ème2)'!FJ8:FL8,"C"))*2)+((COUNTIF('Elève (5ème2)'!FJ8:FL8,"D"))*1))/(COUNTA(FJ8:FL8)),"")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(5ème2)'!FQ8:FS8,"A"))*4)+((COUNTIF('Elève (5ème2)'!FQ8:FS8,"B"))*3)+((COUNTIF('Elève (5ème2)'!FQ8:FS8,"C"))*2)+((COUNTIF('Elève (5ème2)'!FQ8:FS8,"D"))*1))/(COUNTA(FQ8:FS8)),"")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(5ème2)'!FV8:FX8,"A"))*4)+((COUNTIF('Elève (5ème2)'!FV8:FX8,"B"))*3)+((COUNTIF('Elève (5ème2)'!FV8:FX8,"C"))*2)+((COUNTIF('Elève (5ème2)'!FV8:FX8,"D"))*1))/(COUNTA(FV8:FX8)),"")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(5ème2)'!GA8:GC8,"A"))*4)+((COUNTIF('Elève (5ème2)'!GA8:GC8,"B"))*3)+((COUNTIF('Elève (5ème2)'!GA8:GC8,"C"))*2)+((COUNTIF('Elève (5ème2)'!GA8:GC8,"D"))*1))/(COUNTA(GA8:GC8)),"")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(5ème2)'!GH8:GJ8,"A"))*4)+((COUNTIF('Elève (5ème2)'!GH8:GJ8,"B"))*3)+((COUNTIF('Elève (5ème2)'!GH8:GJ8,"C"))*2)+((COUNTIF('Elève (5ème2)'!GH8:GJ8,"D"))*1))/(COUNTA(GH8:GJ8)),"")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(5ème2)'!GM8:GO8,"A"))*4)+((COUNTIF('Elève (5ème2)'!GM8:GO8,"B"))*3)+((COUNTIF('Elève (5ème2)'!GM8:GO8,"C"))*2)+((COUNTIF('Elève (5ème2)'!GM8:GO8,"D"))*1))/(COUNTA(GM8:GO8)),"")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(5ème2)'!GR8:GT8,"A"))*4)+((COUNTIF('Elève (5ème2)'!GR8:GT8,"B"))*3)+((COUNTIF('Elève (5ème2)'!GR8:GT8,"C"))*2)+((COUNTIF('Elève (5ème2)'!GR8:GT8,"D"))*1))/(COUNTA(GR8:GT8)),"")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(5ème2)'!GY8:HA8,"A"))*4)+((COUNTIF('Elève (5ème2)'!GY8:HA8,"B"))*3)+((COUNTIF('Elève (5ème2)'!GY8:HA8,"C"))*2)+((COUNTIF('Elève (5ème2)'!GY8:HA8,"D"))*1))/(COUNTA(GY8:HA8)),"")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(5ème2)'!HD8:HF8,"A"))*4)+((COUNTIF('Elève (5ème2)'!HD8:HF8,"B"))*3)+((COUNTIF('Elève (5ème2)'!HD8:HF8,"C"))*2)+((COUNTIF('Elève (5ème2)'!HD8:HF8,"D"))*1))/(COUNTA(HD8:HF8)),"")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(5ème2)'!HI8:HK8,"A"))*4)+((COUNTIF('Elève (5ème2)'!HI8:HK8,"B"))*3)+((COUNTIF('Elève (5ème2)'!HI8:HK8,"C"))*2)+((COUNTIF('Elève (5ème2)'!HI8:HK8,"D"))*1))/(COUNTA(HI8:HK8)),"")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(5ème2)'!HP8:HR8,"A"))*4)+((COUNTIF('Elève (5ème2)'!HP8:HR8,"B"))*3)+((COUNTIF('Elève (5ème2)'!HP8:HR8,"C"))*2)+((COUNTIF('Elève (5ème2)'!HP8:HR8,"D"))*1))/(COUNTA(HP8:HR8)),"")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(5ème2)'!HU8:HW8,"A"))*4)+((COUNTIF('Elève (5ème2)'!HU8:HW8,"B"))*3)+((COUNTIF('Elève (5ème2)'!HU8:HW8,"C"))*2)+((COUNTIF('Elève (5ème2)'!HU8:HW8,"D"))*1))/(COUNTA(HU8:HW8)),"")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(5ème2)'!HZ8:IB8,"A"))*4)+((COUNTIF('Elève (5ème2)'!HZ8:IB8,"B"))*3)+((COUNTIF('Elève (5ème2)'!HZ8:IB8,"C"))*2)+((COUNTIF('Elève (5ème2)'!HZ8:IB8,"D"))*1))/(COUNTA(HZ8:IB8)),"")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(5ème2)'!IG8:II8,"A"))*4)+((COUNTIF('Elève (5ème2)'!IG8:II8,"B"))*3)+((COUNTIF('Elève (5ème2)'!IG8:II8,"C"))*2)+((COUNTIF('Elève (5ème2)'!IG8:II8,"D"))*1))/(COUNTA(IG8:II8)),"")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(5ème2)'!IL8:IN8,"A"))*4)+((COUNTIF('Elève (5ème2)'!IL8:IN8,"B"))*3)+((COUNTIF('Elève (5ème2)'!IL8:IN8,"C"))*2)+((COUNTIF('Elève (5ème2)'!IL8:IN8,"D"))*1))/(COUNTA(IL8:IN8)),"")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(5ème2)'!IQ8:IS8,"A"))*4)+((COUNTIF('Elève (5ème2)'!IQ8:IS8,"B"))*3)+((COUNTIF('Elève (5ème2)'!IQ8:IS8,"C"))*2)+((COUNTIF('Elève (5ème2)'!IQ8:IS8,"D"))*1))/(COUNTA(IQ8:IS8)),"")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(5ème2)'!IX8:IZ8,"A"))*4)+((COUNTIF('Elève (5ème2)'!IX8:IZ8,"B"))*3)+((COUNTIF('Elève (5ème2)'!IX8:IZ8,"C"))*2)+((COUNTIF('Elève (5ème2)'!IX8:IZ8,"D"))*1))/(COUNTA(IX8:IZ8)),"")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(5ème2)'!JC8:JE8,"A"))*4)+((COUNTIF('Elève (5ème2)'!JC8:JE8,"B"))*3)+((COUNTIF('Elève (5ème2)'!JC8:JE8,"C"))*2)+((COUNTIF('Elève (5ème2)'!JC8:JE8,"D"))*1))/(COUNTA(JC8:JE8)),"")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(5ème2)'!JH8:JJ8,"A"))*4)+((COUNTIF('Elève (5ème2)'!JH8:JJ8,"B"))*3)+((COUNTIF('Elève (5ème2)'!JH8:JJ8,"C"))*2)+((COUNTIF('Elève (5ème2)'!JH8:JJ8,"D"))*1))/(COUNTA(JH8:JJ8)),"")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(5ème2)'!JO8:JQ8,"A"))*4)+((COUNTIF('Elève (5ème2)'!JO8:JQ8,"B"))*3)+((COUNTIF('Elève (5ème2)'!JO8:JQ8,"C"))*2)+((COUNTIF('Elève (5ème2)'!JO8:JQ8,"D"))*1))/(COUNTA(JO8:JQ8)),"")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(5ème2)'!JT8:JV8,"A"))*4)+((COUNTIF('Elève (5ème2)'!JT8:JV8,"B"))*3)+((COUNTIF('Elève (5ème2)'!JT8:JV8,"C"))*2)+((COUNTIF('Elève (5ème2)'!JT8:JV8,"D"))*1))/(COUNTA(JT8:JV8)),"")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(5ème2)'!JY8:KA8,"A"))*4)+((COUNTIF('Elève (5ème2)'!JY8:KA8,"B"))*3)+((COUNTIF('Elève (5ème2)'!JY8:KA8,"C"))*2)+((COUNTIF('Elève (5ème2)'!JY8:KA8,"D"))*1))/(COUNTA(JY8:KA8)),"")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(5ème2)'!KF8:KH8,"A"))*4)+((COUNTIF('Elève (5ème2)'!KF8:KH8,"B"))*3)+((COUNTIF('Elève (5ème2)'!KF8:KH8,"C"))*2)+((COUNTIF('Elève (5ème2)'!KF8:KH8,"D"))*1))/(COUNTA(KF8:KH8)),"")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(5ème2)'!KK8:KM8,"A"))*4)+((COUNTIF('Elève (5ème2)'!KK8:KM8,"B"))*3)+((COUNTIF('Elève (5ème2)'!KK8:KM8,"C"))*2)+((COUNTIF('Elève (5ème2)'!KK8:KM8,"D"))*1))/(COUNTA(KK8:KM8)),"")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(5ème2)'!KP8:KR8,"A"))*4)+((COUNTIF('Elève (5ème2)'!KP8:KR8,"B"))*3)+((COUNTIF('Elève (5ème2)'!KP8:KR8,"C"))*2)+((COUNTIF('Elève (5ème2)'!KP8:KR8,"D"))*1))/(COUNTA(KP8:KR8)),"")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(5ème2)'!KW8:KY8,"A"))*4)+((COUNTIF('Elève (5ème2)'!KW8:KY8,"B"))*3)+((COUNTIF('Elève (5ème2)'!KW8:KY8,"C"))*2)+((COUNTIF('Elève (5ème2)'!KW8:KY8,"D"))*1))/(COUNTA(KW8:KY8)),"")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(5ème2)'!LB8:LD8,"A"))*4)+((COUNTIF('Elève (5ème2)'!LB8:LD8,"B"))*3)+((COUNTIF('Elève (5ème2)'!LB8:LD8,"C"))*2)+((COUNTIF('Elève (5ème2)'!LB8:LD8,"D"))*1))/(COUNTA(LB8:LD8)),"")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(5ème2)'!LG8:LI8,"A"))*4)+((COUNTIF('Elève (5ème2)'!LG8:LI8,"B"))*3)+((COUNTIF('Elève (5ème2)'!LG8:LI8,"C"))*2)+((COUNTIF('Elève (5ème2)'!LG8:LI8,"D"))*1))/(COUNTA(LG8:LI8)),"")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(5ème2)'!LN8:LP8,"A"))*4)+((COUNTIF('Elève (5ème2)'!LN8:LP8,"B"))*3)+((COUNTIF('Elève (5ème2)'!LN8:LP8,"C"))*2)+((COUNTIF('Elève (5ème2)'!LN8:LP8,"D"))*1))/(COUNTA(LN8:LP8)),"")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(5ème2)'!LS8:LU8,"A"))*4)+((COUNTIF('Elève (5ème2)'!LS8:LU8,"B"))*3)+((COUNTIF('Elève (5ème2)'!LS8:LU8,"C"))*2)+((COUNTIF('Elève (5ème2)'!LS8:LU8,"D"))*1))/(COUNTA(LS8:LU8)),"")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(5ème2)'!LX8:LZ8,"A"))*4)+((COUNTIF('Elève (5ème2)'!LX8:LZ8,"B"))*3)+((COUNTIF('Elève (5ème2)'!LX8:LZ8,"C"))*2)+((COUNTIF('Elève (5ème2)'!LX8:LZ8,"D"))*1))/(COUNTA(LX8:LZ8)),"")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(5ème2)'!ME8:MG8,"A"))*4)+((COUNTIF('Elève (5ème2)'!ME8:MG8,"B"))*3)+((COUNTIF('Elève (5ème2)'!ME8:MG8,"C"))*2)+((COUNTIF('Elève (5ème2)'!ME8:MG8,"D"))*1))/(COUNTA(ME8:MG8)),"")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(5ème2)'!MJ8:ML8,"A"))*4)+((COUNTIF('Elève (5ème2)'!MJ8:ML8,"B"))*3)+((COUNTIF('Elève (5ème2)'!MJ8:ML8,"C"))*2)+((COUNTIF('Elève (5ème2)'!MJ8:ML8,"D"))*1))/(COUNTA(MJ8:ML8)),"")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(5ème2)'!MO8:MQ8,"A"))*4)+((COUNTIF('Elève (5ème2)'!MO8:MQ8,"B"))*3)+((COUNTIF('Elève (5ème2)'!MO8:MQ8,"C"))*2)+((COUNTIF('Elève (5ème2)'!MO8:MQ8,"D"))*1))/(COUNTA(MO8:MQ8)),"")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(5ème2)'!MV8:MX8,"A"))*4)+((COUNTIF('Elève (5ème2)'!MV8:MX8,"B"))*3)+((COUNTIF('Elève (5ème2)'!MV8:MX8,"C"))*2)+((COUNTIF('Elève (5ème2)'!MV8:MX8,"D"))*1))/(COUNTA(MV8:MX8)),"")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(5ème2)'!NA8:NC8,"A"))*4)+((COUNTIF('Elève (5ème2)'!NA8:NC8,"B"))*3)+((COUNTIF('Elève (5ème2)'!NA8:NC8,"C"))*2)+((COUNTIF('Elève (5ème2)'!NA8:NC8,"D"))*1))/(COUNTA(NA8:NC8)),"")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(5ème2)'!NF8:NH8,"A"))*4)+((COUNTIF('Elève (5ème2)'!NF8:NH8,"B"))*3)+((COUNTIF('Elève (5ème2)'!NF8:NH8,"C"))*2)+((COUNTIF('Elève (5ème2)'!NF8:NH8,"D"))*1))/(COUNTA(NF8:NH8)),"")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(5ème2)'!NM8:NO8,"A"))*4)+((COUNTIF('Elève (5ème2)'!NM8:NO8,"B"))*3)+((COUNTIF('Elève (5ème2)'!NM8:NO8,"C"))*2)+((COUNTIF('Elève (5ème2)'!NM8:NO8,"D"))*1))/(COUNTA(NM8:NO8)),"")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(5ème2)'!NR8:NT8,"A"))*4)+((COUNTIF('Elève (5ème2)'!NR8:NT8,"B"))*3)+((COUNTIF('Elève (5ème2)'!NR8:NT8,"C"))*2)+((COUNTIF('Elève (5ème2)'!NR8:NT8,"D"))*1))/(COUNTA(NR8:NT8)),"")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(5ème2)'!NW8:NY8,"A"))*4)+((COUNTIF('Elève (5ème2)'!NW8:NY8,"B"))*3)+((COUNTIF('Elève (5ème2)'!NW8:NY8,"C"))*2)+((COUNTIF('Elève (5ème2)'!NW8:NY8,"D"))*1))/(COUNTA(NW8:NY8)),"")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(5ème2)'!OD8:OF8,"A"))*4)+((COUNTIF('Elève (5ème2)'!OD8:OF8,"B"))*3)+((COUNTIF('Elève (5ème2)'!OD8:OF8,"C"))*2)+((COUNTIF('Elève (5ème2)'!OD8:OF8,"D"))*1))/(COUNTA(OD8:OF8)),"")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(5ème2)'!OI8:OK8,"A"))*4)+((COUNTIF('Elève (5ème2)'!OI8:OK8,"B"))*3)+((COUNTIF('Elève (5ème2)'!OI8:OK8,"C"))*2)+((COUNTIF('Elève (5ème2)'!OI8:OK8,"D"))*1))/(COUNTA(OI8:OK8)),"")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(5ème2)'!ON8:OP8,"A"))*4)+((COUNTIF('Elève (5ème2)'!ON8:OP8,"B"))*3)+((COUNTIF('Elève (5ème2)'!ON8:OP8,"C"))*2)+((COUNTIF('Elève (5ème2)'!ON8:OP8,"D"))*1))/(COUNTA(ON8:OP8)),"")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(5ème2)'!OU8:OW8,"A"))*4)+((COUNTIF('Elève (5ème2)'!OU8:OW8,"B"))*3)+((COUNTIF('Elève (5ème2)'!OU8:OW8,"C"))*2)+((COUNTIF('Elève (5ème2)'!OU8:OW8,"D"))*1))/(COUNTA(OU8:OW8)),"")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(5ème2)'!OZ8:PB8,"A"))*4)+((COUNTIF('Elève (5ème2)'!OZ8:PB8,"B"))*3)+((COUNTIF('Elève (5ème2)'!OZ8:PB8,"C"))*2)+((COUNTIF('Elève (5ème2)'!OZ8:PB8,"D"))*1))/(COUNTA(OZ8:PB8)),"")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(5ème2)'!PE8:PG8,"A"))*4)+((COUNTIF('Elève (5ème2)'!PE8:PG8,"B"))*3)+((COUNTIF('Elève (5ème2)'!PE8:PG8,"C"))*2)+((COUNTIF('Elève (5ème2)'!PE8:PG8,"D"))*1))/(COUNTA(PE8:PG8)),"")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(5ème2)'!PL8:PN8,"A"))*4)+((COUNTIF('Elève (5ème2)'!PL8:PN8,"B"))*3)+((COUNTIF('Elève (5ème2)'!PL8:PN8,"C"))*2)+((COUNTIF('Elève (5ème2)'!PL8:PN8,"D"))*1))/(COUNTA(PL8:PN8)),"")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(5ème2)'!PQ8:PS8,"A"))*4)+((COUNTIF('Elève (5ème2)'!PQ8:PS8,"B"))*3)+((COUNTIF('Elève (5ème2)'!PQ8:PS8,"C"))*2)+((COUNTIF('Elève (5ème2)'!PQ8:PS8,"D"))*1))/(COUNTA(PQ8:PS8)),"")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(5ème2)'!PV8:PX8,"A"))*4)+((COUNTIF('Elève (5ème2)'!PV8:PX8,"B"))*3)+((COUNTIF('Elève (5ème2)'!PV8:PX8,"C"))*2)+((COUNTIF('Elève (5ème2)'!PV8:PX8,"D"))*1))/(COUNTA(PV8:PX8)),"")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(5ème2)'!QC8:QE8,"A"))*4)+((COUNTIF('Elève (5ème2)'!QC8:QE8,"B"))*3)+((COUNTIF('Elève (5ème2)'!QC8:QE8,"C"))*2)+((COUNTIF('Elève (5ème2)'!QC8:QE8,"D"))*1))/(COUNTA(QC8:QE8)),"")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(5ème2)'!QH8:QJ8,"A"))*4)+((COUNTIF('Elève (5ème2)'!QH8:QJ8,"B"))*3)+((COUNTIF('Elève (5ème2)'!QH8:QJ8,"C"))*2)+((COUNTIF('Elève (5ème2)'!QH8:QJ8,"D"))*1))/(COUNTA(QH8:QJ8)),"")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(5ème2)'!QM8:QO8,"A"))*4)+((COUNTIF('Elève (5ème2)'!QM8:QO8,"B"))*3)+((COUNTIF('Elève (5ème2)'!QM8:QO8,"C"))*2)+((COUNTIF('Elève (5ème2)'!QM8:QO8,"D"))*1))/(COUNTA(QM8:QO8)),"")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(5ème2)'!QT8:QV8,"A"))*4)+((COUNTIF('Elève (5ème2)'!QT8:QV8,"B"))*3)+((COUNTIF('Elève (5ème2)'!QT8:QV8,"C"))*2)+((COUNTIF('Elève (5ème2)'!QT8:QV8,"D"))*1))/(COUNTA(QT8:QV8)),"")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(5ème2)'!QY8:RA8,"A"))*4)+((COUNTIF('Elève (5ème2)'!QY8:RA8,"B"))*3)+((COUNTIF('Elève (5ème2)'!QY8:RA8,"C"))*2)+((COUNTIF('Elève (5ème2)'!QY8:RA8,"D"))*1))/(COUNTA(QY8:RA8)),"")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(5ème2)'!RD8:RF8,"A"))*4)+((COUNTIF('Elève (5ème2)'!RD8:RF8,"B"))*3)+((COUNTIF('Elève (5ème2)'!RD8:RF8,"C"))*2)+((COUNTIF('Elève (5ème2)'!RD8:RF8,"D"))*1))/(COUNTA(RD8:RF8)),"")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(5ème2)'!RK8:RM8,"A"))*4)+((COUNTIF('Elève (5ème2)'!RK8:RM8,"B"))*3)+((COUNTIF('Elève (5ème2)'!RK8:RM8,"C"))*2)+((COUNTIF('Elève (5ème2)'!RK8:RM8,"D"))*1))/(COUNTA(RK8:RM8)),"")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(5ème2)'!RP8:RR8,"A"))*4)+((COUNTIF('Elève (5ème2)'!RP8:RR8,"B"))*3)+((COUNTIF('Elève (5ème2)'!RP8:RR8,"C"))*2)+((COUNTIF('Elève (5ème2)'!RP8:RR8,"D"))*1))/(COUNTA(RP8:RR8)),"")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(5ème2)'!RU8:RW8,"A"))*4)+((COUNTIF('Elève (5ème2)'!RU8:RW8,"B"))*3)+((COUNTIF('Elève (5ème2)'!RU8:RW8,"C"))*2)+((COUNTIF('Elève (5ème2)'!RU8:RW8,"D"))*1))/(COUNTA(RU8:RW8)),"")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(5ème2)'!SB8:SD8,"A"))*4)+((COUNTIF('Elève (5ème2)'!SB8:SD8,"B"))*3)+((COUNTIF('Elève (5ème2)'!SB8:SD8,"C"))*2)+((COUNTIF('Elève (5ème2)'!SB8:SD8,"D"))*1))/(COUNTA(SB8:SD8)),"")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(5ème2)'!SG8:SI8,"A"))*4)+((COUNTIF('Elève (5ème2)'!SG8:SI8,"B"))*3)+((COUNTIF('Elève (5ème2)'!SG8:SI8,"C"))*2)+((COUNTIF('Elève (5ème2)'!SG8:SI8,"D"))*1))/(COUNTA(SG8:SI8)),"")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(5ème2)'!SL8:SN8,"A"))*4)+((COUNTIF('Elève (5ème2)'!SL8:SN8,"B"))*3)+((COUNTIF('Elève (5ème2)'!SL8:SN8,"C"))*2)+((COUNTIF('Elève (5ème2)'!SL8:SN8,"D"))*1))/(COUNTA(SL8:SN8)),"")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25" t="s">
        <v>16</v>
      </c>
      <c r="B9" s="226"/>
      <c r="C9" s="159"/>
      <c r="D9" s="160"/>
      <c r="E9" s="161"/>
      <c r="F9" s="112" t="str">
        <f>IFERROR((((COUNTIF('Elève (5ème2)'!C9:E9,"A"))*4)+((COUNTIF('Elève (5ème2)'!C9:E9,"B"))*3)+((COUNTIF('Elève (5ème2)'!C9:E9,"C"))*2)+((COUNTIF('Elève (5ème2)'!C9:E9,"D"))*1))/(COUNTA(C9:E9)),"")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(5ème2)'!H9:J9,"A"))*4)+((COUNTIF('Elève (5ème2)'!H9:J9,"B"))*3)+((COUNTIF('Elève (5ème2)'!H9:J9,"C"))*2)+((COUNTIF('Elève (5ème2)'!H9:J9,"D"))*1))/(COUNTA(H9:J9)),"")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(5ème2)'!M9:O9,"A"))*4)+((COUNTIF('Elève (5ème2)'!M9:O9,"B"))*3)+((COUNTIF('Elève (5ème2)'!M9:O9,"C"))*2)+((COUNTIF('Elève (5ème2)'!M9:O9,"D"))*1))/(COUNTA(M9:O9)),"")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(5ème2)'!T9:V9,"A"))*4)+((COUNTIF('Elève (5ème2)'!T9:V9,"B"))*3)+((COUNTIF('Elève (5ème2)'!T9:V9,"C"))*2)+((COUNTIF('Elève (5ème2)'!T9:V9,"D"))*1))/(COUNTA(T9:V9)),"")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(5ème2)'!Y9:AA9,"A"))*4)+((COUNTIF('Elève (5ème2)'!Y9:AA9,"B"))*3)+((COUNTIF('Elève (5ème2)'!Y9:AA9,"C"))*2)+((COUNTIF('Elève (5ème2)'!Y9:AA9,"D"))*1))/(COUNTA(Y9:AA9)),"")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(5ème2)'!AD9:AF9,"A"))*4)+((COUNTIF('Elève (5ème2)'!AD9:AF9,"B"))*3)+((COUNTIF('Elève (5ème2)'!AD9:AF9,"C"))*2)+((COUNTIF('Elève (5ème2)'!AD9:AF9,"D"))*1))/(COUNTA(AD9:AF9)),"")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(5ème2)'!AK9:AM9,"A"))*4)+((COUNTIF('Elève (5ème2)'!AK9:AM9,"B"))*3)+((COUNTIF('Elève (5ème2)'!AK9:AM9,"C"))*2)+((COUNTIF('Elève (5ème2)'!AK9:AM9,"D"))*1))/(COUNTA(AK9:AM9)),"")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(5ème2)'!AP9:AR9,"A"))*4)+((COUNTIF('Elève (5ème2)'!AP9:AR9,"B"))*3)+((COUNTIF('Elève (5ème2)'!AP9:AR9,"C"))*2)+((COUNTIF('Elève (5ème2)'!AP9:AR9,"D"))*1))/(COUNTA(AP9:AR9)),"")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(5ème2)'!AU9:AW9,"A"))*4)+((COUNTIF('Elève (5ème2)'!AU9:AW9,"B"))*3)+((COUNTIF('Elève (5ème2)'!AU9:AW9,"C"))*2)+((COUNTIF('Elève (5ème2)'!AU9:AW9,"D"))*1))/(COUNTA(AU9:AW9)),"")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(5ème2)'!BB9:BD9,"A"))*4)+((COUNTIF('Elève (5ème2)'!BB9:BD9,"B"))*3)+((COUNTIF('Elève (5ème2)'!BB9:BD9,"C"))*2)+((COUNTIF('Elève (5ème2)'!BB9:BD9,"D"))*1))/(COUNTA(BB9:BD9)),"")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(5ème2)'!BG9:BI9,"A"))*4)+((COUNTIF('Elève (5ème2)'!BG9:BI9,"B"))*3)+((COUNTIF('Elève (5ème2)'!BG9:BI9,"C"))*2)+((COUNTIF('Elève (5ème2)'!BG9:BI9,"D"))*1))/(COUNTA(BG9:BI9)),"")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(5ème2)'!BL9:BN9,"A"))*4)+((COUNTIF('Elève (5ème2)'!BL9:BN9,"B"))*3)+((COUNTIF('Elève (5ème2)'!BL9:BN9,"C"))*2)+((COUNTIF('Elève (5ème2)'!BL9:BN9,"D"))*1))/(COUNTA(BL9:BN9)),"")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(5ème2)'!BS9:BU9,"A"))*4)+((COUNTIF('Elève (5ème2)'!BS9:BU9,"B"))*3)+((COUNTIF('Elève (5ème2)'!BS9:BU9,"C"))*2)+((COUNTIF('Elève (5ème2)'!BS9:BU9,"D"))*1))/(COUNTA(BS9:BU9)),"")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(5ème2)'!BX9:BZ9,"A"))*4)+((COUNTIF('Elève (5ème2)'!BX9:BZ9,"B"))*3)+((COUNTIF('Elève (5ème2)'!BX9:BZ9,"C"))*2)+((COUNTIF('Elève (5ème2)'!BX9:BZ9,"D"))*1))/(COUNTA(BX9:BZ9)),"")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(5ème2)'!CC9:CE9,"A"))*4)+((COUNTIF('Elève (5ème2)'!CC9:CE9,"B"))*3)+((COUNTIF('Elève (5ème2)'!CC9:CE9,"C"))*2)+((COUNTIF('Elève (5ème2)'!CC9:CE9,"D"))*1))/(COUNTA(CC9:CE9)),"")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(5ème2)'!CJ9:CL9,"A"))*4)+((COUNTIF('Elève (5ème2)'!CJ9:CL9,"B"))*3)+((COUNTIF('Elève (5ème2)'!CJ9:CL9,"C"))*2)+((COUNTIF('Elève (5ème2)'!CJ9:CL9,"D"))*1))/(COUNTA(CJ9:CL9)),"")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(5ème2)'!CO9:CQ9,"A"))*4)+((COUNTIF('Elève (5ème2)'!CO9:CQ9,"B"))*3)+((COUNTIF('Elève (5ème2)'!CO9:CQ9,"C"))*2)+((COUNTIF('Elève (5ème2)'!CO9:CQ9,"D"))*1))/(COUNTA(CO9:CQ9)),"")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(5ème2)'!CT9:CV9,"A"))*4)+((COUNTIF('Elève (5ème2)'!CT9:CV9,"B"))*3)+((COUNTIF('Elève (5ème2)'!CT9:CV9,"C"))*2)+((COUNTIF('Elève (5ème2)'!CT9:CV9,"D"))*1))/(COUNTA(CT9:CV9)),"")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(5ème2)'!DA9:DC9,"A"))*4)+((COUNTIF('Elève (5ème2)'!DA9:DC9,"B"))*3)+((COUNTIF('Elève (5ème2)'!DA9:DC9,"C"))*2)+((COUNTIF('Elève (5ème2)'!DA9:DC9,"D"))*1))/(COUNTA(DA9:DC9)),"")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(5ème2)'!DF9:DH9,"A"))*4)+((COUNTIF('Elève (5ème2)'!DF9:DH9,"B"))*3)+((COUNTIF('Elève (5ème2)'!DF9:DH9,"C"))*2)+((COUNTIF('Elève (5ème2)'!DF9:DH9,"D"))*1))/(COUNTA(DF9:DH9)),"")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(5ème2)'!DK9:DM9,"A"))*4)+((COUNTIF('Elève (5ème2)'!DK9:DM9,"B"))*3)+((COUNTIF('Elève (5ème2)'!DK9:DM9,"C"))*2)+((COUNTIF('Elève (5ème2)'!DK9:DM9,"D"))*1))/(COUNTA(DK9:DM9)),"")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(5ème2)'!DR9:DT9,"A"))*4)+((COUNTIF('Elève (5ème2)'!DR9:DT9,"B"))*3)+((COUNTIF('Elève (5ème2)'!DR9:DT9,"C"))*2)+((COUNTIF('Elève (5ème2)'!DR9:DT9,"D"))*1))/(COUNTA(DR9:DT9)),"")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(5ème2)'!DW9:DY9,"A"))*4)+((COUNTIF('Elève (5ème2)'!DW9:DY9,"B"))*3)+((COUNTIF('Elève (5ème2)'!DW9:DY9,"C"))*2)+((COUNTIF('Elève (5ème2)'!DW9:DY9,"D"))*1))/(COUNTA(DW9:DY9)),"")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(5ème2)'!EB9:ED9,"A"))*4)+((COUNTIF('Elève (5ème2)'!EB9:ED9,"B"))*3)+((COUNTIF('Elève (5ème2)'!EB9:ED9,"C"))*2)+((COUNTIF('Elève (5ème2)'!EB9:ED9,"D"))*1))/(COUNTA(EB9:ED9)),"")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(5ème2)'!EI9:EK9,"A"))*4)+((COUNTIF('Elève (5ème2)'!EI9:EK9,"B"))*3)+((COUNTIF('Elève (5ème2)'!EI9:EK9,"C"))*2)+((COUNTIF('Elève (5ème2)'!EI9:EK9,"D"))*1))/(COUNTA(EI9:EK9)),"")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(5ème2)'!EN9:EP9,"A"))*4)+((COUNTIF('Elève (5ème2)'!EN9:EP9,"B"))*3)+((COUNTIF('Elève (5ème2)'!EN9:EP9,"C"))*2)+((COUNTIF('Elève (5ème2)'!EN9:EP9,"D"))*1))/(COUNTA(EN9:EP9)),"")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(5ème2)'!ES9:EU9,"A"))*4)+((COUNTIF('Elève (5ème2)'!ES9:EU9,"B"))*3)+((COUNTIF('Elève (5ème2)'!ES9:EU9,"C"))*2)+((COUNTIF('Elève (5ème2)'!ES9:EU9,"D"))*1))/(COUNTA(ES9:EU9)),"")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(5ème2)'!EZ9:FB9,"A"))*4)+((COUNTIF('Elève (5ème2)'!EZ9:FB9,"B"))*3)+((COUNTIF('Elève (5ème2)'!EZ9:FB9,"C"))*2)+((COUNTIF('Elève (5ème2)'!EZ9:FB9,"D"))*1))/(COUNTA(EZ9:FB9)),"")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(5ème2)'!FE9:FG9,"A"))*4)+((COUNTIF('Elève (5ème2)'!FE9:FG9,"B"))*3)+((COUNTIF('Elève (5ème2)'!FE9:FG9,"C"))*2)+((COUNTIF('Elève (5ème2)'!FE9:FG9,"D"))*1))/(COUNTA(FE9:FG9)),"")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(5ème2)'!FJ9:FL9,"A"))*4)+((COUNTIF('Elève (5ème2)'!FJ9:FL9,"B"))*3)+((COUNTIF('Elève (5ème2)'!FJ9:FL9,"C"))*2)+((COUNTIF('Elève (5ème2)'!FJ9:FL9,"D"))*1))/(COUNTA(FJ9:FL9)),"")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(5ème2)'!FQ9:FS9,"A"))*4)+((COUNTIF('Elève (5ème2)'!FQ9:FS9,"B"))*3)+((COUNTIF('Elève (5ème2)'!FQ9:FS9,"C"))*2)+((COUNTIF('Elève (5ème2)'!FQ9:FS9,"D"))*1))/(COUNTA(FQ9:FS9)),"")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(5ème2)'!FV9:FX9,"A"))*4)+((COUNTIF('Elève (5ème2)'!FV9:FX9,"B"))*3)+((COUNTIF('Elève (5ème2)'!FV9:FX9,"C"))*2)+((COUNTIF('Elève (5ème2)'!FV9:FX9,"D"))*1))/(COUNTA(FV9:FX9)),"")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(5ème2)'!GA9:GC9,"A"))*4)+((COUNTIF('Elève (5ème2)'!GA9:GC9,"B"))*3)+((COUNTIF('Elève (5ème2)'!GA9:GC9,"C"))*2)+((COUNTIF('Elève (5ème2)'!GA9:GC9,"D"))*1))/(COUNTA(GA9:GC9)),"")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(5ème2)'!GH9:GJ9,"A"))*4)+((COUNTIF('Elève (5ème2)'!GH9:GJ9,"B"))*3)+((COUNTIF('Elève (5ème2)'!GH9:GJ9,"C"))*2)+((COUNTIF('Elève (5ème2)'!GH9:GJ9,"D"))*1))/(COUNTA(GH9:GJ9)),"")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(5ème2)'!GM9:GO9,"A"))*4)+((COUNTIF('Elève (5ème2)'!GM9:GO9,"B"))*3)+((COUNTIF('Elève (5ème2)'!GM9:GO9,"C"))*2)+((COUNTIF('Elève (5ème2)'!GM9:GO9,"D"))*1))/(COUNTA(GM9:GO9)),"")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(5ème2)'!GR9:GT9,"A"))*4)+((COUNTIF('Elève (5ème2)'!GR9:GT9,"B"))*3)+((COUNTIF('Elève (5ème2)'!GR9:GT9,"C"))*2)+((COUNTIF('Elève (5ème2)'!GR9:GT9,"D"))*1))/(COUNTA(GR9:GT9)),"")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(5ème2)'!GY9:HA9,"A"))*4)+((COUNTIF('Elève (5ème2)'!GY9:HA9,"B"))*3)+((COUNTIF('Elève (5ème2)'!GY9:HA9,"C"))*2)+((COUNTIF('Elève (5ème2)'!GY9:HA9,"D"))*1))/(COUNTA(GY9:HA9)),"")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(5ème2)'!HD9:HF9,"A"))*4)+((COUNTIF('Elève (5ème2)'!HD9:HF9,"B"))*3)+((COUNTIF('Elève (5ème2)'!HD9:HF9,"C"))*2)+((COUNTIF('Elève (5ème2)'!HD9:HF9,"D"))*1))/(COUNTA(HD9:HF9)),"")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(5ème2)'!HI9:HK9,"A"))*4)+((COUNTIF('Elève (5ème2)'!HI9:HK9,"B"))*3)+((COUNTIF('Elève (5ème2)'!HI9:HK9,"C"))*2)+((COUNTIF('Elève (5ème2)'!HI9:HK9,"D"))*1))/(COUNTA(HI9:HK9)),"")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(5ème2)'!HP9:HR9,"A"))*4)+((COUNTIF('Elève (5ème2)'!HP9:HR9,"B"))*3)+((COUNTIF('Elève (5ème2)'!HP9:HR9,"C"))*2)+((COUNTIF('Elève (5ème2)'!HP9:HR9,"D"))*1))/(COUNTA(HP9:HR9)),"")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(5ème2)'!HU9:HW9,"A"))*4)+((COUNTIF('Elève (5ème2)'!HU9:HW9,"B"))*3)+((COUNTIF('Elève (5ème2)'!HU9:HW9,"C"))*2)+((COUNTIF('Elève (5ème2)'!HU9:HW9,"D"))*1))/(COUNTA(HU9:HW9)),"")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(5ème2)'!HZ9:IB9,"A"))*4)+((COUNTIF('Elève (5ème2)'!HZ9:IB9,"B"))*3)+((COUNTIF('Elève (5ème2)'!HZ9:IB9,"C"))*2)+((COUNTIF('Elève (5ème2)'!HZ9:IB9,"D"))*1))/(COUNTA(HZ9:IB9)),"")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(5ème2)'!IG9:II9,"A"))*4)+((COUNTIF('Elève (5ème2)'!IG9:II9,"B"))*3)+((COUNTIF('Elève (5ème2)'!IG9:II9,"C"))*2)+((COUNTIF('Elève (5ème2)'!IG9:II9,"D"))*1))/(COUNTA(IG9:II9)),"")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(5ème2)'!IL9:IN9,"A"))*4)+((COUNTIF('Elève (5ème2)'!IL9:IN9,"B"))*3)+((COUNTIF('Elève (5ème2)'!IL9:IN9,"C"))*2)+((COUNTIF('Elève (5ème2)'!IL9:IN9,"D"))*1))/(COUNTA(IL9:IN9)),"")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(5ème2)'!IQ9:IS9,"A"))*4)+((COUNTIF('Elève (5ème2)'!IQ9:IS9,"B"))*3)+((COUNTIF('Elève (5ème2)'!IQ9:IS9,"C"))*2)+((COUNTIF('Elève (5ème2)'!IQ9:IS9,"D"))*1))/(COUNTA(IQ9:IS9)),"")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(5ème2)'!IX9:IZ9,"A"))*4)+((COUNTIF('Elève (5ème2)'!IX9:IZ9,"B"))*3)+((COUNTIF('Elève (5ème2)'!IX9:IZ9,"C"))*2)+((COUNTIF('Elève (5ème2)'!IX9:IZ9,"D"))*1))/(COUNTA(IX9:IZ9)),"")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(5ème2)'!JC9:JE9,"A"))*4)+((COUNTIF('Elève (5ème2)'!JC9:JE9,"B"))*3)+((COUNTIF('Elève (5ème2)'!JC9:JE9,"C"))*2)+((COUNTIF('Elève (5ème2)'!JC9:JE9,"D"))*1))/(COUNTA(JC9:JE9)),"")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(5ème2)'!JH9:JJ9,"A"))*4)+((COUNTIF('Elève (5ème2)'!JH9:JJ9,"B"))*3)+((COUNTIF('Elève (5ème2)'!JH9:JJ9,"C"))*2)+((COUNTIF('Elève (5ème2)'!JH9:JJ9,"D"))*1))/(COUNTA(JH9:JJ9)),"")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(5ème2)'!JO9:JQ9,"A"))*4)+((COUNTIF('Elève (5ème2)'!JO9:JQ9,"B"))*3)+((COUNTIF('Elève (5ème2)'!JO9:JQ9,"C"))*2)+((COUNTIF('Elève (5ème2)'!JO9:JQ9,"D"))*1))/(COUNTA(JO9:JQ9)),"")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(5ème2)'!JT9:JV9,"A"))*4)+((COUNTIF('Elève (5ème2)'!JT9:JV9,"B"))*3)+((COUNTIF('Elève (5ème2)'!JT9:JV9,"C"))*2)+((COUNTIF('Elève (5ème2)'!JT9:JV9,"D"))*1))/(COUNTA(JT9:JV9)),"")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(5ème2)'!JY9:KA9,"A"))*4)+((COUNTIF('Elève (5ème2)'!JY9:KA9,"B"))*3)+((COUNTIF('Elève (5ème2)'!JY9:KA9,"C"))*2)+((COUNTIF('Elève (5ème2)'!JY9:KA9,"D"))*1))/(COUNTA(JY9:KA9)),"")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(5ème2)'!KF9:KH9,"A"))*4)+((COUNTIF('Elève (5ème2)'!KF9:KH9,"B"))*3)+((COUNTIF('Elève (5ème2)'!KF9:KH9,"C"))*2)+((COUNTIF('Elève (5ème2)'!KF9:KH9,"D"))*1))/(COUNTA(KF9:KH9)),"")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(5ème2)'!KK9:KM9,"A"))*4)+((COUNTIF('Elève (5ème2)'!KK9:KM9,"B"))*3)+((COUNTIF('Elève (5ème2)'!KK9:KM9,"C"))*2)+((COUNTIF('Elève (5ème2)'!KK9:KM9,"D"))*1))/(COUNTA(KK9:KM9)),"")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(5ème2)'!KP9:KR9,"A"))*4)+((COUNTIF('Elève (5ème2)'!KP9:KR9,"B"))*3)+((COUNTIF('Elève (5ème2)'!KP9:KR9,"C"))*2)+((COUNTIF('Elève (5ème2)'!KP9:KR9,"D"))*1))/(COUNTA(KP9:KR9)),"")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(5ème2)'!KW9:KY9,"A"))*4)+((COUNTIF('Elève (5ème2)'!KW9:KY9,"B"))*3)+((COUNTIF('Elève (5ème2)'!KW9:KY9,"C"))*2)+((COUNTIF('Elève (5ème2)'!KW9:KY9,"D"))*1))/(COUNTA(KW9:KY9)),"")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(5ème2)'!LB9:LD9,"A"))*4)+((COUNTIF('Elève (5ème2)'!LB9:LD9,"B"))*3)+((COUNTIF('Elève (5ème2)'!LB9:LD9,"C"))*2)+((COUNTIF('Elève (5ème2)'!LB9:LD9,"D"))*1))/(COUNTA(LB9:LD9)),"")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(5ème2)'!LG9:LI9,"A"))*4)+((COUNTIF('Elève (5ème2)'!LG9:LI9,"B"))*3)+((COUNTIF('Elève (5ème2)'!LG9:LI9,"C"))*2)+((COUNTIF('Elève (5ème2)'!LG9:LI9,"D"))*1))/(COUNTA(LG9:LI9)),"")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(5ème2)'!LN9:LP9,"A"))*4)+((COUNTIF('Elève (5ème2)'!LN9:LP9,"B"))*3)+((COUNTIF('Elève (5ème2)'!LN9:LP9,"C"))*2)+((COUNTIF('Elève (5ème2)'!LN9:LP9,"D"))*1))/(COUNTA(LN9:LP9)),"")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(5ème2)'!LS9:LU9,"A"))*4)+((COUNTIF('Elève (5ème2)'!LS9:LU9,"B"))*3)+((COUNTIF('Elève (5ème2)'!LS9:LU9,"C"))*2)+((COUNTIF('Elève (5ème2)'!LS9:LU9,"D"))*1))/(COUNTA(LS9:LU9)),"")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(5ème2)'!LX9:LZ9,"A"))*4)+((COUNTIF('Elève (5ème2)'!LX9:LZ9,"B"))*3)+((COUNTIF('Elève (5ème2)'!LX9:LZ9,"C"))*2)+((COUNTIF('Elève (5ème2)'!LX9:LZ9,"D"))*1))/(COUNTA(LX9:LZ9)),"")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(5ème2)'!ME9:MG9,"A"))*4)+((COUNTIF('Elève (5ème2)'!ME9:MG9,"B"))*3)+((COUNTIF('Elève (5ème2)'!ME9:MG9,"C"))*2)+((COUNTIF('Elève (5ème2)'!ME9:MG9,"D"))*1))/(COUNTA(ME9:MG9)),"")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(5ème2)'!MJ9:ML9,"A"))*4)+((COUNTIF('Elève (5ème2)'!MJ9:ML9,"B"))*3)+((COUNTIF('Elève (5ème2)'!MJ9:ML9,"C"))*2)+((COUNTIF('Elève (5ème2)'!MJ9:ML9,"D"))*1))/(COUNTA(MJ9:ML9)),"")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(5ème2)'!MO9:MQ9,"A"))*4)+((COUNTIF('Elève (5ème2)'!MO9:MQ9,"B"))*3)+((COUNTIF('Elève (5ème2)'!MO9:MQ9,"C"))*2)+((COUNTIF('Elève (5ème2)'!MO9:MQ9,"D"))*1))/(COUNTA(MO9:MQ9)),"")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(5ème2)'!MV9:MX9,"A"))*4)+((COUNTIF('Elève (5ème2)'!MV9:MX9,"B"))*3)+((COUNTIF('Elève (5ème2)'!MV9:MX9,"C"))*2)+((COUNTIF('Elève (5ème2)'!MV9:MX9,"D"))*1))/(COUNTA(MV9:MX9)),"")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(5ème2)'!NA9:NC9,"A"))*4)+((COUNTIF('Elève (5ème2)'!NA9:NC9,"B"))*3)+((COUNTIF('Elève (5ème2)'!NA9:NC9,"C"))*2)+((COUNTIF('Elève (5ème2)'!NA9:NC9,"D"))*1))/(COUNTA(NA9:NC9)),"")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(5ème2)'!NF9:NH9,"A"))*4)+((COUNTIF('Elève (5ème2)'!NF9:NH9,"B"))*3)+((COUNTIF('Elève (5ème2)'!NF9:NH9,"C"))*2)+((COUNTIF('Elève (5ème2)'!NF9:NH9,"D"))*1))/(COUNTA(NF9:NH9)),"")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(5ème2)'!NM9:NO9,"A"))*4)+((COUNTIF('Elève (5ème2)'!NM9:NO9,"B"))*3)+((COUNTIF('Elève (5ème2)'!NM9:NO9,"C"))*2)+((COUNTIF('Elève (5ème2)'!NM9:NO9,"D"))*1))/(COUNTA(NM9:NO9)),"")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(5ème2)'!NR9:NT9,"A"))*4)+((COUNTIF('Elève (5ème2)'!NR9:NT9,"B"))*3)+((COUNTIF('Elève (5ème2)'!NR9:NT9,"C"))*2)+((COUNTIF('Elève (5ème2)'!NR9:NT9,"D"))*1))/(COUNTA(NR9:NT9)),"")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(5ème2)'!NW9:NY9,"A"))*4)+((COUNTIF('Elève (5ème2)'!NW9:NY9,"B"))*3)+((COUNTIF('Elève (5ème2)'!NW9:NY9,"C"))*2)+((COUNTIF('Elève (5ème2)'!NW9:NY9,"D"))*1))/(COUNTA(NW9:NY9)),"")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(5ème2)'!OD9:OF9,"A"))*4)+((COUNTIF('Elève (5ème2)'!OD9:OF9,"B"))*3)+((COUNTIF('Elève (5ème2)'!OD9:OF9,"C"))*2)+((COUNTIF('Elève (5ème2)'!OD9:OF9,"D"))*1))/(COUNTA(OD9:OF9)),"")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(5ème2)'!OI9:OK9,"A"))*4)+((COUNTIF('Elève (5ème2)'!OI9:OK9,"B"))*3)+((COUNTIF('Elève (5ème2)'!OI9:OK9,"C"))*2)+((COUNTIF('Elève (5ème2)'!OI9:OK9,"D"))*1))/(COUNTA(OI9:OK9)),"")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(5ème2)'!ON9:OP9,"A"))*4)+((COUNTIF('Elève (5ème2)'!ON9:OP9,"B"))*3)+((COUNTIF('Elève (5ème2)'!ON9:OP9,"C"))*2)+((COUNTIF('Elève (5ème2)'!ON9:OP9,"D"))*1))/(COUNTA(ON9:OP9)),"")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(5ème2)'!OU9:OW9,"A"))*4)+((COUNTIF('Elève (5ème2)'!OU9:OW9,"B"))*3)+((COUNTIF('Elève (5ème2)'!OU9:OW9,"C"))*2)+((COUNTIF('Elève (5ème2)'!OU9:OW9,"D"))*1))/(COUNTA(OU9:OW9)),"")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(5ème2)'!OZ9:PB9,"A"))*4)+((COUNTIF('Elève (5ème2)'!OZ9:PB9,"B"))*3)+((COUNTIF('Elève (5ème2)'!OZ9:PB9,"C"))*2)+((COUNTIF('Elève (5ème2)'!OZ9:PB9,"D"))*1))/(COUNTA(OZ9:PB9)),"")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(5ème2)'!PE9:PG9,"A"))*4)+((COUNTIF('Elève (5ème2)'!PE9:PG9,"B"))*3)+((COUNTIF('Elève (5ème2)'!PE9:PG9,"C"))*2)+((COUNTIF('Elève (5ème2)'!PE9:PG9,"D"))*1))/(COUNTA(PE9:PG9)),"")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(5ème2)'!PL9:PN9,"A"))*4)+((COUNTIF('Elève (5ème2)'!PL9:PN9,"B"))*3)+((COUNTIF('Elève (5ème2)'!PL9:PN9,"C"))*2)+((COUNTIF('Elève (5ème2)'!PL9:PN9,"D"))*1))/(COUNTA(PL9:PN9)),"")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(5ème2)'!PQ9:PS9,"A"))*4)+((COUNTIF('Elève (5ème2)'!PQ9:PS9,"B"))*3)+((COUNTIF('Elève (5ème2)'!PQ9:PS9,"C"))*2)+((COUNTIF('Elève (5ème2)'!PQ9:PS9,"D"))*1))/(COUNTA(PQ9:PS9)),"")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(5ème2)'!PV9:PX9,"A"))*4)+((COUNTIF('Elève (5ème2)'!PV9:PX9,"B"))*3)+((COUNTIF('Elève (5ème2)'!PV9:PX9,"C"))*2)+((COUNTIF('Elève (5ème2)'!PV9:PX9,"D"))*1))/(COUNTA(PV9:PX9)),"")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(5ème2)'!QC9:QE9,"A"))*4)+((COUNTIF('Elève (5ème2)'!QC9:QE9,"B"))*3)+((COUNTIF('Elève (5ème2)'!QC9:QE9,"C"))*2)+((COUNTIF('Elève (5ème2)'!QC9:QE9,"D"))*1))/(COUNTA(QC9:QE9)),"")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(5ème2)'!QH9:QJ9,"A"))*4)+((COUNTIF('Elève (5ème2)'!QH9:QJ9,"B"))*3)+((COUNTIF('Elève (5ème2)'!QH9:QJ9,"C"))*2)+((COUNTIF('Elève (5ème2)'!QH9:QJ9,"D"))*1))/(COUNTA(QH9:QJ9)),"")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(5ème2)'!QM9:QO9,"A"))*4)+((COUNTIF('Elève (5ème2)'!QM9:QO9,"B"))*3)+((COUNTIF('Elève (5ème2)'!QM9:QO9,"C"))*2)+((COUNTIF('Elève (5ème2)'!QM9:QO9,"D"))*1))/(COUNTA(QM9:QO9)),"")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(5ème2)'!QT9:QV9,"A"))*4)+((COUNTIF('Elève (5ème2)'!QT9:QV9,"B"))*3)+((COUNTIF('Elève (5ème2)'!QT9:QV9,"C"))*2)+((COUNTIF('Elève (5ème2)'!QT9:QV9,"D"))*1))/(COUNTA(QT9:QV9)),"")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(5ème2)'!QY9:RA9,"A"))*4)+((COUNTIF('Elève (5ème2)'!QY9:RA9,"B"))*3)+((COUNTIF('Elève (5ème2)'!QY9:RA9,"C"))*2)+((COUNTIF('Elève (5ème2)'!QY9:RA9,"D"))*1))/(COUNTA(QY9:RA9)),"")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(5ème2)'!RD9:RF9,"A"))*4)+((COUNTIF('Elève (5ème2)'!RD9:RF9,"B"))*3)+((COUNTIF('Elève (5ème2)'!RD9:RF9,"C"))*2)+((COUNTIF('Elève (5ème2)'!RD9:RF9,"D"))*1))/(COUNTA(RD9:RF9)),"")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(5ème2)'!RK9:RM9,"A"))*4)+((COUNTIF('Elève (5ème2)'!RK9:RM9,"B"))*3)+((COUNTIF('Elève (5ème2)'!RK9:RM9,"C"))*2)+((COUNTIF('Elève (5ème2)'!RK9:RM9,"D"))*1))/(COUNTA(RK9:RM9)),"")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(5ème2)'!RP9:RR9,"A"))*4)+((COUNTIF('Elève (5ème2)'!RP9:RR9,"B"))*3)+((COUNTIF('Elève (5ème2)'!RP9:RR9,"C"))*2)+((COUNTIF('Elève (5ème2)'!RP9:RR9,"D"))*1))/(COUNTA(RP9:RR9)),"")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(5ème2)'!RU9:RW9,"A"))*4)+((COUNTIF('Elève (5ème2)'!RU9:RW9,"B"))*3)+((COUNTIF('Elève (5ème2)'!RU9:RW9,"C"))*2)+((COUNTIF('Elève (5ème2)'!RU9:RW9,"D"))*1))/(COUNTA(RU9:RW9)),"")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(5ème2)'!SB9:SD9,"A"))*4)+((COUNTIF('Elève (5ème2)'!SB9:SD9,"B"))*3)+((COUNTIF('Elève (5ème2)'!SB9:SD9,"C"))*2)+((COUNTIF('Elève (5ème2)'!SB9:SD9,"D"))*1))/(COUNTA(SB9:SD9)),"")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(5ème2)'!SG9:SI9,"A"))*4)+((COUNTIF('Elève (5ème2)'!SG9:SI9,"B"))*3)+((COUNTIF('Elève (5ème2)'!SG9:SI9,"C"))*2)+((COUNTIF('Elève (5ème2)'!SG9:SI9,"D"))*1))/(COUNTA(SG9:SI9)),"")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(5ème2)'!SL9:SN9,"A"))*4)+((COUNTIF('Elève (5ème2)'!SL9:SN9,"B"))*3)+((COUNTIF('Elève (5ème2)'!SL9:SN9,"C"))*2)+((COUNTIF('Elève (5ème2)'!SL9:SN9,"D"))*1))/(COUNTA(SL9:SN9)),"")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(5ème2)'!C11:E12,"A"))*4)+((COUNTIF('Elève (5ème2)'!C11:E12,"B"))*3)+((COUNTIF('Elève (5ème2)'!C11:E12,"C"))*2)+((COUNTIF('Elève (5ème2)'!C11:E12,"D"))*1))/(COUNTA(C11:E12)),"")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(5ème2)'!H11:J12,"A"))*4)+((COUNTIF('Elève (5ème2)'!H11:J12,"B"))*3)+((COUNTIF('Elève (5ème2)'!H11:J12,"C"))*2)+((COUNTIF('Elève (5ème2)'!H11:J12,"D"))*1))/(COUNTA(H11:J12)),"")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(5ème2)'!M11:O12,"A"))*4)+((COUNTIF('Elève (5ème2)'!M11:O12,"B"))*3)+((COUNTIF('Elève (5ème2)'!M11:O12,"C"))*2)+((COUNTIF('Elève (5ème2)'!M11:O12,"D"))*1))/(COUNTA(M11:O12)),"")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(5ème2)'!T11:V12,"A"))*4)+((COUNTIF('Elève (5ème2)'!T11:V12,"B"))*3)+((COUNTIF('Elève (5ème2)'!T11:V12,"C"))*2)+((COUNTIF('Elève (5ème2)'!T11:V12,"D"))*1))/(COUNTA(T11:V12)),"")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(5ème2)'!Y11:AA12,"A"))*4)+((COUNTIF('Elève (5ème2)'!Y11:AA12,"B"))*3)+((COUNTIF('Elève (5ème2)'!Y11:AA12,"C"))*2)+((COUNTIF('Elève (5ème2)'!Y11:AA12,"D"))*1))/(COUNTA(Y11:AA12)),"")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(5ème2)'!AD11:AF12,"A"))*4)+((COUNTIF('Elève (5ème2)'!AD11:AF12,"B"))*3)+((COUNTIF('Elève (5ème2)'!AD11:AF12,"C"))*2)+((COUNTIF('Elève (5ème2)'!AD11:AF12,"D"))*1))/(COUNTA(AD11:AF12)),"")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(5ème2)'!AK11:AM12,"A"))*4)+((COUNTIF('Elève (5ème2)'!AK11:AM12,"B"))*3)+((COUNTIF('Elève (5ème2)'!AK11:AM12,"C"))*2)+((COUNTIF('Elève (5ème2)'!AK11:AM12,"D"))*1))/(COUNTA(AK11:AM12)),"")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(5ème2)'!AP11:AR12,"A"))*4)+((COUNTIF('Elève (5ème2)'!AP11:AR12,"B"))*3)+((COUNTIF('Elève (5ème2)'!AP11:AR12,"C"))*2)+((COUNTIF('Elève (5ème2)'!AP11:AR12,"D"))*1))/(COUNTA(AP11:AR12)),"")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(5ème2)'!AU11:AW12,"A"))*4)+((COUNTIF('Elève (5ème2)'!AU11:AW12,"B"))*3)+((COUNTIF('Elève (5ème2)'!AU11:AW12,"C"))*2)+((COUNTIF('Elève (5ème2)'!AU11:AW12,"D"))*1))/(COUNTA(AU11:AW12)),"")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(5ème2)'!BB11:BD12,"A"))*4)+((COUNTIF('Elève (5ème2)'!BB11:BD12,"B"))*3)+((COUNTIF('Elève (5ème2)'!BB11:BD12,"C"))*2)+((COUNTIF('Elève (5ème2)'!BB11:BD12,"D"))*1))/(COUNTA(BB11:BD12)),"")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(5ème2)'!BG11:BI12,"A"))*4)+((COUNTIF('Elève (5ème2)'!BG11:BI12,"B"))*3)+((COUNTIF('Elève (5ème2)'!BG11:BI12,"C"))*2)+((COUNTIF('Elève (5ème2)'!BG11:BI12,"D"))*1))/(COUNTA(BG11:BI12)),"")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(5ème2)'!BL11:BN12,"A"))*4)+((COUNTIF('Elève (5ème2)'!BL11:BN12,"B"))*3)+((COUNTIF('Elève (5ème2)'!BL11:BN12,"C"))*2)+((COUNTIF('Elève (5ème2)'!BL11:BN12,"D"))*1))/(COUNTA(BL11:BN12)),"")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(5ème2)'!BS11:BU12,"A"))*4)+((COUNTIF('Elève (5ème2)'!BS11:BU12,"B"))*3)+((COUNTIF('Elève (5ème2)'!BS11:BU12,"C"))*2)+((COUNTIF('Elève (5ème2)'!BS11:BU12,"D"))*1))/(COUNTA(BS11:BU12)),"")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(5ème2)'!BX11:BZ12,"A"))*4)+((COUNTIF('Elève (5ème2)'!BX11:BZ12,"B"))*3)+((COUNTIF('Elève (5ème2)'!BX11:BZ12,"C"))*2)+((COUNTIF('Elève (5ème2)'!BX11:BZ12,"D"))*1))/(COUNTA(BX11:BZ12)),"")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(5ème2)'!CC11:CE12,"A"))*4)+((COUNTIF('Elève (5ème2)'!CC11:CE12,"B"))*3)+((COUNTIF('Elève (5ème2)'!CC11:CE12,"C"))*2)+((COUNTIF('Elève (5ème2)'!CC11:CE12,"D"))*1))/(COUNTA(CC11:CE12)),"")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(5ème2)'!CJ11:CL12,"A"))*4)+((COUNTIF('Elève (5ème2)'!CJ11:CL12,"B"))*3)+((COUNTIF('Elève (5ème2)'!CJ11:CL12,"C"))*2)+((COUNTIF('Elève (5ème2)'!CJ11:CL12,"D"))*1))/(COUNTA(CJ11:CL12)),"")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(5ème2)'!CO11:CQ12,"A"))*4)+((COUNTIF('Elève (5ème2)'!CO11:CQ12,"B"))*3)+((COUNTIF('Elève (5ème2)'!CO11:CQ12,"C"))*2)+((COUNTIF('Elève (5ème2)'!CO11:CQ12,"D"))*1))/(COUNTA(CO11:CQ12)),"")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(5ème2)'!CT11:CV12,"A"))*4)+((COUNTIF('Elève (5ème2)'!CT11:CV12,"B"))*3)+((COUNTIF('Elève (5ème2)'!CT11:CV12,"C"))*2)+((COUNTIF('Elève (5ème2)'!CT11:CV12,"D"))*1))/(COUNTA(CT11:CV12)),"")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(5ème2)'!DA11:DC12,"A"))*4)+((COUNTIF('Elève (5ème2)'!DA11:DC12,"B"))*3)+((COUNTIF('Elève (5ème2)'!DA11:DC12,"C"))*2)+((COUNTIF('Elève (5ème2)'!DA11:DC12,"D"))*1))/(COUNTA(DA11:DC12)),"")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(5ème2)'!DF11:DH12,"A"))*4)+((COUNTIF('Elève (5ème2)'!DF11:DH12,"B"))*3)+((COUNTIF('Elève (5ème2)'!DF11:DH12,"C"))*2)+((COUNTIF('Elève (5ème2)'!DF11:DH12,"D"))*1))/(COUNTA(DF11:DH12)),"")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(5ème2)'!DK11:DM12,"A"))*4)+((COUNTIF('Elève (5ème2)'!DK11:DM12,"B"))*3)+((COUNTIF('Elève (5ème2)'!DK11:DM12,"C"))*2)+((COUNTIF('Elève (5ème2)'!DK11:DM12,"D"))*1))/(COUNTA(DK11:DM12)),"")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(5ème2)'!DR11:DT12,"A"))*4)+((COUNTIF('Elève (5ème2)'!DR11:DT12,"B"))*3)+((COUNTIF('Elève (5ème2)'!DR11:DT12,"C"))*2)+((COUNTIF('Elève (5ème2)'!DR11:DT12,"D"))*1))/(COUNTA(DR11:DT12)),"")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(5ème2)'!DW11:DY12,"A"))*4)+((COUNTIF('Elève (5ème2)'!DW11:DY12,"B"))*3)+((COUNTIF('Elève (5ème2)'!DW11:DY12,"C"))*2)+((COUNTIF('Elève (5ème2)'!DW11:DY12,"D"))*1))/(COUNTA(DW11:DY12)),"")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(5ème2)'!EB11:ED12,"A"))*4)+((COUNTIF('Elève (5ème2)'!EB11:ED12,"B"))*3)+((COUNTIF('Elève (5ème2)'!EB11:ED12,"C"))*2)+((COUNTIF('Elève (5ème2)'!EB11:ED12,"D"))*1))/(COUNTA(EB11:ED12)),"")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(5ème2)'!EI11:EK12,"A"))*4)+((COUNTIF('Elève (5ème2)'!EI11:EK12,"B"))*3)+((COUNTIF('Elève (5ème2)'!EI11:EK12,"C"))*2)+((COUNTIF('Elève (5ème2)'!EI11:EK12,"D"))*1))/(COUNTA(EI11:EK12)),"")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(5ème2)'!EN11:EP12,"A"))*4)+((COUNTIF('Elève (5ème2)'!EN11:EP12,"B"))*3)+((COUNTIF('Elève (5ème2)'!EN11:EP12,"C"))*2)+((COUNTIF('Elève (5ème2)'!EN11:EP12,"D"))*1))/(COUNTA(EN11:EP12)),"")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(5ème2)'!ES11:EU12,"A"))*4)+((COUNTIF('Elève (5ème2)'!ES11:EU12,"B"))*3)+((COUNTIF('Elève (5ème2)'!ES11:EU12,"C"))*2)+((COUNTIF('Elève (5ème2)'!ES11:EU12,"D"))*1))/(COUNTA(ES11:EU12)),"")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(5ème2)'!EZ11:FB12,"A"))*4)+((COUNTIF('Elève (5ème2)'!EZ11:FB12,"B"))*3)+((COUNTIF('Elève (5ème2)'!EZ11:FB12,"C"))*2)+((COUNTIF('Elève (5ème2)'!EZ11:FB12,"D"))*1))/(COUNTA(EZ11:FB12)),"")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(5ème2)'!FE11:FG12,"A"))*4)+((COUNTIF('Elève (5ème2)'!FE11:FG12,"B"))*3)+((COUNTIF('Elève (5ème2)'!FE11:FG12,"C"))*2)+((COUNTIF('Elève (5ème2)'!FE11:FG12,"D"))*1))/(COUNTA(FE11:FG12)),"")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(5ème2)'!FJ11:FL12,"A"))*4)+((COUNTIF('Elève (5ème2)'!FJ11:FL12,"B"))*3)+((COUNTIF('Elève (5ème2)'!FJ11:FL12,"C"))*2)+((COUNTIF('Elève (5ème2)'!FJ11:FL12,"D"))*1))/(COUNTA(FJ11:FL12)),"")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(5ème2)'!FQ11:FS12,"A"))*4)+((COUNTIF('Elève (5ème2)'!FQ11:FS12,"B"))*3)+((COUNTIF('Elève (5ème2)'!FQ11:FS12,"C"))*2)+((COUNTIF('Elève (5ème2)'!FQ11:FS12,"D"))*1))/(COUNTA(FQ11:FS12)),"")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(5ème2)'!FV11:FX12,"A"))*4)+((COUNTIF('Elève (5ème2)'!FV11:FX12,"B"))*3)+((COUNTIF('Elève (5ème2)'!FV11:FX12,"C"))*2)+((COUNTIF('Elève (5ème2)'!FV11:FX12,"D"))*1))/(COUNTA(FV11:FX12)),"")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(5ème2)'!GA11:GC12,"A"))*4)+((COUNTIF('Elève (5ème2)'!GA11:GC12,"B"))*3)+((COUNTIF('Elève (5ème2)'!GA11:GC12,"C"))*2)+((COUNTIF('Elève (5ème2)'!GA11:GC12,"D"))*1))/(COUNTA(GA11:GC12)),"")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(5ème2)'!GH11:GJ12,"A"))*4)+((COUNTIF('Elève (5ème2)'!GH11:GJ12,"B"))*3)+((COUNTIF('Elève (5ème2)'!GH11:GJ12,"C"))*2)+((COUNTIF('Elève (5ème2)'!GH11:GJ12,"D"))*1))/(COUNTA(GH11:GJ12)),"")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(5ème2)'!GM11:GO12,"A"))*4)+((COUNTIF('Elève (5ème2)'!GM11:GO12,"B"))*3)+((COUNTIF('Elève (5ème2)'!GM11:GO12,"C"))*2)+((COUNTIF('Elève (5ème2)'!GM11:GO12,"D"))*1))/(COUNTA(GM11:GO12)),"")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(5ème2)'!GR11:GT12,"A"))*4)+((COUNTIF('Elève (5ème2)'!GR11:GT12,"B"))*3)+((COUNTIF('Elève (5ème2)'!GR11:GT12,"C"))*2)+((COUNTIF('Elève (5ème2)'!GR11:GT12,"D"))*1))/(COUNTA(GR11:GT12)),"")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(5ème2)'!GY11:HA12,"A"))*4)+((COUNTIF('Elève (5ème2)'!GY11:HA12,"B"))*3)+((COUNTIF('Elève (5ème2)'!GY11:HA12,"C"))*2)+((COUNTIF('Elève (5ème2)'!GY11:HA12,"D"))*1))/(COUNTA(GY11:HA12)),"")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(5ème2)'!HD11:HF12,"A"))*4)+((COUNTIF('Elève (5ème2)'!HD11:HF12,"B"))*3)+((COUNTIF('Elève (5ème2)'!HD11:HF12,"C"))*2)+((COUNTIF('Elève (5ème2)'!HD11:HF12,"D"))*1))/(COUNTA(HD11:HF12)),"")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(5ème2)'!HI11:HK12,"A"))*4)+((COUNTIF('Elève (5ème2)'!HI11:HK12,"B"))*3)+((COUNTIF('Elève (5ème2)'!HI11:HK12,"C"))*2)+((COUNTIF('Elève (5ème2)'!HI11:HK12,"D"))*1))/(COUNTA(HI11:HK12)),"")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(5ème2)'!HP11:HR12,"A"))*4)+((COUNTIF('Elève (5ème2)'!HP11:HR12,"B"))*3)+((COUNTIF('Elève (5ème2)'!HP11:HR12,"C"))*2)+((COUNTIF('Elève (5ème2)'!HP11:HR12,"D"))*1))/(COUNTA(HP11:HR12)),"")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(5ème2)'!HU11:HW12,"A"))*4)+((COUNTIF('Elève (5ème2)'!HU11:HW12,"B"))*3)+((COUNTIF('Elève (5ème2)'!HU11:HW12,"C"))*2)+((COUNTIF('Elève (5ème2)'!HU11:HW12,"D"))*1))/(COUNTA(HU11:HW12)),"")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(5ème2)'!HZ11:IB12,"A"))*4)+((COUNTIF('Elève (5ème2)'!HZ11:IB12,"B"))*3)+((COUNTIF('Elève (5ème2)'!HZ11:IB12,"C"))*2)+((COUNTIF('Elève (5ème2)'!HZ11:IB12,"D"))*1))/(COUNTA(HZ11:IB12)),"")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(5ème2)'!IG11:II12,"A"))*4)+((COUNTIF('Elève (5ème2)'!IG11:II12,"B"))*3)+((COUNTIF('Elève (5ème2)'!IG11:II12,"C"))*2)+((COUNTIF('Elève (5ème2)'!IG11:II12,"D"))*1))/(COUNTA(IG11:II12)),"")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(5ème2)'!IL11:IN12,"A"))*4)+((COUNTIF('Elève (5ème2)'!IL11:IN12,"B"))*3)+((COUNTIF('Elève (5ème2)'!IL11:IN12,"C"))*2)+((COUNTIF('Elève (5ème2)'!IL11:IN12,"D"))*1))/(COUNTA(IL11:IN12)),"")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(5ème2)'!IQ11:IS12,"A"))*4)+((COUNTIF('Elève (5ème2)'!IQ11:IS12,"B"))*3)+((COUNTIF('Elève (5ème2)'!IQ11:IS12,"C"))*2)+((COUNTIF('Elève (5ème2)'!IQ11:IS12,"D"))*1))/(COUNTA(IQ11:IS12)),"")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(5ème2)'!IX11:IZ12,"A"))*4)+((COUNTIF('Elève (5ème2)'!IX11:IZ12,"B"))*3)+((COUNTIF('Elève (5ème2)'!IX11:IZ12,"C"))*2)+((COUNTIF('Elève (5ème2)'!IX11:IZ12,"D"))*1))/(COUNTA(IX11:IZ12)),"")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(5ème2)'!JC11:JE12,"A"))*4)+((COUNTIF('Elève (5ème2)'!JC11:JE12,"B"))*3)+((COUNTIF('Elève (5ème2)'!JC11:JE12,"C"))*2)+((COUNTIF('Elève (5ème2)'!JC11:JE12,"D"))*1))/(COUNTA(JC11:JE12)),"")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(5ème2)'!JH11:JJ12,"A"))*4)+((COUNTIF('Elève (5ème2)'!JH11:JJ12,"B"))*3)+((COUNTIF('Elève (5ème2)'!JH11:JJ12,"C"))*2)+((COUNTIF('Elève (5ème2)'!JH11:JJ12,"D"))*1))/(COUNTA(JH11:JJ12)),"")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(5ème2)'!JO11:JQ12,"A"))*4)+((COUNTIF('Elève (5ème2)'!JO11:JQ12,"B"))*3)+((COUNTIF('Elève (5ème2)'!JO11:JQ12,"C"))*2)+((COUNTIF('Elève (5ème2)'!JO11:JQ12,"D"))*1))/(COUNTA(JO11:JQ12)),"")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(5ème2)'!JT11:JV12,"A"))*4)+((COUNTIF('Elève (5ème2)'!JT11:JV12,"B"))*3)+((COUNTIF('Elève (5ème2)'!JT11:JV12,"C"))*2)+((COUNTIF('Elève (5ème2)'!JT11:JV12,"D"))*1))/(COUNTA(JT11:JV12)),"")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(5ème2)'!JY11:KA12,"A"))*4)+((COUNTIF('Elève (5ème2)'!JY11:KA12,"B"))*3)+((COUNTIF('Elève (5ème2)'!JY11:KA12,"C"))*2)+((COUNTIF('Elève (5ème2)'!JY11:KA12,"D"))*1))/(COUNTA(JY11:KA12)),"")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(5ème2)'!KF11:KH12,"A"))*4)+((COUNTIF('Elève (5ème2)'!KF11:KH12,"B"))*3)+((COUNTIF('Elève (5ème2)'!KF11:KH12,"C"))*2)+((COUNTIF('Elève (5ème2)'!KF11:KH12,"D"))*1))/(COUNTA(KF11:KH12)),"")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(5ème2)'!KK11:KM12,"A"))*4)+((COUNTIF('Elève (5ème2)'!KK11:KM12,"B"))*3)+((COUNTIF('Elève (5ème2)'!KK11:KM12,"C"))*2)+((COUNTIF('Elève (5ème2)'!KK11:KM12,"D"))*1))/(COUNTA(KK11:KM12)),"")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(5ème2)'!KP11:KR12,"A"))*4)+((COUNTIF('Elève (5ème2)'!KP11:KR12,"B"))*3)+((COUNTIF('Elève (5ème2)'!KP11:KR12,"C"))*2)+((COUNTIF('Elève (5ème2)'!KP11:KR12,"D"))*1))/(COUNTA(KP11:KR12)),"")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(5ème2)'!KW11:KY12,"A"))*4)+((COUNTIF('Elève (5ème2)'!KW11:KY12,"B"))*3)+((COUNTIF('Elève (5ème2)'!KW11:KY12,"C"))*2)+((COUNTIF('Elève (5ème2)'!KW11:KY12,"D"))*1))/(COUNTA(KW11:KY12)),"")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(5ème2)'!LB11:LD12,"A"))*4)+((COUNTIF('Elève (5ème2)'!LB11:LD12,"B"))*3)+((COUNTIF('Elève (5ème2)'!LB11:LD12,"C"))*2)+((COUNTIF('Elève (5ème2)'!LB11:LD12,"D"))*1))/(COUNTA(LB11:LD12)),"")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(5ème2)'!LG11:LI12,"A"))*4)+((COUNTIF('Elève (5ème2)'!LG11:LI12,"B"))*3)+((COUNTIF('Elève (5ème2)'!LG11:LI12,"C"))*2)+((COUNTIF('Elève (5ème2)'!LG11:LI12,"D"))*1))/(COUNTA(LG11:LI12)),"")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(5ème2)'!LN11:LP12,"A"))*4)+((COUNTIF('Elève (5ème2)'!LN11:LP12,"B"))*3)+((COUNTIF('Elève (5ème2)'!LN11:LP12,"C"))*2)+((COUNTIF('Elève (5ème2)'!LN11:LP12,"D"))*1))/(COUNTA(LN11:LP12)),"")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(5ème2)'!LS11:LU12,"A"))*4)+((COUNTIF('Elève (5ème2)'!LS11:LU12,"B"))*3)+((COUNTIF('Elève (5ème2)'!LS11:LU12,"C"))*2)+((COUNTIF('Elève (5ème2)'!LS11:LU12,"D"))*1))/(COUNTA(LS11:LU12)),"")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(5ème2)'!LX11:LZ12,"A"))*4)+((COUNTIF('Elève (5ème2)'!LX11:LZ12,"B"))*3)+((COUNTIF('Elève (5ème2)'!LX11:LZ12,"C"))*2)+((COUNTIF('Elève (5ème2)'!LX11:LZ12,"D"))*1))/(COUNTA(LX11:LZ12)),"")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(5ème2)'!ME11:MG12,"A"))*4)+((COUNTIF('Elève (5ème2)'!ME11:MG12,"B"))*3)+((COUNTIF('Elève (5ème2)'!ME11:MG12,"C"))*2)+((COUNTIF('Elève (5ème2)'!ME11:MG12,"D"))*1))/(COUNTA(ME11:MG12)),"")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(5ème2)'!MJ11:ML12,"A"))*4)+((COUNTIF('Elève (5ème2)'!MJ11:ML12,"B"))*3)+((COUNTIF('Elève (5ème2)'!MJ11:ML12,"C"))*2)+((COUNTIF('Elève (5ème2)'!MJ11:ML12,"D"))*1))/(COUNTA(MJ11:ML12)),"")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(5ème2)'!MO11:MQ12,"A"))*4)+((COUNTIF('Elève (5ème2)'!MO11:MQ12,"B"))*3)+((COUNTIF('Elève (5ème2)'!MO11:MQ12,"C"))*2)+((COUNTIF('Elève (5ème2)'!MO11:MQ12,"D"))*1))/(COUNTA(MO11:MQ12)),"")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(5ème2)'!MV11:MX12,"A"))*4)+((COUNTIF('Elève (5ème2)'!MV11:MX12,"B"))*3)+((COUNTIF('Elève (5ème2)'!MV11:MX12,"C"))*2)+((COUNTIF('Elève (5ème2)'!MV11:MX12,"D"))*1))/(COUNTA(MV11:MX12)),"")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(5ème2)'!NA11:NC12,"A"))*4)+((COUNTIF('Elève (5ème2)'!NA11:NC12,"B"))*3)+((COUNTIF('Elève (5ème2)'!NA11:NC12,"C"))*2)+((COUNTIF('Elève (5ème2)'!NA11:NC12,"D"))*1))/(COUNTA(NA11:NC12)),"")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(5ème2)'!NF11:NH12,"A"))*4)+((COUNTIF('Elève (5ème2)'!NF11:NH12,"B"))*3)+((COUNTIF('Elève (5ème2)'!NF11:NH12,"C"))*2)+((COUNTIF('Elève (5ème2)'!NF11:NH12,"D"))*1))/(COUNTA(NF11:NH12)),"")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(5ème2)'!NM11:NO12,"A"))*4)+((COUNTIF('Elève (5ème2)'!NM11:NO12,"B"))*3)+((COUNTIF('Elève (5ème2)'!NM11:NO12,"C"))*2)+((COUNTIF('Elève (5ème2)'!NM11:NO12,"D"))*1))/(COUNTA(NM11:NO12)),"")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(5ème2)'!NR11:NT12,"A"))*4)+((COUNTIF('Elève (5ème2)'!NR11:NT12,"B"))*3)+((COUNTIF('Elève (5ème2)'!NR11:NT12,"C"))*2)+((COUNTIF('Elève (5ème2)'!NR11:NT12,"D"))*1))/(COUNTA(NR11:NT12)),"")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(5ème2)'!NW11:NY12,"A"))*4)+((COUNTIF('Elève (5ème2)'!NW11:NY12,"B"))*3)+((COUNTIF('Elève (5ème2)'!NW11:NY12,"C"))*2)+((COUNTIF('Elève (5ème2)'!NW11:NY12,"D"))*1))/(COUNTA(NW11:NY12)),"")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(5ème2)'!OD11:OF12,"A"))*4)+((COUNTIF('Elève (5ème2)'!OD11:OF12,"B"))*3)+((COUNTIF('Elève (5ème2)'!OD11:OF12,"C"))*2)+((COUNTIF('Elève (5ème2)'!OD11:OF12,"D"))*1))/(COUNTA(OD11:OF12)),"")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(5ème2)'!OI11:OK12,"A"))*4)+((COUNTIF('Elève (5ème2)'!OI11:OK12,"B"))*3)+((COUNTIF('Elève (5ème2)'!OI11:OK12,"C"))*2)+((COUNTIF('Elève (5ème2)'!OI11:OK12,"D"))*1))/(COUNTA(OI11:OK12)),"")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(5ème2)'!ON11:OP12,"A"))*4)+((COUNTIF('Elève (5ème2)'!ON11:OP12,"B"))*3)+((COUNTIF('Elève (5ème2)'!ON11:OP12,"C"))*2)+((COUNTIF('Elève (5ème2)'!ON11:OP12,"D"))*1))/(COUNTA(ON11:OP12)),"")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(5ème2)'!OU11:OW12,"A"))*4)+((COUNTIF('Elève (5ème2)'!OU11:OW12,"B"))*3)+((COUNTIF('Elève (5ème2)'!OU11:OW12,"C"))*2)+((COUNTIF('Elève (5ème2)'!OU11:OW12,"D"))*1))/(COUNTA(OU11:OW12)),"")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(5ème2)'!OZ11:PB12,"A"))*4)+((COUNTIF('Elève (5ème2)'!OZ11:PB12,"B"))*3)+((COUNTIF('Elève (5ème2)'!OZ11:PB12,"C"))*2)+((COUNTIF('Elève (5ème2)'!OZ11:PB12,"D"))*1))/(COUNTA(OZ11:PB12)),"")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(5ème2)'!PE11:PG12,"A"))*4)+((COUNTIF('Elève (5ème2)'!PE11:PG12,"B"))*3)+((COUNTIF('Elève (5ème2)'!PE11:PG12,"C"))*2)+((COUNTIF('Elève (5ème2)'!PE11:PG12,"D"))*1))/(COUNTA(PE11:PG12)),"")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(5ème2)'!PL11:PN12,"A"))*4)+((COUNTIF('Elève (5ème2)'!PL11:PN12,"B"))*3)+((COUNTIF('Elève (5ème2)'!PL11:PN12,"C"))*2)+((COUNTIF('Elève (5ème2)'!PL11:PN12,"D"))*1))/(COUNTA(PL11:PN12)),"")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(5ème2)'!PQ11:PS12,"A"))*4)+((COUNTIF('Elève (5ème2)'!PQ11:PS12,"B"))*3)+((COUNTIF('Elève (5ème2)'!PQ11:PS12,"C"))*2)+((COUNTIF('Elève (5ème2)'!PQ11:PS12,"D"))*1))/(COUNTA(PQ11:PS12)),"")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(5ème2)'!PV11:PX12,"A"))*4)+((COUNTIF('Elève (5ème2)'!PV11:PX12,"B"))*3)+((COUNTIF('Elève (5ème2)'!PV11:PX12,"C"))*2)+((COUNTIF('Elève (5ème2)'!PV11:PX12,"D"))*1))/(COUNTA(PV11:PX12)),"")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(5ème2)'!QC11:QE12,"A"))*4)+((COUNTIF('Elève (5ème2)'!QC11:QE12,"B"))*3)+((COUNTIF('Elève (5ème2)'!QC11:QE12,"C"))*2)+((COUNTIF('Elève (5ème2)'!QC11:QE12,"D"))*1))/(COUNTA(QC11:QE12)),"")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(5ème2)'!QH11:QJ12,"A"))*4)+((COUNTIF('Elève (5ème2)'!QH11:QJ12,"B"))*3)+((COUNTIF('Elève (5ème2)'!QH11:QJ12,"C"))*2)+((COUNTIF('Elève (5ème2)'!QH11:QJ12,"D"))*1))/(COUNTA(QH11:QJ12)),"")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(5ème2)'!QM11:QO12,"A"))*4)+((COUNTIF('Elève (5ème2)'!QM11:QO12,"B"))*3)+((COUNTIF('Elève (5ème2)'!QM11:QO12,"C"))*2)+((COUNTIF('Elève (5ème2)'!QM11:QO12,"D"))*1))/(COUNTA(QM11:QO12)),"")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(5ème2)'!QT11:QV12,"A"))*4)+((COUNTIF('Elève (5ème2)'!QT11:QV12,"B"))*3)+((COUNTIF('Elève (5ème2)'!QT11:QV12,"C"))*2)+((COUNTIF('Elève (5ème2)'!QT11:QV12,"D"))*1))/(COUNTA(QT11:QV12)),"")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(5ème2)'!QY11:RA12,"A"))*4)+((COUNTIF('Elève (5ème2)'!QY11:RA12,"B"))*3)+((COUNTIF('Elève (5ème2)'!QY11:RA12,"C"))*2)+((COUNTIF('Elève (5ème2)'!QY11:RA12,"D"))*1))/(COUNTA(QY11:RA12)),"")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(5ème2)'!RD11:RF12,"A"))*4)+((COUNTIF('Elève (5ème2)'!RD11:RF12,"B"))*3)+((COUNTIF('Elève (5ème2)'!RD11:RF12,"C"))*2)+((COUNTIF('Elève (5ème2)'!RD11:RF12,"D"))*1))/(COUNTA(RD11:RF12)),"")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(5ème2)'!RK11:RM12,"A"))*4)+((COUNTIF('Elève (5ème2)'!RK11:RM12,"B"))*3)+((COUNTIF('Elève (5ème2)'!RK11:RM12,"C"))*2)+((COUNTIF('Elève (5ème2)'!RK11:RM12,"D"))*1))/(COUNTA(RK11:RM12)),"")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(5ème2)'!RP11:RR12,"A"))*4)+((COUNTIF('Elève (5ème2)'!RP11:RR12,"B"))*3)+((COUNTIF('Elève (5ème2)'!RP11:RR12,"C"))*2)+((COUNTIF('Elève (5ème2)'!RP11:RR12,"D"))*1))/(COUNTA(RP11:RR12)),"")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(5ème2)'!RU11:RW12,"A"))*4)+((COUNTIF('Elève (5ème2)'!RU11:RW12,"B"))*3)+((COUNTIF('Elève (5ème2)'!RU11:RW12,"C"))*2)+((COUNTIF('Elève (5ème2)'!RU11:RW12,"D"))*1))/(COUNTA(RU11:RW12)),"")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(5ème2)'!SB11:SD12,"A"))*4)+((COUNTIF('Elève (5ème2)'!SB11:SD12,"B"))*3)+((COUNTIF('Elève (5ème2)'!SB11:SD12,"C"))*2)+((COUNTIF('Elève (5ème2)'!SB11:SD12,"D"))*1))/(COUNTA(SB11:SD12)),"")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(5ème2)'!SG11:SI12,"A"))*4)+((COUNTIF('Elève (5ème2)'!SG11:SI12,"B"))*3)+((COUNTIF('Elève (5ème2)'!SG11:SI12,"C"))*2)+((COUNTIF('Elève (5ème2)'!SG11:SI12,"D"))*1))/(COUNTA(SG11:SI12)),"")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(5ème2)'!SL11:SN12,"A"))*4)+((COUNTIF('Elève (5ème2)'!SL11:SN12,"B"))*3)+((COUNTIF('Elève (5ème2)'!SL11:SN12,"C"))*2)+((COUNTIF('Elève (5ème2)'!SL11:SN12,"D"))*1))/(COUNTA(SL11:SN12)),"")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1" t="s">
        <v>44</v>
      </c>
      <c r="B11" s="222"/>
      <c r="C11" s="156"/>
      <c r="D11" s="157"/>
      <c r="E11" s="158"/>
      <c r="F11" s="108" t="str">
        <f>IFERROR((((COUNTIF('Elève (5ème2)'!C11:E11,"A"))*4)+((COUNTIF('Elève (5ème2)'!C11:E11,"B"))*3)+((COUNTIF('Elève (5ème2)'!C11:E11,"C"))*2)+((COUNTIF('Elève (5ème2)'!C11:E11,"D"))*1))/(COUNTA(C11:E11)),"")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(5ème2)'!H11:J11,"A"))*4)+((COUNTIF('Elève (5ème2)'!H11:J11,"B"))*3)+((COUNTIF('Elève (5ème2)'!H11:J11,"C"))*2)+((COUNTIF('Elève (5ème2)'!H11:J11,"D"))*1))/(COUNTA(H11:J11)),"")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(5ème2)'!M11:O11,"A"))*4)+((COUNTIF('Elève (5ème2)'!M11:O11,"B"))*3)+((COUNTIF('Elève (5ème2)'!M11:O11,"C"))*2)+((COUNTIF('Elève (5ème2)'!M11:O11,"D"))*1))/(COUNTA(M11:O11)),"")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(5ème2)'!T11:V11,"A"))*4)+((COUNTIF('Elève (5ème2)'!T11:V11,"B"))*3)+((COUNTIF('Elève (5ème2)'!T11:V11,"C"))*2)+((COUNTIF('Elève (5ème2)'!T11:V11,"D"))*1))/(COUNTA(T11:V11)),"")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(5ème2)'!Y11:AA11,"A"))*4)+((COUNTIF('Elève (5ème2)'!Y11:AA11,"B"))*3)+((COUNTIF('Elève (5ème2)'!Y11:AA11,"C"))*2)+((COUNTIF('Elève (5ème2)'!Y11:AA11,"D"))*1))/(COUNTA(Y11:AA11)),"")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(5ème2)'!AD11:AF11,"A"))*4)+((COUNTIF('Elève (5ème2)'!AD11:AF11,"B"))*3)+((COUNTIF('Elève (5ème2)'!AD11:AF11,"C"))*2)+((COUNTIF('Elève (5ème2)'!AD11:AF11,"D"))*1))/(COUNTA(AD11:AF11)),"")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(5ème2)'!AK11:AM11,"A"))*4)+((COUNTIF('Elève (5ème2)'!AK11:AM11,"B"))*3)+((COUNTIF('Elève (5ème2)'!AK11:AM11,"C"))*2)+((COUNTIF('Elève (5ème2)'!AK11:AM11,"D"))*1))/(COUNTA(AK11:AM11)),"")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(5ème2)'!AP11:AR11,"A"))*4)+((COUNTIF('Elève (5ème2)'!AP11:AR11,"B"))*3)+((COUNTIF('Elève (5ème2)'!AP11:AR11,"C"))*2)+((COUNTIF('Elève (5ème2)'!AP11:AR11,"D"))*1))/(COUNTA(AP11:AR11)),"")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(5ème2)'!AU11:AW11,"A"))*4)+((COUNTIF('Elève (5ème2)'!AU11:AW11,"B"))*3)+((COUNTIF('Elève (5ème2)'!AU11:AW11,"C"))*2)+((COUNTIF('Elève (5ème2)'!AU11:AW11,"D"))*1))/(COUNTA(AU11:AW11)),"")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(5ème2)'!BB11:BD11,"A"))*4)+((COUNTIF('Elève (5ème2)'!BB11:BD11,"B"))*3)+((COUNTIF('Elève (5ème2)'!BB11:BD11,"C"))*2)+((COUNTIF('Elève (5ème2)'!BB11:BD11,"D"))*1))/(COUNTA(BB11:BD11)),"")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(5ème2)'!BG11:BI11,"A"))*4)+((COUNTIF('Elève (5ème2)'!BG11:BI11,"B"))*3)+((COUNTIF('Elève (5ème2)'!BG11:BI11,"C"))*2)+((COUNTIF('Elève (5ème2)'!BG11:BI11,"D"))*1))/(COUNTA(BG11:BI11)),"")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(5ème2)'!BL11:BN11,"A"))*4)+((COUNTIF('Elève (5ème2)'!BL11:BN11,"B"))*3)+((COUNTIF('Elève (5ème2)'!BL11:BN11,"C"))*2)+((COUNTIF('Elève (5ème2)'!BL11:BN11,"D"))*1))/(COUNTA(BL11:BN11)),"")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(5ème2)'!BS11:BU11,"A"))*4)+((COUNTIF('Elève (5ème2)'!BS11:BU11,"B"))*3)+((COUNTIF('Elève (5ème2)'!BS11:BU11,"C"))*2)+((COUNTIF('Elève (5ème2)'!BS11:BU11,"D"))*1))/(COUNTA(BS11:BU11)),"")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(5ème2)'!BX11:BZ11,"A"))*4)+((COUNTIF('Elève (5ème2)'!BX11:BZ11,"B"))*3)+((COUNTIF('Elève (5ème2)'!BX11:BZ11,"C"))*2)+((COUNTIF('Elève (5ème2)'!BX11:BZ11,"D"))*1))/(COUNTA(BX11:BZ11)),"")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(5ème2)'!CC11:CE11,"A"))*4)+((COUNTIF('Elève (5ème2)'!CC11:CE11,"B"))*3)+((COUNTIF('Elève (5ème2)'!CC11:CE11,"C"))*2)+((COUNTIF('Elève (5ème2)'!CC11:CE11,"D"))*1))/(COUNTA(CC11:CE11)),"")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(5ème2)'!CJ11:CL11,"A"))*4)+((COUNTIF('Elève (5ème2)'!CJ11:CL11,"B"))*3)+((COUNTIF('Elève (5ème2)'!CJ11:CL11,"C"))*2)+((COUNTIF('Elève (5ème2)'!CJ11:CL11,"D"))*1))/(COUNTA(CJ11:CL11)),"")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(5ème2)'!CO11:CQ11,"A"))*4)+((COUNTIF('Elève (5ème2)'!CO11:CQ11,"B"))*3)+((COUNTIF('Elève (5ème2)'!CO11:CQ11,"C"))*2)+((COUNTIF('Elève (5ème2)'!CO11:CQ11,"D"))*1))/(COUNTA(CO11:CQ11)),"")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(5ème2)'!CT11:CV11,"A"))*4)+((COUNTIF('Elève (5ème2)'!CT11:CV11,"B"))*3)+((COUNTIF('Elève (5ème2)'!CT11:CV11,"C"))*2)+((COUNTIF('Elève (5ème2)'!CT11:CV11,"D"))*1))/(COUNTA(CT11:CV11)),"")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(5ème2)'!DA11:DC11,"A"))*4)+((COUNTIF('Elève (5ème2)'!DA11:DC11,"B"))*3)+((COUNTIF('Elève (5ème2)'!DA11:DC11,"C"))*2)+((COUNTIF('Elève (5ème2)'!DA11:DC11,"D"))*1))/(COUNTA(DA11:DC11)),"")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(5ème2)'!DF11:DH11,"A"))*4)+((COUNTIF('Elève (5ème2)'!DF11:DH11,"B"))*3)+((COUNTIF('Elève (5ème2)'!DF11:DH11,"C"))*2)+((COUNTIF('Elève (5ème2)'!DF11:DH11,"D"))*1))/(COUNTA(DF11:DH11)),"")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(5ème2)'!DK11:DM11,"A"))*4)+((COUNTIF('Elève (5ème2)'!DK11:DM11,"B"))*3)+((COUNTIF('Elève (5ème2)'!DK11:DM11,"C"))*2)+((COUNTIF('Elève (5ème2)'!DK11:DM11,"D"))*1))/(COUNTA(DK11:DM11)),"")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(5ème2)'!DR11:DT11,"A"))*4)+((COUNTIF('Elève (5ème2)'!DR11:DT11,"B"))*3)+((COUNTIF('Elève (5ème2)'!DR11:DT11,"C"))*2)+((COUNTIF('Elève (5ème2)'!DR11:DT11,"D"))*1))/(COUNTA(DR11:DT11)),"")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(5ème2)'!DW11:DY11,"A"))*4)+((COUNTIF('Elève (5ème2)'!DW11:DY11,"B"))*3)+((COUNTIF('Elève (5ème2)'!DW11:DY11,"C"))*2)+((COUNTIF('Elève (5ème2)'!DW11:DY11,"D"))*1))/(COUNTA(DW11:DY11)),"")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(5ème2)'!EB11:ED11,"A"))*4)+((COUNTIF('Elève (5ème2)'!EB11:ED11,"B"))*3)+((COUNTIF('Elève (5ème2)'!EB11:ED11,"C"))*2)+((COUNTIF('Elève (5ème2)'!EB11:ED11,"D"))*1))/(COUNTA(EB11:ED11)),"")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(5ème2)'!EI11:EK11,"A"))*4)+((COUNTIF('Elève (5ème2)'!EI11:EK11,"B"))*3)+((COUNTIF('Elève (5ème2)'!EI11:EK11,"C"))*2)+((COUNTIF('Elève (5ème2)'!EI11:EK11,"D"))*1))/(COUNTA(EI11:EK11)),"")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(5ème2)'!EN11:EP11,"A"))*4)+((COUNTIF('Elève (5ème2)'!EN11:EP11,"B"))*3)+((COUNTIF('Elève (5ème2)'!EN11:EP11,"C"))*2)+((COUNTIF('Elève (5ème2)'!EN11:EP11,"D"))*1))/(COUNTA(EN11:EP11)),"")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(5ème2)'!ES11:EU11,"A"))*4)+((COUNTIF('Elève (5ème2)'!ES11:EU11,"B"))*3)+((COUNTIF('Elève (5ème2)'!ES11:EU11,"C"))*2)+((COUNTIF('Elève (5ème2)'!ES11:EU11,"D"))*1))/(COUNTA(ES11:EU11)),"")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(5ème2)'!EZ11:FB11,"A"))*4)+((COUNTIF('Elève (5ème2)'!EZ11:FB11,"B"))*3)+((COUNTIF('Elève (5ème2)'!EZ11:FB11,"C"))*2)+((COUNTIF('Elève (5ème2)'!EZ11:FB11,"D"))*1))/(COUNTA(EZ11:FB11)),"")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(5ème2)'!FE11:FG11,"A"))*4)+((COUNTIF('Elève (5ème2)'!FE11:FG11,"B"))*3)+((COUNTIF('Elève (5ème2)'!FE11:FG11,"C"))*2)+((COUNTIF('Elève (5ème2)'!FE11:FG11,"D"))*1))/(COUNTA(FE11:FG11)),"")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(5ème2)'!FJ11:FL11,"A"))*4)+((COUNTIF('Elève (5ème2)'!FJ11:FL11,"B"))*3)+((COUNTIF('Elève (5ème2)'!FJ11:FL11,"C"))*2)+((COUNTIF('Elève (5ème2)'!FJ11:FL11,"D"))*1))/(COUNTA(FJ11:FL11)),"")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(5ème2)'!FQ11:FS11,"A"))*4)+((COUNTIF('Elève (5ème2)'!FQ11:FS11,"B"))*3)+((COUNTIF('Elève (5ème2)'!FQ11:FS11,"C"))*2)+((COUNTIF('Elève (5ème2)'!FQ11:FS11,"D"))*1))/(COUNTA(FQ11:FS11)),"")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(5ème2)'!FV11:FX11,"A"))*4)+((COUNTIF('Elève (5ème2)'!FV11:FX11,"B"))*3)+((COUNTIF('Elève (5ème2)'!FV11:FX11,"C"))*2)+((COUNTIF('Elève (5ème2)'!FV11:FX11,"D"))*1))/(COUNTA(FV11:FX11)),"")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(5ème2)'!GA11:GC11,"A"))*4)+((COUNTIF('Elève (5ème2)'!GA11:GC11,"B"))*3)+((COUNTIF('Elève (5ème2)'!GA11:GC11,"C"))*2)+((COUNTIF('Elève (5ème2)'!GA11:GC11,"D"))*1))/(COUNTA(GA11:GC11)),"")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(5ème2)'!GH11:GJ11,"A"))*4)+((COUNTIF('Elève (5ème2)'!GH11:GJ11,"B"))*3)+((COUNTIF('Elève (5ème2)'!GH11:GJ11,"C"))*2)+((COUNTIF('Elève (5ème2)'!GH11:GJ11,"D"))*1))/(COUNTA(GH11:GJ11)),"")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(5ème2)'!GM11:GO11,"A"))*4)+((COUNTIF('Elève (5ème2)'!GM11:GO11,"B"))*3)+((COUNTIF('Elève (5ème2)'!GM11:GO11,"C"))*2)+((COUNTIF('Elève (5ème2)'!GM11:GO11,"D"))*1))/(COUNTA(GM11:GO11)),"")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(5ème2)'!GR11:GT11,"A"))*4)+((COUNTIF('Elève (5ème2)'!GR11:GT11,"B"))*3)+((COUNTIF('Elève (5ème2)'!GR11:GT11,"C"))*2)+((COUNTIF('Elève (5ème2)'!GR11:GT11,"D"))*1))/(COUNTA(GR11:GT11)),"")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(5ème2)'!GY11:HA11,"A"))*4)+((COUNTIF('Elève (5ème2)'!GY11:HA11,"B"))*3)+((COUNTIF('Elève (5ème2)'!GY11:HA11,"C"))*2)+((COUNTIF('Elève (5ème2)'!GY11:HA11,"D"))*1))/(COUNTA(GY11:HA11)),"")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(5ème2)'!HD11:HF11,"A"))*4)+((COUNTIF('Elève (5ème2)'!HD11:HF11,"B"))*3)+((COUNTIF('Elève (5ème2)'!HD11:HF11,"C"))*2)+((COUNTIF('Elève (5ème2)'!HD11:HF11,"D"))*1))/(COUNTA(HD11:HF11)),"")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(5ème2)'!HI11:HK11,"A"))*4)+((COUNTIF('Elève (5ème2)'!HI11:HK11,"B"))*3)+((COUNTIF('Elève (5ème2)'!HI11:HK11,"C"))*2)+((COUNTIF('Elève (5ème2)'!HI11:HK11,"D"))*1))/(COUNTA(HI11:HK11)),"")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(5ème2)'!HP11:HR11,"A"))*4)+((COUNTIF('Elève (5ème2)'!HP11:HR11,"B"))*3)+((COUNTIF('Elève (5ème2)'!HP11:HR11,"C"))*2)+((COUNTIF('Elève (5ème2)'!HP11:HR11,"D"))*1))/(COUNTA(HP11:HR11)),"")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(5ème2)'!HU11:HW11,"A"))*4)+((COUNTIF('Elève (5ème2)'!HU11:HW11,"B"))*3)+((COUNTIF('Elève (5ème2)'!HU11:HW11,"C"))*2)+((COUNTIF('Elève (5ème2)'!HU11:HW11,"D"))*1))/(COUNTA(HU11:HW11)),"")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(5ème2)'!HZ11:IB11,"A"))*4)+((COUNTIF('Elève (5ème2)'!HZ11:IB11,"B"))*3)+((COUNTIF('Elève (5ème2)'!HZ11:IB11,"C"))*2)+((COUNTIF('Elève (5ème2)'!HZ11:IB11,"D"))*1))/(COUNTA(HZ11:IB11)),"")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(5ème2)'!IG11:II11,"A"))*4)+((COUNTIF('Elève (5ème2)'!IG11:II11,"B"))*3)+((COUNTIF('Elève (5ème2)'!IG11:II11,"C"))*2)+((COUNTIF('Elève (5ème2)'!IG11:II11,"D"))*1))/(COUNTA(IG11:II11)),"")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(5ème2)'!IL11:IN11,"A"))*4)+((COUNTIF('Elève (5ème2)'!IL11:IN11,"B"))*3)+((COUNTIF('Elève (5ème2)'!IL11:IN11,"C"))*2)+((COUNTIF('Elève (5ème2)'!IL11:IN11,"D"))*1))/(COUNTA(IL11:IN11)),"")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(5ème2)'!IQ11:IS11,"A"))*4)+((COUNTIF('Elève (5ème2)'!IQ11:IS11,"B"))*3)+((COUNTIF('Elève (5ème2)'!IQ11:IS11,"C"))*2)+((COUNTIF('Elève (5ème2)'!IQ11:IS11,"D"))*1))/(COUNTA(IQ11:IS11)),"")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(5ème2)'!IX11:IZ11,"A"))*4)+((COUNTIF('Elève (5ème2)'!IX11:IZ11,"B"))*3)+((COUNTIF('Elève (5ème2)'!IX11:IZ11,"C"))*2)+((COUNTIF('Elève (5ème2)'!IX11:IZ11,"D"))*1))/(COUNTA(IX11:IZ11)),"")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(5ème2)'!JC11:JE11,"A"))*4)+((COUNTIF('Elève (5ème2)'!JC11:JE11,"B"))*3)+((COUNTIF('Elève (5ème2)'!JC11:JE11,"C"))*2)+((COUNTIF('Elève (5ème2)'!JC11:JE11,"D"))*1))/(COUNTA(JC11:JE11)),"")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(5ème2)'!JH11:JJ11,"A"))*4)+((COUNTIF('Elève (5ème2)'!JH11:JJ11,"B"))*3)+((COUNTIF('Elève (5ème2)'!JH11:JJ11,"C"))*2)+((COUNTIF('Elève (5ème2)'!JH11:JJ11,"D"))*1))/(COUNTA(JH11:JJ11)),"")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(5ème2)'!JO11:JQ11,"A"))*4)+((COUNTIF('Elève (5ème2)'!JO11:JQ11,"B"))*3)+((COUNTIF('Elève (5ème2)'!JO11:JQ11,"C"))*2)+((COUNTIF('Elève (5ème2)'!JO11:JQ11,"D"))*1))/(COUNTA(JO11:JQ11)),"")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(5ème2)'!JT11:JV11,"A"))*4)+((COUNTIF('Elève (5ème2)'!JT11:JV11,"B"))*3)+((COUNTIF('Elève (5ème2)'!JT11:JV11,"C"))*2)+((COUNTIF('Elève (5ème2)'!JT11:JV11,"D"))*1))/(COUNTA(JT11:JV11)),"")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(5ème2)'!JY11:KA11,"A"))*4)+((COUNTIF('Elève (5ème2)'!JY11:KA11,"B"))*3)+((COUNTIF('Elève (5ème2)'!JY11:KA11,"C"))*2)+((COUNTIF('Elève (5ème2)'!JY11:KA11,"D"))*1))/(COUNTA(JY11:KA11)),"")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(5ème2)'!KF11:KH11,"A"))*4)+((COUNTIF('Elève (5ème2)'!KF11:KH11,"B"))*3)+((COUNTIF('Elève (5ème2)'!KF11:KH11,"C"))*2)+((COUNTIF('Elève (5ème2)'!KF11:KH11,"D"))*1))/(COUNTA(KF11:KH11)),"")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(5ème2)'!KK11:KM11,"A"))*4)+((COUNTIF('Elève (5ème2)'!KK11:KM11,"B"))*3)+((COUNTIF('Elève (5ème2)'!KK11:KM11,"C"))*2)+((COUNTIF('Elève (5ème2)'!KK11:KM11,"D"))*1))/(COUNTA(KK11:KM11)),"")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(5ème2)'!KP11:KR11,"A"))*4)+((COUNTIF('Elève (5ème2)'!KP11:KR11,"B"))*3)+((COUNTIF('Elève (5ème2)'!KP11:KR11,"C"))*2)+((COUNTIF('Elève (5ème2)'!KP11:KR11,"D"))*1))/(COUNTA(KP11:KR11)),"")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(5ème2)'!KW11:KY11,"A"))*4)+((COUNTIF('Elève (5ème2)'!KW11:KY11,"B"))*3)+((COUNTIF('Elève (5ème2)'!KW11:KY11,"C"))*2)+((COUNTIF('Elève (5ème2)'!KW11:KY11,"D"))*1))/(COUNTA(KW11:KY11)),"")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(5ème2)'!LB11:LD11,"A"))*4)+((COUNTIF('Elève (5ème2)'!LB11:LD11,"B"))*3)+((COUNTIF('Elève (5ème2)'!LB11:LD11,"C"))*2)+((COUNTIF('Elève (5ème2)'!LB11:LD11,"D"))*1))/(COUNTA(LB11:LD11)),"")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(5ème2)'!LG11:LI11,"A"))*4)+((COUNTIF('Elève (5ème2)'!LG11:LI11,"B"))*3)+((COUNTIF('Elève (5ème2)'!LG11:LI11,"C"))*2)+((COUNTIF('Elève (5ème2)'!LG11:LI11,"D"))*1))/(COUNTA(LG11:LI11)),"")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(5ème2)'!LN11:LP11,"A"))*4)+((COUNTIF('Elève (5ème2)'!LN11:LP11,"B"))*3)+((COUNTIF('Elève (5ème2)'!LN11:LP11,"C"))*2)+((COUNTIF('Elève (5ème2)'!LN11:LP11,"D"))*1))/(COUNTA(LN11:LP11)),"")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(5ème2)'!LS11:LU11,"A"))*4)+((COUNTIF('Elève (5ème2)'!LS11:LU11,"B"))*3)+((COUNTIF('Elève (5ème2)'!LS11:LU11,"C"))*2)+((COUNTIF('Elève (5ème2)'!LS11:LU11,"D"))*1))/(COUNTA(LS11:LU11)),"")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(5ème2)'!LX11:LZ11,"A"))*4)+((COUNTIF('Elève (5ème2)'!LX11:LZ11,"B"))*3)+((COUNTIF('Elève (5ème2)'!LX11:LZ11,"C"))*2)+((COUNTIF('Elève (5ème2)'!LX11:LZ11,"D"))*1))/(COUNTA(LX11:LZ11)),"")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(5ème2)'!ME11:MG11,"A"))*4)+((COUNTIF('Elève (5ème2)'!ME11:MG11,"B"))*3)+((COUNTIF('Elève (5ème2)'!ME11:MG11,"C"))*2)+((COUNTIF('Elève (5ème2)'!ME11:MG11,"D"))*1))/(COUNTA(ME11:MG11)),"")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(5ème2)'!MJ11:ML11,"A"))*4)+((COUNTIF('Elève (5ème2)'!MJ11:ML11,"B"))*3)+((COUNTIF('Elève (5ème2)'!MJ11:ML11,"C"))*2)+((COUNTIF('Elève (5ème2)'!MJ11:ML11,"D"))*1))/(COUNTA(MJ11:ML11)),"")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(5ème2)'!MO11:MQ11,"A"))*4)+((COUNTIF('Elève (5ème2)'!MO11:MQ11,"B"))*3)+((COUNTIF('Elève (5ème2)'!MO11:MQ11,"C"))*2)+((COUNTIF('Elève (5ème2)'!MO11:MQ11,"D"))*1))/(COUNTA(MO11:MQ11)),"")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(5ème2)'!MV11:MX11,"A"))*4)+((COUNTIF('Elève (5ème2)'!MV11:MX11,"B"))*3)+((COUNTIF('Elève (5ème2)'!MV11:MX11,"C"))*2)+((COUNTIF('Elève (5ème2)'!MV11:MX11,"D"))*1))/(COUNTA(MV11:MX11)),"")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(5ème2)'!NA11:NC11,"A"))*4)+((COUNTIF('Elève (5ème2)'!NA11:NC11,"B"))*3)+((COUNTIF('Elève (5ème2)'!NA11:NC11,"C"))*2)+((COUNTIF('Elève (5ème2)'!NA11:NC11,"D"))*1))/(COUNTA(NA11:NC11)),"")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(5ème2)'!NF11:NH11,"A"))*4)+((COUNTIF('Elève (5ème2)'!NF11:NH11,"B"))*3)+((COUNTIF('Elève (5ème2)'!NF11:NH11,"C"))*2)+((COUNTIF('Elève (5ème2)'!NF11:NH11,"D"))*1))/(COUNTA(NF11:NH11)),"")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(5ème2)'!NM11:NO11,"A"))*4)+((COUNTIF('Elève (5ème2)'!NM11:NO11,"B"))*3)+((COUNTIF('Elève (5ème2)'!NM11:NO11,"C"))*2)+((COUNTIF('Elève (5ème2)'!NM11:NO11,"D"))*1))/(COUNTA(NM11:NO11)),"")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(5ème2)'!NR11:NT11,"A"))*4)+((COUNTIF('Elève (5ème2)'!NR11:NT11,"B"))*3)+((COUNTIF('Elève (5ème2)'!NR11:NT11,"C"))*2)+((COUNTIF('Elève (5ème2)'!NR11:NT11,"D"))*1))/(COUNTA(NR11:NT11)),"")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(5ème2)'!NW11:NY11,"A"))*4)+((COUNTIF('Elève (5ème2)'!NW11:NY11,"B"))*3)+((COUNTIF('Elève (5ème2)'!NW11:NY11,"C"))*2)+((COUNTIF('Elève (5ème2)'!NW11:NY11,"D"))*1))/(COUNTA(NW11:NY11)),"")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(5ème2)'!OD11:OF11,"A"))*4)+((COUNTIF('Elève (5ème2)'!OD11:OF11,"B"))*3)+((COUNTIF('Elève (5ème2)'!OD11:OF11,"C"))*2)+((COUNTIF('Elève (5ème2)'!OD11:OF11,"D"))*1))/(COUNTA(OD11:OF11)),"")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(5ème2)'!OI11:OK11,"A"))*4)+((COUNTIF('Elève (5ème2)'!OI11:OK11,"B"))*3)+((COUNTIF('Elève (5ème2)'!OI11:OK11,"C"))*2)+((COUNTIF('Elève (5ème2)'!OI11:OK11,"D"))*1))/(COUNTA(OI11:OK11)),"")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(5ème2)'!ON11:OP11,"A"))*4)+((COUNTIF('Elève (5ème2)'!ON11:OP11,"B"))*3)+((COUNTIF('Elève (5ème2)'!ON11:OP11,"C"))*2)+((COUNTIF('Elève (5ème2)'!ON11:OP11,"D"))*1))/(COUNTA(ON11:OP11)),"")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(5ème2)'!OU11:OW11,"A"))*4)+((COUNTIF('Elève (5ème2)'!OU11:OW11,"B"))*3)+((COUNTIF('Elève (5ème2)'!OU11:OW11,"C"))*2)+((COUNTIF('Elève (5ème2)'!OU11:OW11,"D"))*1))/(COUNTA(OU11:OW11)),"")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(5ème2)'!OZ11:PB11,"A"))*4)+((COUNTIF('Elève (5ème2)'!OZ11:PB11,"B"))*3)+((COUNTIF('Elève (5ème2)'!OZ11:PB11,"C"))*2)+((COUNTIF('Elève (5ème2)'!OZ11:PB11,"D"))*1))/(COUNTA(OZ11:PB11)),"")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(5ème2)'!PE11:PG11,"A"))*4)+((COUNTIF('Elève (5ème2)'!PE11:PG11,"B"))*3)+((COUNTIF('Elève (5ème2)'!PE11:PG11,"C"))*2)+((COUNTIF('Elève (5ème2)'!PE11:PG11,"D"))*1))/(COUNTA(PE11:PG11)),"")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(5ème2)'!PL11:PN11,"A"))*4)+((COUNTIF('Elève (5ème2)'!PL11:PN11,"B"))*3)+((COUNTIF('Elève (5ème2)'!PL11:PN11,"C"))*2)+((COUNTIF('Elève (5ème2)'!PL11:PN11,"D"))*1))/(COUNTA(PL11:PN11)),"")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(5ème2)'!PQ11:PS11,"A"))*4)+((COUNTIF('Elève (5ème2)'!PQ11:PS11,"B"))*3)+((COUNTIF('Elève (5ème2)'!PQ11:PS11,"C"))*2)+((COUNTIF('Elève (5ème2)'!PQ11:PS11,"D"))*1))/(COUNTA(PQ11:PS11)),"")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(5ème2)'!PV11:PX11,"A"))*4)+((COUNTIF('Elève (5ème2)'!PV11:PX11,"B"))*3)+((COUNTIF('Elève (5ème2)'!PV11:PX11,"C"))*2)+((COUNTIF('Elève (5ème2)'!PV11:PX11,"D"))*1))/(COUNTA(PV11:PX11)),"")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(5ème2)'!QC11:QE11,"A"))*4)+((COUNTIF('Elève (5ème2)'!QC11:QE11,"B"))*3)+((COUNTIF('Elève (5ème2)'!QC11:QE11,"C"))*2)+((COUNTIF('Elève (5ème2)'!QC11:QE11,"D"))*1))/(COUNTA(QC11:QE11)),"")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(5ème2)'!QH11:QJ11,"A"))*4)+((COUNTIF('Elève (5ème2)'!QH11:QJ11,"B"))*3)+((COUNTIF('Elève (5ème2)'!QH11:QJ11,"C"))*2)+((COUNTIF('Elève (5ème2)'!QH11:QJ11,"D"))*1))/(COUNTA(QH11:QJ11)),"")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(5ème2)'!QM11:QO11,"A"))*4)+((COUNTIF('Elève (5ème2)'!QM11:QO11,"B"))*3)+((COUNTIF('Elève (5ème2)'!QM11:QO11,"C"))*2)+((COUNTIF('Elève (5ème2)'!QM11:QO11,"D"))*1))/(COUNTA(QM11:QO11)),"")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(5ème2)'!QT11:QV11,"A"))*4)+((COUNTIF('Elève (5ème2)'!QT11:QV11,"B"))*3)+((COUNTIF('Elève (5ème2)'!QT11:QV11,"C"))*2)+((COUNTIF('Elève (5ème2)'!QT11:QV11,"D"))*1))/(COUNTA(QT11:QV11)),"")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(5ème2)'!QY11:RA11,"A"))*4)+((COUNTIF('Elève (5ème2)'!QY11:RA11,"B"))*3)+((COUNTIF('Elève (5ème2)'!QY11:RA11,"C"))*2)+((COUNTIF('Elève (5ème2)'!QY11:RA11,"D"))*1))/(COUNTA(QY11:RA11)),"")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(5ème2)'!RD11:RF11,"A"))*4)+((COUNTIF('Elève (5ème2)'!RD11:RF11,"B"))*3)+((COUNTIF('Elève (5ème2)'!RD11:RF11,"C"))*2)+((COUNTIF('Elève (5ème2)'!RD11:RF11,"D"))*1))/(COUNTA(RD11:RF11)),"")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(5ème2)'!RK11:RM11,"A"))*4)+((COUNTIF('Elève (5ème2)'!RK11:RM11,"B"))*3)+((COUNTIF('Elève (5ème2)'!RK11:RM11,"C"))*2)+((COUNTIF('Elève (5ème2)'!RK11:RM11,"D"))*1))/(COUNTA(RK11:RM11)),"")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(5ème2)'!RP11:RR11,"A"))*4)+((COUNTIF('Elève (5ème2)'!RP11:RR11,"B"))*3)+((COUNTIF('Elève (5ème2)'!RP11:RR11,"C"))*2)+((COUNTIF('Elève (5ème2)'!RP11:RR11,"D"))*1))/(COUNTA(RP11:RR11)),"")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(5ème2)'!RU11:RW11,"A"))*4)+((COUNTIF('Elève (5ème2)'!RU11:RW11,"B"))*3)+((COUNTIF('Elève (5ème2)'!RU11:RW11,"C"))*2)+((COUNTIF('Elève (5ème2)'!RU11:RW11,"D"))*1))/(COUNTA(RU11:RW11)),"")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(5ème2)'!SB11:SD11,"A"))*4)+((COUNTIF('Elève (5ème2)'!SB11:SD11,"B"))*3)+((COUNTIF('Elève (5ème2)'!SB11:SD11,"C"))*2)+((COUNTIF('Elève (5ème2)'!SB11:SD11,"D"))*1))/(COUNTA(SB11:SD11)),"")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(5ème2)'!SG11:SI11,"A"))*4)+((COUNTIF('Elève (5ème2)'!SG11:SI11,"B"))*3)+((COUNTIF('Elève (5ème2)'!SG11:SI11,"C"))*2)+((COUNTIF('Elève (5ème2)'!SG11:SI11,"D"))*1))/(COUNTA(SG11:SI11)),"")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(5ème2)'!SL11:SN11,"A"))*4)+((COUNTIF('Elève (5ème2)'!SL11:SN11,"B"))*3)+((COUNTIF('Elève (5ème2)'!SL11:SN11,"C"))*2)+((COUNTIF('Elève (5ème2)'!SL11:SN11,"D"))*1))/(COUNTA(SL11:SN11)),"")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25" t="s">
        <v>45</v>
      </c>
      <c r="B12" s="226"/>
      <c r="C12" s="159"/>
      <c r="D12" s="160"/>
      <c r="E12" s="161"/>
      <c r="F12" s="112" t="str">
        <f>IFERROR((((COUNTIF('Elève (5ème2)'!C12:E12,"A"))*4)+((COUNTIF('Elève (5ème2)'!C12:E12,"B"))*3)+((COUNTIF('Elève (5ème2)'!C12:E12,"C"))*2)+((COUNTIF('Elève (5ème2)'!C12:E12,"D"))*1))/(COUNTA(C12:E12)),"")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(5ème2)'!H12:J12,"A"))*4)+((COUNTIF('Elève (5ème2)'!H12:J12,"B"))*3)+((COUNTIF('Elève (5ème2)'!H12:J12,"C"))*2)+((COUNTIF('Elève (5ème2)'!H12:J12,"D"))*1))/(COUNTA(H12:J12)),"")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(5ème2)'!M12:O12,"A"))*4)+((COUNTIF('Elève (5ème2)'!M12:O12,"B"))*3)+((COUNTIF('Elève (5ème2)'!M12:O12,"C"))*2)+((COUNTIF('Elève (5ème2)'!M12:O12,"D"))*1))/(COUNTA(M12:O12)),"")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(5ème2)'!T12:V12,"A"))*4)+((COUNTIF('Elève (5ème2)'!T12:V12,"B"))*3)+((COUNTIF('Elève (5ème2)'!T12:V12,"C"))*2)+((COUNTIF('Elève (5ème2)'!T12:V12,"D"))*1))/(COUNTA(T12:V12)),"")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(5ème2)'!Y12:AA12,"A"))*4)+((COUNTIF('Elève (5ème2)'!Y12:AA12,"B"))*3)+((COUNTIF('Elève (5ème2)'!Y12:AA12,"C"))*2)+((COUNTIF('Elève (5ème2)'!Y12:AA12,"D"))*1))/(COUNTA(Y12:AA12)),"")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(5ème2)'!AD12:AF12,"A"))*4)+((COUNTIF('Elève (5ème2)'!AD12:AF12,"B"))*3)+((COUNTIF('Elève (5ème2)'!AD12:AF12,"C"))*2)+((COUNTIF('Elève (5ème2)'!AD12:AF12,"D"))*1))/(COUNTA(AD12:AF12)),"")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(5ème2)'!AK12:AM12,"A"))*4)+((COUNTIF('Elève (5ème2)'!AK12:AM12,"B"))*3)+((COUNTIF('Elève (5ème2)'!AK12:AM12,"C"))*2)+((COUNTIF('Elève (5ème2)'!AK12:AM12,"D"))*1))/(COUNTA(AK12:AM12)),"")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(5ème2)'!AP12:AR12,"A"))*4)+((COUNTIF('Elève (5ème2)'!AP12:AR12,"B"))*3)+((COUNTIF('Elève (5ème2)'!AP12:AR12,"C"))*2)+((COUNTIF('Elève (5ème2)'!AP12:AR12,"D"))*1))/(COUNTA(AP12:AR12)),"")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(5ème2)'!AU12:AW12,"A"))*4)+((COUNTIF('Elève (5ème2)'!AU12:AW12,"B"))*3)+((COUNTIF('Elève (5ème2)'!AU12:AW12,"C"))*2)+((COUNTIF('Elève (5ème2)'!AU12:AW12,"D"))*1))/(COUNTA(AU12:AW12)),"")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(5ème2)'!BB12:BD12,"A"))*4)+((COUNTIF('Elève (5ème2)'!BB12:BD12,"B"))*3)+((COUNTIF('Elève (5ème2)'!BB12:BD12,"C"))*2)+((COUNTIF('Elève (5ème2)'!BB12:BD12,"D"))*1))/(COUNTA(BB12:BD12)),"")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(5ème2)'!BG12:BI12,"A"))*4)+((COUNTIF('Elève (5ème2)'!BG12:BI12,"B"))*3)+((COUNTIF('Elève (5ème2)'!BG12:BI12,"C"))*2)+((COUNTIF('Elève (5ème2)'!BG12:BI12,"D"))*1))/(COUNTA(BG12:BI12)),"")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(5ème2)'!BL12:BN12,"A"))*4)+((COUNTIF('Elève (5ème2)'!BL12:BN12,"B"))*3)+((COUNTIF('Elève (5ème2)'!BL12:BN12,"C"))*2)+((COUNTIF('Elève (5ème2)'!BL12:BN12,"D"))*1))/(COUNTA(BL12:BN12)),"")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(5ème2)'!BS12:BU12,"A"))*4)+((COUNTIF('Elève (5ème2)'!BS12:BU12,"B"))*3)+((COUNTIF('Elève (5ème2)'!BS12:BU12,"C"))*2)+((COUNTIF('Elève (5ème2)'!BS12:BU12,"D"))*1))/(COUNTA(BS12:BU12)),"")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(5ème2)'!BX12:BZ12,"A"))*4)+((COUNTIF('Elève (5ème2)'!BX12:BZ12,"B"))*3)+((COUNTIF('Elève (5ème2)'!BX12:BZ12,"C"))*2)+((COUNTIF('Elève (5ème2)'!BX12:BZ12,"D"))*1))/(COUNTA(BX12:BZ12)),"")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(5ème2)'!CC12:CE12,"A"))*4)+((COUNTIF('Elève (5ème2)'!CC12:CE12,"B"))*3)+((COUNTIF('Elève (5ème2)'!CC12:CE12,"C"))*2)+((COUNTIF('Elève (5ème2)'!CC12:CE12,"D"))*1))/(COUNTA(CC12:CE12)),"")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(5ème2)'!CJ12:CL12,"A"))*4)+((COUNTIF('Elève (5ème2)'!CJ12:CL12,"B"))*3)+((COUNTIF('Elève (5ème2)'!CJ12:CL12,"C"))*2)+((COUNTIF('Elève (5ème2)'!CJ12:CL12,"D"))*1))/(COUNTA(CJ12:CL12)),"")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(5ème2)'!CO12:CQ12,"A"))*4)+((COUNTIF('Elève (5ème2)'!CO12:CQ12,"B"))*3)+((COUNTIF('Elève (5ème2)'!CO12:CQ12,"C"))*2)+((COUNTIF('Elève (5ème2)'!CO12:CQ12,"D"))*1))/(COUNTA(CO12:CQ12)),"")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(5ème2)'!CT12:CV12,"A"))*4)+((COUNTIF('Elève (5ème2)'!CT12:CV12,"B"))*3)+((COUNTIF('Elève (5ème2)'!CT12:CV12,"C"))*2)+((COUNTIF('Elève (5ème2)'!CT12:CV12,"D"))*1))/(COUNTA(CT12:CV12)),"")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(5ème2)'!DA12:DC12,"A"))*4)+((COUNTIF('Elève (5ème2)'!DA12:DC12,"B"))*3)+((COUNTIF('Elève (5ème2)'!DA12:DC12,"C"))*2)+((COUNTIF('Elève (5ème2)'!DA12:DC12,"D"))*1))/(COUNTA(DA12:DC12)),"")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(5ème2)'!DF12:DH12,"A"))*4)+((COUNTIF('Elève (5ème2)'!DF12:DH12,"B"))*3)+((COUNTIF('Elève (5ème2)'!DF12:DH12,"C"))*2)+((COUNTIF('Elève (5ème2)'!DF12:DH12,"D"))*1))/(COUNTA(DF12:DH12)),"")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(5ème2)'!DK12:DM12,"A"))*4)+((COUNTIF('Elève (5ème2)'!DK12:DM12,"B"))*3)+((COUNTIF('Elève (5ème2)'!DK12:DM12,"C"))*2)+((COUNTIF('Elève (5ème2)'!DK12:DM12,"D"))*1))/(COUNTA(DK12:DM12)),"")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(5ème2)'!DR12:DT12,"A"))*4)+((COUNTIF('Elève (5ème2)'!DR12:DT12,"B"))*3)+((COUNTIF('Elève (5ème2)'!DR12:DT12,"C"))*2)+((COUNTIF('Elève (5ème2)'!DR12:DT12,"D"))*1))/(COUNTA(DR12:DT12)),"")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(5ème2)'!DW12:DY12,"A"))*4)+((COUNTIF('Elève (5ème2)'!DW12:DY12,"B"))*3)+((COUNTIF('Elève (5ème2)'!DW12:DY12,"C"))*2)+((COUNTIF('Elève (5ème2)'!DW12:DY12,"D"))*1))/(COUNTA(DW12:DY12)),"")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(5ème2)'!EB12:ED12,"A"))*4)+((COUNTIF('Elève (5ème2)'!EB12:ED12,"B"))*3)+((COUNTIF('Elève (5ème2)'!EB12:ED12,"C"))*2)+((COUNTIF('Elève (5ème2)'!EB12:ED12,"D"))*1))/(COUNTA(EB12:ED12)),"")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(5ème2)'!EI12:EK12,"A"))*4)+((COUNTIF('Elève (5ème2)'!EI12:EK12,"B"))*3)+((COUNTIF('Elève (5ème2)'!EI12:EK12,"C"))*2)+((COUNTIF('Elève (5ème2)'!EI12:EK12,"D"))*1))/(COUNTA(EI12:EK12)),"")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(5ème2)'!EN12:EP12,"A"))*4)+((COUNTIF('Elève (5ème2)'!EN12:EP12,"B"))*3)+((COUNTIF('Elève (5ème2)'!EN12:EP12,"C"))*2)+((COUNTIF('Elève (5ème2)'!EN12:EP12,"D"))*1))/(COUNTA(EN12:EP12)),"")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(5ème2)'!ES12:EU12,"A"))*4)+((COUNTIF('Elève (5ème2)'!ES12:EU12,"B"))*3)+((COUNTIF('Elève (5ème2)'!ES12:EU12,"C"))*2)+((COUNTIF('Elève (5ème2)'!ES12:EU12,"D"))*1))/(COUNTA(ES12:EU12)),"")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(5ème2)'!EZ12:FB12,"A"))*4)+((COUNTIF('Elève (5ème2)'!EZ12:FB12,"B"))*3)+((COUNTIF('Elève (5ème2)'!EZ12:FB12,"C"))*2)+((COUNTIF('Elève (5ème2)'!EZ12:FB12,"D"))*1))/(COUNTA(EZ12:FB12)),"")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(5ème2)'!FE12:FG12,"A"))*4)+((COUNTIF('Elève (5ème2)'!FE12:FG12,"B"))*3)+((COUNTIF('Elève (5ème2)'!FE12:FG12,"C"))*2)+((COUNTIF('Elève (5ème2)'!FE12:FG12,"D"))*1))/(COUNTA(FE12:FG12)),"")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(5ème2)'!FJ12:FL12,"A"))*4)+((COUNTIF('Elève (5ème2)'!FJ12:FL12,"B"))*3)+((COUNTIF('Elève (5ème2)'!FJ12:FL12,"C"))*2)+((COUNTIF('Elève (5ème2)'!FJ12:FL12,"D"))*1))/(COUNTA(FJ12:FL12)),"")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(5ème2)'!FQ12:FS12,"A"))*4)+((COUNTIF('Elève (5ème2)'!FQ12:FS12,"B"))*3)+((COUNTIF('Elève (5ème2)'!FQ12:FS12,"C"))*2)+((COUNTIF('Elève (5ème2)'!FQ12:FS12,"D"))*1))/(COUNTA(FQ12:FS12)),"")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(5ème2)'!FV12:FX12,"A"))*4)+((COUNTIF('Elève (5ème2)'!FV12:FX12,"B"))*3)+((COUNTIF('Elève (5ème2)'!FV12:FX12,"C"))*2)+((COUNTIF('Elève (5ème2)'!FV12:FX12,"D"))*1))/(COUNTA(FV12:FX12)),"")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(5ème2)'!GA12:GC12,"A"))*4)+((COUNTIF('Elève (5ème2)'!GA12:GC12,"B"))*3)+((COUNTIF('Elève (5ème2)'!GA12:GC12,"C"))*2)+((COUNTIF('Elève (5ème2)'!GA12:GC12,"D"))*1))/(COUNTA(GA12:GC12)),"")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(5ème2)'!GH12:GJ12,"A"))*4)+((COUNTIF('Elève (5ème2)'!GH12:GJ12,"B"))*3)+((COUNTIF('Elève (5ème2)'!GH12:GJ12,"C"))*2)+((COUNTIF('Elève (5ème2)'!GH12:GJ12,"D"))*1))/(COUNTA(GH12:GJ12)),"")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(5ème2)'!GM12:GO12,"A"))*4)+((COUNTIF('Elève (5ème2)'!GM12:GO12,"B"))*3)+((COUNTIF('Elève (5ème2)'!GM12:GO12,"C"))*2)+((COUNTIF('Elève (5ème2)'!GM12:GO12,"D"))*1))/(COUNTA(GM12:GO12)),"")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(5ème2)'!GR12:GT12,"A"))*4)+((COUNTIF('Elève (5ème2)'!GR12:GT12,"B"))*3)+((COUNTIF('Elève (5ème2)'!GR12:GT12,"C"))*2)+((COUNTIF('Elève (5ème2)'!GR12:GT12,"D"))*1))/(COUNTA(GR12:GT12)),"")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(5ème2)'!GY12:HA12,"A"))*4)+((COUNTIF('Elève (5ème2)'!GY12:HA12,"B"))*3)+((COUNTIF('Elève (5ème2)'!GY12:HA12,"C"))*2)+((COUNTIF('Elève (5ème2)'!GY12:HA12,"D"))*1))/(COUNTA(GY12:HA12)),"")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(5ème2)'!HD12:HF12,"A"))*4)+((COUNTIF('Elève (5ème2)'!HD12:HF12,"B"))*3)+((COUNTIF('Elève (5ème2)'!HD12:HF12,"C"))*2)+((COUNTIF('Elève (5ème2)'!HD12:HF12,"D"))*1))/(COUNTA(HD12:HF12)),"")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(5ème2)'!HI12:HK12,"A"))*4)+((COUNTIF('Elève (5ème2)'!HI12:HK12,"B"))*3)+((COUNTIF('Elève (5ème2)'!HI12:HK12,"C"))*2)+((COUNTIF('Elève (5ème2)'!HI12:HK12,"D"))*1))/(COUNTA(HI12:HK12)),"")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(5ème2)'!HP12:HR12,"A"))*4)+((COUNTIF('Elève (5ème2)'!HP12:HR12,"B"))*3)+((COUNTIF('Elève (5ème2)'!HP12:HR12,"C"))*2)+((COUNTIF('Elève (5ème2)'!HP12:HR12,"D"))*1))/(COUNTA(HP12:HR12)),"")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(5ème2)'!HU12:HW12,"A"))*4)+((COUNTIF('Elève (5ème2)'!HU12:HW12,"B"))*3)+((COUNTIF('Elève (5ème2)'!HU12:HW12,"C"))*2)+((COUNTIF('Elève (5ème2)'!HU12:HW12,"D"))*1))/(COUNTA(HU12:HW12)),"")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(5ème2)'!HZ12:IB12,"A"))*4)+((COUNTIF('Elève (5ème2)'!HZ12:IB12,"B"))*3)+((COUNTIF('Elève (5ème2)'!HZ12:IB12,"C"))*2)+((COUNTIF('Elève (5ème2)'!HZ12:IB12,"D"))*1))/(COUNTA(HZ12:IB12)),"")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(5ème2)'!IG12:II12,"A"))*4)+((COUNTIF('Elève (5ème2)'!IG12:II12,"B"))*3)+((COUNTIF('Elève (5ème2)'!IG12:II12,"C"))*2)+((COUNTIF('Elève (5ème2)'!IG12:II12,"D"))*1))/(COUNTA(IG12:II12)),"")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(5ème2)'!IL12:IN12,"A"))*4)+((COUNTIF('Elève (5ème2)'!IL12:IN12,"B"))*3)+((COUNTIF('Elève (5ème2)'!IL12:IN12,"C"))*2)+((COUNTIF('Elève (5ème2)'!IL12:IN12,"D"))*1))/(COUNTA(IL12:IN12)),"")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(5ème2)'!IQ12:IS12,"A"))*4)+((COUNTIF('Elève (5ème2)'!IQ12:IS12,"B"))*3)+((COUNTIF('Elève (5ème2)'!IQ12:IS12,"C"))*2)+((COUNTIF('Elève (5ème2)'!IQ12:IS12,"D"))*1))/(COUNTA(IQ12:IS12)),"")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(5ème2)'!IX12:IZ12,"A"))*4)+((COUNTIF('Elève (5ème2)'!IX12:IZ12,"B"))*3)+((COUNTIF('Elève (5ème2)'!IX12:IZ12,"C"))*2)+((COUNTIF('Elève (5ème2)'!IX12:IZ12,"D"))*1))/(COUNTA(IX12:IZ12)),"")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(5ème2)'!JC12:JE12,"A"))*4)+((COUNTIF('Elève (5ème2)'!JC12:JE12,"B"))*3)+((COUNTIF('Elève (5ème2)'!JC12:JE12,"C"))*2)+((COUNTIF('Elève (5ème2)'!JC12:JE12,"D"))*1))/(COUNTA(JC12:JE12)),"")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(5ème2)'!JH12:JJ12,"A"))*4)+((COUNTIF('Elève (5ème2)'!JH12:JJ12,"B"))*3)+((COUNTIF('Elève (5ème2)'!JH12:JJ12,"C"))*2)+((COUNTIF('Elève (5ème2)'!JH12:JJ12,"D"))*1))/(COUNTA(JH12:JJ12)),"")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(5ème2)'!JO12:JQ12,"A"))*4)+((COUNTIF('Elève (5ème2)'!JO12:JQ12,"B"))*3)+((COUNTIF('Elève (5ème2)'!JO12:JQ12,"C"))*2)+((COUNTIF('Elève (5ème2)'!JO12:JQ12,"D"))*1))/(COUNTA(JO12:JQ12)),"")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(5ème2)'!JT12:JV12,"A"))*4)+((COUNTIF('Elève (5ème2)'!JT12:JV12,"B"))*3)+((COUNTIF('Elève (5ème2)'!JT12:JV12,"C"))*2)+((COUNTIF('Elève (5ème2)'!JT12:JV12,"D"))*1))/(COUNTA(JT12:JV12)),"")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(5ème2)'!JY12:KA12,"A"))*4)+((COUNTIF('Elève (5ème2)'!JY12:KA12,"B"))*3)+((COUNTIF('Elève (5ème2)'!JY12:KA12,"C"))*2)+((COUNTIF('Elève (5ème2)'!JY12:KA12,"D"))*1))/(COUNTA(JY12:KA12)),"")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(5ème2)'!KF12:KH12,"A"))*4)+((COUNTIF('Elève (5ème2)'!KF12:KH12,"B"))*3)+((COUNTIF('Elève (5ème2)'!KF12:KH12,"C"))*2)+((COUNTIF('Elève (5ème2)'!KF12:KH12,"D"))*1))/(COUNTA(KF12:KH12)),"")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(5ème2)'!KK12:KM12,"A"))*4)+((COUNTIF('Elève (5ème2)'!KK12:KM12,"B"))*3)+((COUNTIF('Elève (5ème2)'!KK12:KM12,"C"))*2)+((COUNTIF('Elève (5ème2)'!KK12:KM12,"D"))*1))/(COUNTA(KK12:KM12)),"")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(5ème2)'!KP12:KR12,"A"))*4)+((COUNTIF('Elève (5ème2)'!KP12:KR12,"B"))*3)+((COUNTIF('Elève (5ème2)'!KP12:KR12,"C"))*2)+((COUNTIF('Elève (5ème2)'!KP12:KR12,"D"))*1))/(COUNTA(KP12:KR12)),"")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(5ème2)'!KW12:KY12,"A"))*4)+((COUNTIF('Elève (5ème2)'!KW12:KY12,"B"))*3)+((COUNTIF('Elève (5ème2)'!KW12:KY12,"C"))*2)+((COUNTIF('Elève (5ème2)'!KW12:KY12,"D"))*1))/(COUNTA(KW12:KY12)),"")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(5ème2)'!LB12:LD12,"A"))*4)+((COUNTIF('Elève (5ème2)'!LB12:LD12,"B"))*3)+((COUNTIF('Elève (5ème2)'!LB12:LD12,"C"))*2)+((COUNTIF('Elève (5ème2)'!LB12:LD12,"D"))*1))/(COUNTA(LB12:LD12)),"")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(5ème2)'!LG12:LI12,"A"))*4)+((COUNTIF('Elève (5ème2)'!LG12:LI12,"B"))*3)+((COUNTIF('Elève (5ème2)'!LG12:LI12,"C"))*2)+((COUNTIF('Elève (5ème2)'!LG12:LI12,"D"))*1))/(COUNTA(LG12:LI12)),"")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(5ème2)'!LN12:LP12,"A"))*4)+((COUNTIF('Elève (5ème2)'!LN12:LP12,"B"))*3)+((COUNTIF('Elève (5ème2)'!LN12:LP12,"C"))*2)+((COUNTIF('Elève (5ème2)'!LN12:LP12,"D"))*1))/(COUNTA(LN12:LP12)),"")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(5ème2)'!LS12:LU12,"A"))*4)+((COUNTIF('Elève (5ème2)'!LS12:LU12,"B"))*3)+((COUNTIF('Elève (5ème2)'!LS12:LU12,"C"))*2)+((COUNTIF('Elève (5ème2)'!LS12:LU12,"D"))*1))/(COUNTA(LS12:LU12)),"")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(5ème2)'!LX12:LZ12,"A"))*4)+((COUNTIF('Elève (5ème2)'!LX12:LZ12,"B"))*3)+((COUNTIF('Elève (5ème2)'!LX12:LZ12,"C"))*2)+((COUNTIF('Elève (5ème2)'!LX12:LZ12,"D"))*1))/(COUNTA(LX12:LZ12)),"")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(5ème2)'!ME12:MG12,"A"))*4)+((COUNTIF('Elève (5ème2)'!ME12:MG12,"B"))*3)+((COUNTIF('Elève (5ème2)'!ME12:MG12,"C"))*2)+((COUNTIF('Elève (5ème2)'!ME12:MG12,"D"))*1))/(COUNTA(ME12:MG12)),"")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(5ème2)'!MJ12:ML12,"A"))*4)+((COUNTIF('Elève (5ème2)'!MJ12:ML12,"B"))*3)+((COUNTIF('Elève (5ème2)'!MJ12:ML12,"C"))*2)+((COUNTIF('Elève (5ème2)'!MJ12:ML12,"D"))*1))/(COUNTA(MJ12:ML12)),"")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(5ème2)'!MO12:MQ12,"A"))*4)+((COUNTIF('Elève (5ème2)'!MO12:MQ12,"B"))*3)+((COUNTIF('Elève (5ème2)'!MO12:MQ12,"C"))*2)+((COUNTIF('Elève (5ème2)'!MO12:MQ12,"D"))*1))/(COUNTA(MO12:MQ12)),"")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(5ème2)'!MV12:MX12,"A"))*4)+((COUNTIF('Elève (5ème2)'!MV12:MX12,"B"))*3)+((COUNTIF('Elève (5ème2)'!MV12:MX12,"C"))*2)+((COUNTIF('Elève (5ème2)'!MV12:MX12,"D"))*1))/(COUNTA(MV12:MX12)),"")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(5ème2)'!NA12:NC12,"A"))*4)+((COUNTIF('Elève (5ème2)'!NA12:NC12,"B"))*3)+((COUNTIF('Elève (5ème2)'!NA12:NC12,"C"))*2)+((COUNTIF('Elève (5ème2)'!NA12:NC12,"D"))*1))/(COUNTA(NA12:NC12)),"")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(5ème2)'!NF12:NH12,"A"))*4)+((COUNTIF('Elève (5ème2)'!NF12:NH12,"B"))*3)+((COUNTIF('Elève (5ème2)'!NF12:NH12,"C"))*2)+((COUNTIF('Elève (5ème2)'!NF12:NH12,"D"))*1))/(COUNTA(NF12:NH12)),"")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(5ème2)'!NM12:NO12,"A"))*4)+((COUNTIF('Elève (5ème2)'!NM12:NO12,"B"))*3)+((COUNTIF('Elève (5ème2)'!NM12:NO12,"C"))*2)+((COUNTIF('Elève (5ème2)'!NM12:NO12,"D"))*1))/(COUNTA(NM12:NO12)),"")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(5ème2)'!NR12:NT12,"A"))*4)+((COUNTIF('Elève (5ème2)'!NR12:NT12,"B"))*3)+((COUNTIF('Elève (5ème2)'!NR12:NT12,"C"))*2)+((COUNTIF('Elève (5ème2)'!NR12:NT12,"D"))*1))/(COUNTA(NR12:NT12)),"")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(5ème2)'!NW12:NY12,"A"))*4)+((COUNTIF('Elève (5ème2)'!NW12:NY12,"B"))*3)+((COUNTIF('Elève (5ème2)'!NW12:NY12,"C"))*2)+((COUNTIF('Elève (5ème2)'!NW12:NY12,"D"))*1))/(COUNTA(NW12:NY12)),"")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(5ème2)'!OD12:OF12,"A"))*4)+((COUNTIF('Elève (5ème2)'!OD12:OF12,"B"))*3)+((COUNTIF('Elève (5ème2)'!OD12:OF12,"C"))*2)+((COUNTIF('Elève (5ème2)'!OD12:OF12,"D"))*1))/(COUNTA(OD12:OF12)),"")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(5ème2)'!OI12:OK12,"A"))*4)+((COUNTIF('Elève (5ème2)'!OI12:OK12,"B"))*3)+((COUNTIF('Elève (5ème2)'!OI12:OK12,"C"))*2)+((COUNTIF('Elève (5ème2)'!OI12:OK12,"D"))*1))/(COUNTA(OI12:OK12)),"")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(5ème2)'!ON12:OP12,"A"))*4)+((COUNTIF('Elève (5ème2)'!ON12:OP12,"B"))*3)+((COUNTIF('Elève (5ème2)'!ON12:OP12,"C"))*2)+((COUNTIF('Elève (5ème2)'!ON12:OP12,"D"))*1))/(COUNTA(ON12:OP12)),"")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(5ème2)'!OU12:OW12,"A"))*4)+((COUNTIF('Elève (5ème2)'!OU12:OW12,"B"))*3)+((COUNTIF('Elève (5ème2)'!OU12:OW12,"C"))*2)+((COUNTIF('Elève (5ème2)'!OU12:OW12,"D"))*1))/(COUNTA(OU12:OW12)),"")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(5ème2)'!OZ12:PB12,"A"))*4)+((COUNTIF('Elève (5ème2)'!OZ12:PB12,"B"))*3)+((COUNTIF('Elève (5ème2)'!OZ12:PB12,"C"))*2)+((COUNTIF('Elève (5ème2)'!OZ12:PB12,"D"))*1))/(COUNTA(OZ12:PB12)),"")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(5ème2)'!PE12:PG12,"A"))*4)+((COUNTIF('Elève (5ème2)'!PE12:PG12,"B"))*3)+((COUNTIF('Elève (5ème2)'!PE12:PG12,"C"))*2)+((COUNTIF('Elève (5ème2)'!PE12:PG12,"D"))*1))/(COUNTA(PE12:PG12)),"")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(5ème2)'!PL12:PN12,"A"))*4)+((COUNTIF('Elève (5ème2)'!PL12:PN12,"B"))*3)+((COUNTIF('Elève (5ème2)'!PL12:PN12,"C"))*2)+((COUNTIF('Elève (5ème2)'!PL12:PN12,"D"))*1))/(COUNTA(PL12:PN12)),"")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(5ème2)'!PQ12:PS12,"A"))*4)+((COUNTIF('Elève (5ème2)'!PQ12:PS12,"B"))*3)+((COUNTIF('Elève (5ème2)'!PQ12:PS12,"C"))*2)+((COUNTIF('Elève (5ème2)'!PQ12:PS12,"D"))*1))/(COUNTA(PQ12:PS12)),"")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(5ème2)'!PV12:PX12,"A"))*4)+((COUNTIF('Elève (5ème2)'!PV12:PX12,"B"))*3)+((COUNTIF('Elève (5ème2)'!PV12:PX12,"C"))*2)+((COUNTIF('Elève (5ème2)'!PV12:PX12,"D"))*1))/(COUNTA(PV12:PX12)),"")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(5ème2)'!QC12:QE12,"A"))*4)+((COUNTIF('Elève (5ème2)'!QC12:QE12,"B"))*3)+((COUNTIF('Elève (5ème2)'!QC12:QE12,"C"))*2)+((COUNTIF('Elève (5ème2)'!QC12:QE12,"D"))*1))/(COUNTA(QC12:QE12)),"")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(5ème2)'!QH12:QJ12,"A"))*4)+((COUNTIF('Elève (5ème2)'!QH12:QJ12,"B"))*3)+((COUNTIF('Elève (5ème2)'!QH12:QJ12,"C"))*2)+((COUNTIF('Elève (5ème2)'!QH12:QJ12,"D"))*1))/(COUNTA(QH12:QJ12)),"")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(5ème2)'!QM12:QO12,"A"))*4)+((COUNTIF('Elève (5ème2)'!QM12:QO12,"B"))*3)+((COUNTIF('Elève (5ème2)'!QM12:QO12,"C"))*2)+((COUNTIF('Elève (5ème2)'!QM12:QO12,"D"))*1))/(COUNTA(QM12:QO12)),"")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(5ème2)'!QT12:QV12,"A"))*4)+((COUNTIF('Elève (5ème2)'!QT12:QV12,"B"))*3)+((COUNTIF('Elève (5ème2)'!QT12:QV12,"C"))*2)+((COUNTIF('Elève (5ème2)'!QT12:QV12,"D"))*1))/(COUNTA(QT12:QV12)),"")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(5ème2)'!QY12:RA12,"A"))*4)+((COUNTIF('Elève (5ème2)'!QY12:RA12,"B"))*3)+((COUNTIF('Elève (5ème2)'!QY12:RA12,"C"))*2)+((COUNTIF('Elève (5ème2)'!QY12:RA12,"D"))*1))/(COUNTA(QY12:RA12)),"")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(5ème2)'!RD12:RF12,"A"))*4)+((COUNTIF('Elève (5ème2)'!RD12:RF12,"B"))*3)+((COUNTIF('Elève (5ème2)'!RD12:RF12,"C"))*2)+((COUNTIF('Elève (5ème2)'!RD12:RF12,"D"))*1))/(COUNTA(RD12:RF12)),"")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(5ème2)'!RK12:RM12,"A"))*4)+((COUNTIF('Elève (5ème2)'!RK12:RM12,"B"))*3)+((COUNTIF('Elève (5ème2)'!RK12:RM12,"C"))*2)+((COUNTIF('Elève (5ème2)'!RK12:RM12,"D"))*1))/(COUNTA(RK12:RM12)),"")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(5ème2)'!RP12:RR12,"A"))*4)+((COUNTIF('Elève (5ème2)'!RP12:RR12,"B"))*3)+((COUNTIF('Elève (5ème2)'!RP12:RR12,"C"))*2)+((COUNTIF('Elève (5ème2)'!RP12:RR12,"D"))*1))/(COUNTA(RP12:RR12)),"")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(5ème2)'!RU12:RW12,"A"))*4)+((COUNTIF('Elève (5ème2)'!RU12:RW12,"B"))*3)+((COUNTIF('Elève (5ème2)'!RU12:RW12,"C"))*2)+((COUNTIF('Elève (5ème2)'!RU12:RW12,"D"))*1))/(COUNTA(RU12:RW12)),"")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(5ème2)'!SB12:SD12,"A"))*4)+((COUNTIF('Elève (5ème2)'!SB12:SD12,"B"))*3)+((COUNTIF('Elève (5ème2)'!SB12:SD12,"C"))*2)+((COUNTIF('Elève (5ème2)'!SB12:SD12,"D"))*1))/(COUNTA(SB12:SD12)),"")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(5ème2)'!SG12:SI12,"A"))*4)+((COUNTIF('Elève (5ème2)'!SG12:SI12,"B"))*3)+((COUNTIF('Elève (5ème2)'!SG12:SI12,"C"))*2)+((COUNTIF('Elève (5ème2)'!SG12:SI12,"D"))*1))/(COUNTA(SG12:SI12)),"")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(5ème2)'!SL12:SN12,"A"))*4)+((COUNTIF('Elève (5ème2)'!SL12:SN12,"B"))*3)+((COUNTIF('Elève (5ème2)'!SL12:SN12,"C"))*2)+((COUNTIF('Elève (5ème2)'!SL12:SN12,"D"))*1))/(COUNTA(SL12:SN12)),"")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(5ème2)'!C14:E15,"A"))*4)+((COUNTIF('Elève (5ème2)'!C14:E15,"B"))*3)+((COUNTIF('Elève (5ème2)'!C14:E15,"C"))*2)+((COUNTIF('Elève (5ème2)'!C14:E15,"D"))*1))/(COUNTA(C14:E15)),"")</f>
        <v/>
      </c>
      <c r="G13" s="107" t="str">
        <f t="shared" si="0"/>
        <v/>
      </c>
      <c r="H13" s="204"/>
      <c r="I13" s="186"/>
      <c r="J13" s="205"/>
      <c r="K13" s="106" t="str">
        <f>IFERROR((((COUNTIF('Elève (5ème2)'!H14:J15,"A"))*4)+((COUNTIF('Elève (5ème2)'!H14:J15,"B"))*3)+((COUNTIF('Elève (5ème2)'!H14:J15,"C"))*2)+((COUNTIF('Elève (5ème2)'!H14:J15,"D"))*1))/(COUNTA(H14:J15)),"")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(5ème2)'!M14:O15,"A"))*4)+((COUNTIF('Elève (5ème2)'!M14:O15,"B"))*3)+((COUNTIF('Elève (5ème2)'!M14:O15,"C"))*2)+((COUNTIF('Elève (5ème2)'!M14:O15,"D"))*1))/(COUNTA(M14:O15)),"")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(5ème2)'!T14:V15,"A"))*4)+((COUNTIF('Elève (5ème2)'!T14:V15,"B"))*3)+((COUNTIF('Elève (5ème2)'!T14:V15,"C"))*2)+((COUNTIF('Elève (5ème2)'!T14:V15,"D"))*1))/(COUNTA(T14:V15)),"")</f>
        <v/>
      </c>
      <c r="X13" s="107" t="str">
        <f t="shared" si="4"/>
        <v/>
      </c>
      <c r="Y13" s="204"/>
      <c r="Z13" s="186"/>
      <c r="AA13" s="205"/>
      <c r="AB13" s="106" t="str">
        <f>IFERROR((((COUNTIF('Elève (5ème2)'!Y14:AA15,"A"))*4)+((COUNTIF('Elève (5ème2)'!Y14:AA15,"B"))*3)+((COUNTIF('Elève (5ème2)'!Y14:AA15,"C"))*2)+((COUNTIF('Elève (5ème2)'!Y14:AA15,"D"))*1))/(COUNTA(Y14:AA15)),"")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(5ème2)'!AD14:AF15,"A"))*4)+((COUNTIF('Elève (5ème2)'!AD14:AF15,"B"))*3)+((COUNTIF('Elève (5ème2)'!AD14:AF15,"C"))*2)+((COUNTIF('Elève (5ème2)'!AD14:AF15,"D"))*1))/(COUNTA(AD14:AF15)),"")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(5ème2)'!AK14:AM15,"A"))*4)+((COUNTIF('Elève (5ème2)'!AK14:AM15,"B"))*3)+((COUNTIF('Elève (5ème2)'!AK14:AM15,"C"))*2)+((COUNTIF('Elève (5ème2)'!AK14:AM15,"D"))*1))/(COUNTA(AK14:AM15)),"")</f>
        <v/>
      </c>
      <c r="AO13" s="107" t="str">
        <f t="shared" si="8"/>
        <v/>
      </c>
      <c r="AP13" s="204"/>
      <c r="AQ13" s="186"/>
      <c r="AR13" s="205"/>
      <c r="AS13" s="106" t="str">
        <f>IFERROR((((COUNTIF('Elève (5ème2)'!AP14:AR15,"A"))*4)+((COUNTIF('Elève (5ème2)'!AP14:AR15,"B"))*3)+((COUNTIF('Elève (5ème2)'!AP14:AR15,"C"))*2)+((COUNTIF('Elève (5ème2)'!AP14:AR15,"D"))*1))/(COUNTA(AP14:AR15)),"")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(5ème2)'!AU14:AW15,"A"))*4)+((COUNTIF('Elève (5ème2)'!AU14:AW15,"B"))*3)+((COUNTIF('Elève (5ème2)'!AU14:AW15,"C"))*2)+((COUNTIF('Elève (5ème2)'!AU14:AW15,"D"))*1))/(COUNTA(AU14:AW15)),"")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(5ème2)'!BB14:BD15,"A"))*4)+((COUNTIF('Elève (5ème2)'!BB14:BD15,"B"))*3)+((COUNTIF('Elève (5ème2)'!BB14:BD15,"C"))*2)+((COUNTIF('Elève (5ème2)'!BB14:BD15,"D"))*1))/(COUNTA(BB14:BD15)),"")</f>
        <v/>
      </c>
      <c r="BF13" s="107" t="str">
        <f t="shared" si="12"/>
        <v/>
      </c>
      <c r="BG13" s="204"/>
      <c r="BH13" s="186"/>
      <c r="BI13" s="205"/>
      <c r="BJ13" s="106" t="str">
        <f>IFERROR((((COUNTIF('Elève (5ème2)'!BG14:BI15,"A"))*4)+((COUNTIF('Elève (5ème2)'!BG14:BI15,"B"))*3)+((COUNTIF('Elève (5ème2)'!BG14:BI15,"C"))*2)+((COUNTIF('Elève (5ème2)'!BG14:BI15,"D"))*1))/(COUNTA(BG14:BI15)),"")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(5ème2)'!BL14:BN15,"A"))*4)+((COUNTIF('Elève (5ème2)'!BL14:BN15,"B"))*3)+((COUNTIF('Elève (5ème2)'!BL14:BN15,"C"))*2)+((COUNTIF('Elève (5ème2)'!BL14:BN15,"D"))*1))/(COUNTA(BL14:BN15)),"")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(5ème2)'!BS14:BU15,"A"))*4)+((COUNTIF('Elève (5ème2)'!BS14:BU15,"B"))*3)+((COUNTIF('Elève (5ème2)'!BS14:BU15,"C"))*2)+((COUNTIF('Elève (5ème2)'!BS14:BU15,"D"))*1))/(COUNTA(BS14:BU15)),"")</f>
        <v/>
      </c>
      <c r="BW13" s="107" t="str">
        <f t="shared" si="16"/>
        <v/>
      </c>
      <c r="BX13" s="204"/>
      <c r="BY13" s="186"/>
      <c r="BZ13" s="205"/>
      <c r="CA13" s="106" t="str">
        <f>IFERROR((((COUNTIF('Elève (5ème2)'!BX14:BZ15,"A"))*4)+((COUNTIF('Elève (5ème2)'!BX14:BZ15,"B"))*3)+((COUNTIF('Elève (5ème2)'!BX14:BZ15,"C"))*2)+((COUNTIF('Elève (5ème2)'!BX14:BZ15,"D"))*1))/(COUNTA(BX14:BZ15)),"")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(5ème2)'!CC14:CE15,"A"))*4)+((COUNTIF('Elève (5ème2)'!CC14:CE15,"B"))*3)+((COUNTIF('Elève (5ème2)'!CC14:CE15,"C"))*2)+((COUNTIF('Elève (5ème2)'!CC14:CE15,"D"))*1))/(COUNTA(CC14:CE15)),"")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(5ème2)'!CJ14:CL15,"A"))*4)+((COUNTIF('Elève (5ème2)'!CJ14:CL15,"B"))*3)+((COUNTIF('Elève (5ème2)'!CJ14:CL15,"C"))*2)+((COUNTIF('Elève (5ème2)'!CJ14:CL15,"D"))*1))/(COUNTA(CJ14:CL15)),"")</f>
        <v/>
      </c>
      <c r="CN13" s="107" t="str">
        <f t="shared" si="20"/>
        <v/>
      </c>
      <c r="CO13" s="204"/>
      <c r="CP13" s="186"/>
      <c r="CQ13" s="205"/>
      <c r="CR13" s="106" t="str">
        <f>IFERROR((((COUNTIF('Elève (5ème2)'!CO14:CQ15,"A"))*4)+((COUNTIF('Elève (5ème2)'!CO14:CQ15,"B"))*3)+((COUNTIF('Elève (5ème2)'!CO14:CQ15,"C"))*2)+((COUNTIF('Elève (5ème2)'!CO14:CQ15,"D"))*1))/(COUNTA(CO14:CQ15)),"")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(5ème2)'!CT14:CV15,"A"))*4)+((COUNTIF('Elève (5ème2)'!CT14:CV15,"B"))*3)+((COUNTIF('Elève (5ème2)'!CT14:CV15,"C"))*2)+((COUNTIF('Elève (5ème2)'!CT14:CV15,"D"))*1))/(COUNTA(CT14:CV15)),"")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(5ème2)'!DA14:DC15,"A"))*4)+((COUNTIF('Elève (5ème2)'!DA14:DC15,"B"))*3)+((COUNTIF('Elève (5ème2)'!DA14:DC15,"C"))*2)+((COUNTIF('Elève (5ème2)'!DA14:DC15,"D"))*1))/(COUNTA(DA14:DC15)),"")</f>
        <v/>
      </c>
      <c r="DE13" s="107" t="str">
        <f t="shared" si="24"/>
        <v/>
      </c>
      <c r="DF13" s="204"/>
      <c r="DG13" s="186"/>
      <c r="DH13" s="205"/>
      <c r="DI13" s="106" t="str">
        <f>IFERROR((((COUNTIF('Elève (5ème2)'!DF14:DH15,"A"))*4)+((COUNTIF('Elève (5ème2)'!DF14:DH15,"B"))*3)+((COUNTIF('Elève (5ème2)'!DF14:DH15,"C"))*2)+((COUNTIF('Elève (5ème2)'!DF14:DH15,"D"))*1))/(COUNTA(DF14:DH15)),"")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(5ème2)'!DK14:DM15,"A"))*4)+((COUNTIF('Elève (5ème2)'!DK14:DM15,"B"))*3)+((COUNTIF('Elève (5ème2)'!DK14:DM15,"C"))*2)+((COUNTIF('Elève (5ème2)'!DK14:DM15,"D"))*1))/(COUNTA(DK14:DM15)),"")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(5ème2)'!DR14:DT15,"A"))*4)+((COUNTIF('Elève (5ème2)'!DR14:DT15,"B"))*3)+((COUNTIF('Elève (5ème2)'!DR14:DT15,"C"))*2)+((COUNTIF('Elève (5ème2)'!DR14:DT15,"D"))*1))/(COUNTA(DR14:DT15)),"")</f>
        <v/>
      </c>
      <c r="DV13" s="107" t="str">
        <f t="shared" si="28"/>
        <v/>
      </c>
      <c r="DW13" s="204"/>
      <c r="DX13" s="186"/>
      <c r="DY13" s="205"/>
      <c r="DZ13" s="106" t="str">
        <f>IFERROR((((COUNTIF('Elève (5ème2)'!DW14:DY15,"A"))*4)+((COUNTIF('Elève (5ème2)'!DW14:DY15,"B"))*3)+((COUNTIF('Elève (5ème2)'!DW14:DY15,"C"))*2)+((COUNTIF('Elève (5ème2)'!DW14:DY15,"D"))*1))/(COUNTA(DW14:DY15)),"")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(5ème2)'!EB14:ED15,"A"))*4)+((COUNTIF('Elève (5ème2)'!EB14:ED15,"B"))*3)+((COUNTIF('Elève (5ème2)'!EB14:ED15,"C"))*2)+((COUNTIF('Elève (5ème2)'!EB14:ED15,"D"))*1))/(COUNTA(EB14:ED15)),"")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(5ème2)'!EI14:EK15,"A"))*4)+((COUNTIF('Elève (5ème2)'!EI14:EK15,"B"))*3)+((COUNTIF('Elève (5ème2)'!EI14:EK15,"C"))*2)+((COUNTIF('Elève (5ème2)'!EI14:EK15,"D"))*1))/(COUNTA(EI14:EK15)),"")</f>
        <v/>
      </c>
      <c r="EM13" s="107" t="str">
        <f t="shared" si="32"/>
        <v/>
      </c>
      <c r="EN13" s="204"/>
      <c r="EO13" s="186"/>
      <c r="EP13" s="205"/>
      <c r="EQ13" s="106" t="str">
        <f>IFERROR((((COUNTIF('Elève (5ème2)'!EN14:EP15,"A"))*4)+((COUNTIF('Elève (5ème2)'!EN14:EP15,"B"))*3)+((COUNTIF('Elève (5ème2)'!EN14:EP15,"C"))*2)+((COUNTIF('Elève (5ème2)'!EN14:EP15,"D"))*1))/(COUNTA(EN14:EP15)),"")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(5ème2)'!ES14:EU15,"A"))*4)+((COUNTIF('Elève (5ème2)'!ES14:EU15,"B"))*3)+((COUNTIF('Elève (5ème2)'!ES14:EU15,"C"))*2)+((COUNTIF('Elève (5ème2)'!ES14:EU15,"D"))*1))/(COUNTA(ES14:EU15)),"")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(5ème2)'!EZ14:FB15,"A"))*4)+((COUNTIF('Elève (5ème2)'!EZ14:FB15,"B"))*3)+((COUNTIF('Elève (5ème2)'!EZ14:FB15,"C"))*2)+((COUNTIF('Elève (5ème2)'!EZ14:FB15,"D"))*1))/(COUNTA(EZ14:FB15)),"")</f>
        <v/>
      </c>
      <c r="FD13" s="107" t="str">
        <f t="shared" si="36"/>
        <v/>
      </c>
      <c r="FE13" s="204"/>
      <c r="FF13" s="186"/>
      <c r="FG13" s="205"/>
      <c r="FH13" s="106" t="str">
        <f>IFERROR((((COUNTIF('Elève (5ème2)'!FE14:FG15,"A"))*4)+((COUNTIF('Elève (5ème2)'!FE14:FG15,"B"))*3)+((COUNTIF('Elève (5ème2)'!FE14:FG15,"C"))*2)+((COUNTIF('Elève (5ème2)'!FE14:FG15,"D"))*1))/(COUNTA(FE14:FG15)),"")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(5ème2)'!FJ14:FL15,"A"))*4)+((COUNTIF('Elève (5ème2)'!FJ14:FL15,"B"))*3)+((COUNTIF('Elève (5ème2)'!FJ14:FL15,"C"))*2)+((COUNTIF('Elève (5ème2)'!FJ14:FL15,"D"))*1))/(COUNTA(FJ14:FL15)),"")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(5ème2)'!FQ14:FS15,"A"))*4)+((COUNTIF('Elève (5ème2)'!FQ14:FS15,"B"))*3)+((COUNTIF('Elève (5ème2)'!FQ14:FS15,"C"))*2)+((COUNTIF('Elève (5ème2)'!FQ14:FS15,"D"))*1))/(COUNTA(FQ14:FS15)),"")</f>
        <v/>
      </c>
      <c r="FU13" s="107" t="str">
        <f t="shared" si="40"/>
        <v/>
      </c>
      <c r="FV13" s="204"/>
      <c r="FW13" s="186"/>
      <c r="FX13" s="205"/>
      <c r="FY13" s="106" t="str">
        <f>IFERROR((((COUNTIF('Elève (5ème2)'!FV14:FX15,"A"))*4)+((COUNTIF('Elève (5ème2)'!FV14:FX15,"B"))*3)+((COUNTIF('Elève (5ème2)'!FV14:FX15,"C"))*2)+((COUNTIF('Elève (5ème2)'!FV14:FX15,"D"))*1))/(COUNTA(FV14:FX15)),"")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(5ème2)'!GA14:GC15,"A"))*4)+((COUNTIF('Elève (5ème2)'!GA14:GC15,"B"))*3)+((COUNTIF('Elève (5ème2)'!GA14:GC15,"C"))*2)+((COUNTIF('Elève (5ème2)'!GA14:GC15,"D"))*1))/(COUNTA(GA14:GC15)),"")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(5ème2)'!GH14:GJ15,"A"))*4)+((COUNTIF('Elève (5ème2)'!GH14:GJ15,"B"))*3)+((COUNTIF('Elève (5ème2)'!GH14:GJ15,"C"))*2)+((COUNTIF('Elève (5ème2)'!GH14:GJ15,"D"))*1))/(COUNTA(GH14:GJ15)),"")</f>
        <v/>
      </c>
      <c r="GL13" s="107" t="str">
        <f t="shared" si="44"/>
        <v/>
      </c>
      <c r="GM13" s="204"/>
      <c r="GN13" s="186"/>
      <c r="GO13" s="205"/>
      <c r="GP13" s="106" t="str">
        <f>IFERROR((((COUNTIF('Elève (5ème2)'!GM14:GO15,"A"))*4)+((COUNTIF('Elève (5ème2)'!GM14:GO15,"B"))*3)+((COUNTIF('Elève (5ème2)'!GM14:GO15,"C"))*2)+((COUNTIF('Elève (5ème2)'!GM14:GO15,"D"))*1))/(COUNTA(GM14:GO15)),"")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(5ème2)'!GR14:GT15,"A"))*4)+((COUNTIF('Elève (5ème2)'!GR14:GT15,"B"))*3)+((COUNTIF('Elève (5ème2)'!GR14:GT15,"C"))*2)+((COUNTIF('Elève (5ème2)'!GR14:GT15,"D"))*1))/(COUNTA(GR14:GT15)),"")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(5ème2)'!GY14:HA15,"A"))*4)+((COUNTIF('Elève (5ème2)'!GY14:HA15,"B"))*3)+((COUNTIF('Elève (5ème2)'!GY14:HA15,"C"))*2)+((COUNTIF('Elève (5ème2)'!GY14:HA15,"D"))*1))/(COUNTA(GY14:HA15)),"")</f>
        <v/>
      </c>
      <c r="HC13" s="107" t="str">
        <f t="shared" si="48"/>
        <v/>
      </c>
      <c r="HD13" s="204"/>
      <c r="HE13" s="186"/>
      <c r="HF13" s="205"/>
      <c r="HG13" s="106" t="str">
        <f>IFERROR((((COUNTIF('Elève (5ème2)'!HD14:HF15,"A"))*4)+((COUNTIF('Elève (5ème2)'!HD14:HF15,"B"))*3)+((COUNTIF('Elève (5ème2)'!HD14:HF15,"C"))*2)+((COUNTIF('Elève (5ème2)'!HD14:HF15,"D"))*1))/(COUNTA(HD14:HF15)),"")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(5ème2)'!HI14:HK15,"A"))*4)+((COUNTIF('Elève (5ème2)'!HI14:HK15,"B"))*3)+((COUNTIF('Elève (5ème2)'!HI14:HK15,"C"))*2)+((COUNTIF('Elève (5ème2)'!HI14:HK15,"D"))*1))/(COUNTA(HI14:HK15)),"")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(5ème2)'!HP14:HR15,"A"))*4)+((COUNTIF('Elève (5ème2)'!HP14:HR15,"B"))*3)+((COUNTIF('Elève (5ème2)'!HP14:HR15,"C"))*2)+((COUNTIF('Elève (5ème2)'!HP14:HR15,"D"))*1))/(COUNTA(HP14:HR15)),"")</f>
        <v/>
      </c>
      <c r="HT13" s="107" t="str">
        <f t="shared" si="52"/>
        <v/>
      </c>
      <c r="HU13" s="204"/>
      <c r="HV13" s="186"/>
      <c r="HW13" s="205"/>
      <c r="HX13" s="106" t="str">
        <f>IFERROR((((COUNTIF('Elève (5ème2)'!HU14:HW15,"A"))*4)+((COUNTIF('Elève (5ème2)'!HU14:HW15,"B"))*3)+((COUNTIF('Elève (5ème2)'!HU14:HW15,"C"))*2)+((COUNTIF('Elève (5ème2)'!HU14:HW15,"D"))*1))/(COUNTA(HU14:HW15)),"")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(5ème2)'!HZ14:IB15,"A"))*4)+((COUNTIF('Elève (5ème2)'!HZ14:IB15,"B"))*3)+((COUNTIF('Elève (5ème2)'!HZ14:IB15,"C"))*2)+((COUNTIF('Elève (5ème2)'!HZ14:IB15,"D"))*1))/(COUNTA(HZ14:IB15)),"")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(5ème2)'!IG14:II15,"A"))*4)+((COUNTIF('Elève (5ème2)'!IG14:II15,"B"))*3)+((COUNTIF('Elève (5ème2)'!IG14:II15,"C"))*2)+((COUNTIF('Elève (5ème2)'!IG14:II15,"D"))*1))/(COUNTA(IG14:II15)),"")</f>
        <v/>
      </c>
      <c r="IK13" s="107" t="str">
        <f t="shared" si="56"/>
        <v/>
      </c>
      <c r="IL13" s="204"/>
      <c r="IM13" s="186"/>
      <c r="IN13" s="205"/>
      <c r="IO13" s="106" t="str">
        <f>IFERROR((((COUNTIF('Elève (5ème2)'!IL14:IN15,"A"))*4)+((COUNTIF('Elève (5ème2)'!IL14:IN15,"B"))*3)+((COUNTIF('Elève (5ème2)'!IL14:IN15,"C"))*2)+((COUNTIF('Elève (5ème2)'!IL14:IN15,"D"))*1))/(COUNTA(IL14:IN15)),"")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(5ème2)'!IQ14:IS15,"A"))*4)+((COUNTIF('Elève (5ème2)'!IQ14:IS15,"B"))*3)+((COUNTIF('Elève (5ème2)'!IQ14:IS15,"C"))*2)+((COUNTIF('Elève (5ème2)'!IQ14:IS15,"D"))*1))/(COUNTA(IQ14:IS15)),"")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(5ème2)'!IX14:IZ15,"A"))*4)+((COUNTIF('Elève (5ème2)'!IX14:IZ15,"B"))*3)+((COUNTIF('Elève (5ème2)'!IX14:IZ15,"C"))*2)+((COUNTIF('Elève (5ème2)'!IX14:IZ15,"D"))*1))/(COUNTA(IX14:IZ15)),"")</f>
        <v/>
      </c>
      <c r="JB13" s="107" t="str">
        <f t="shared" si="60"/>
        <v/>
      </c>
      <c r="JC13" s="204"/>
      <c r="JD13" s="186"/>
      <c r="JE13" s="205"/>
      <c r="JF13" s="106" t="str">
        <f>IFERROR((((COUNTIF('Elève (5ème2)'!JC14:JE15,"A"))*4)+((COUNTIF('Elève (5ème2)'!JC14:JE15,"B"))*3)+((COUNTIF('Elève (5ème2)'!JC14:JE15,"C"))*2)+((COUNTIF('Elève (5ème2)'!JC14:JE15,"D"))*1))/(COUNTA(JC14:JE15)),"")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(5ème2)'!JH14:JJ15,"A"))*4)+((COUNTIF('Elève (5ème2)'!JH14:JJ15,"B"))*3)+((COUNTIF('Elève (5ème2)'!JH14:JJ15,"C"))*2)+((COUNTIF('Elève (5ème2)'!JH14:JJ15,"D"))*1))/(COUNTA(JH14:JJ15)),"")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(5ème2)'!JO14:JQ15,"A"))*4)+((COUNTIF('Elève (5ème2)'!JO14:JQ15,"B"))*3)+((COUNTIF('Elève (5ème2)'!JO14:JQ15,"C"))*2)+((COUNTIF('Elève (5ème2)'!JO14:JQ15,"D"))*1))/(COUNTA(JO14:JQ15)),"")</f>
        <v/>
      </c>
      <c r="JS13" s="107" t="str">
        <f t="shared" si="64"/>
        <v/>
      </c>
      <c r="JT13" s="204"/>
      <c r="JU13" s="186"/>
      <c r="JV13" s="205"/>
      <c r="JW13" s="106" t="str">
        <f>IFERROR((((COUNTIF('Elève (5ème2)'!JT14:JV15,"A"))*4)+((COUNTIF('Elève (5ème2)'!JT14:JV15,"B"))*3)+((COUNTIF('Elève (5ème2)'!JT14:JV15,"C"))*2)+((COUNTIF('Elève (5ème2)'!JT14:JV15,"D"))*1))/(COUNTA(JT14:JV15)),"")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(5ème2)'!JY14:KA15,"A"))*4)+((COUNTIF('Elève (5ème2)'!JY14:KA15,"B"))*3)+((COUNTIF('Elève (5ème2)'!JY14:KA15,"C"))*2)+((COUNTIF('Elève (5ème2)'!JY14:KA15,"D"))*1))/(COUNTA(JY14:KA15)),"")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(5ème2)'!KF14:KH15,"A"))*4)+((COUNTIF('Elève (5ème2)'!KF14:KH15,"B"))*3)+((COUNTIF('Elève (5ème2)'!KF14:KH15,"C"))*2)+((COUNTIF('Elève (5ème2)'!KF14:KH15,"D"))*1))/(COUNTA(KF14:KH15)),"")</f>
        <v/>
      </c>
      <c r="KJ13" s="107" t="str">
        <f t="shared" si="68"/>
        <v/>
      </c>
      <c r="KK13" s="204"/>
      <c r="KL13" s="186"/>
      <c r="KM13" s="205"/>
      <c r="KN13" s="106" t="str">
        <f>IFERROR((((COUNTIF('Elève (5ème2)'!KK14:KM15,"A"))*4)+((COUNTIF('Elève (5ème2)'!KK14:KM15,"B"))*3)+((COUNTIF('Elève (5ème2)'!KK14:KM15,"C"))*2)+((COUNTIF('Elève (5ème2)'!KK14:KM15,"D"))*1))/(COUNTA(KK14:KM15)),"")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(5ème2)'!KP14:KR15,"A"))*4)+((COUNTIF('Elève (5ème2)'!KP14:KR15,"B"))*3)+((COUNTIF('Elève (5ème2)'!KP14:KR15,"C"))*2)+((COUNTIF('Elève (5ème2)'!KP14:KR15,"D"))*1))/(COUNTA(KP14:KR15)),"")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(5ème2)'!KW14:KY15,"A"))*4)+((COUNTIF('Elève (5ème2)'!KW14:KY15,"B"))*3)+((COUNTIF('Elève (5ème2)'!KW14:KY15,"C"))*2)+((COUNTIF('Elève (5ème2)'!KW14:KY15,"D"))*1))/(COUNTA(KW14:KY15)),"")</f>
        <v/>
      </c>
      <c r="LA13" s="107" t="str">
        <f t="shared" si="72"/>
        <v/>
      </c>
      <c r="LB13" s="204"/>
      <c r="LC13" s="186"/>
      <c r="LD13" s="205"/>
      <c r="LE13" s="106" t="str">
        <f>IFERROR((((COUNTIF('Elève (5ème2)'!LB14:LD15,"A"))*4)+((COUNTIF('Elève (5ème2)'!LB14:LD15,"B"))*3)+((COUNTIF('Elève (5ème2)'!LB14:LD15,"C"))*2)+((COUNTIF('Elève (5ème2)'!LB14:LD15,"D"))*1))/(COUNTA(LB14:LD15)),"")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(5ème2)'!LG14:LI15,"A"))*4)+((COUNTIF('Elève (5ème2)'!LG14:LI15,"B"))*3)+((COUNTIF('Elève (5ème2)'!LG14:LI15,"C"))*2)+((COUNTIF('Elève (5ème2)'!LG14:LI15,"D"))*1))/(COUNTA(LG14:LI15)),"")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(5ème2)'!LN14:LP15,"A"))*4)+((COUNTIF('Elève (5ème2)'!LN14:LP15,"B"))*3)+((COUNTIF('Elève (5ème2)'!LN14:LP15,"C"))*2)+((COUNTIF('Elève (5ème2)'!LN14:LP15,"D"))*1))/(COUNTA(LN14:LP15)),"")</f>
        <v/>
      </c>
      <c r="LR13" s="107" t="str">
        <f t="shared" si="76"/>
        <v/>
      </c>
      <c r="LS13" s="204"/>
      <c r="LT13" s="186"/>
      <c r="LU13" s="205"/>
      <c r="LV13" s="106" t="str">
        <f>IFERROR((((COUNTIF('Elève (5ème2)'!LS14:LU15,"A"))*4)+((COUNTIF('Elève (5ème2)'!LS14:LU15,"B"))*3)+((COUNTIF('Elève (5ème2)'!LS14:LU15,"C"))*2)+((COUNTIF('Elève (5ème2)'!LS14:LU15,"D"))*1))/(COUNTA(LS14:LU15)),"")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(5ème2)'!LX14:LZ15,"A"))*4)+((COUNTIF('Elève (5ème2)'!LX14:LZ15,"B"))*3)+((COUNTIF('Elève (5ème2)'!LX14:LZ15,"C"))*2)+((COUNTIF('Elève (5ème2)'!LX14:LZ15,"D"))*1))/(COUNTA(LX14:LZ15)),"")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(5ème2)'!ME14:MG15,"A"))*4)+((COUNTIF('Elève (5ème2)'!ME14:MG15,"B"))*3)+((COUNTIF('Elève (5ème2)'!ME14:MG15,"C"))*2)+((COUNTIF('Elève (5ème2)'!ME14:MG15,"D"))*1))/(COUNTA(ME14:MG15)),"")</f>
        <v/>
      </c>
      <c r="MI13" s="107" t="str">
        <f t="shared" si="80"/>
        <v/>
      </c>
      <c r="MJ13" s="204"/>
      <c r="MK13" s="186"/>
      <c r="ML13" s="205"/>
      <c r="MM13" s="106" t="str">
        <f>IFERROR((((COUNTIF('Elève (5ème2)'!MJ14:ML15,"A"))*4)+((COUNTIF('Elève (5ème2)'!MJ14:ML15,"B"))*3)+((COUNTIF('Elève (5ème2)'!MJ14:ML15,"C"))*2)+((COUNTIF('Elève (5ème2)'!MJ14:ML15,"D"))*1))/(COUNTA(MJ14:ML15)),"")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(5ème2)'!MO14:MQ15,"A"))*4)+((COUNTIF('Elève (5ème2)'!MO14:MQ15,"B"))*3)+((COUNTIF('Elève (5ème2)'!MO14:MQ15,"C"))*2)+((COUNTIF('Elève (5ème2)'!MO14:MQ15,"D"))*1))/(COUNTA(MO14:MQ15)),"")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(5ème2)'!MV14:MX15,"A"))*4)+((COUNTIF('Elève (5ème2)'!MV14:MX15,"B"))*3)+((COUNTIF('Elève (5ème2)'!MV14:MX15,"C"))*2)+((COUNTIF('Elève (5ème2)'!MV14:MX15,"D"))*1))/(COUNTA(MV14:MX15)),"")</f>
        <v/>
      </c>
      <c r="MZ13" s="107" t="str">
        <f t="shared" si="84"/>
        <v/>
      </c>
      <c r="NA13" s="204"/>
      <c r="NB13" s="186"/>
      <c r="NC13" s="205"/>
      <c r="ND13" s="106" t="str">
        <f>IFERROR((((COUNTIF('Elève (5ème2)'!NA14:NC15,"A"))*4)+((COUNTIF('Elève (5ème2)'!NA14:NC15,"B"))*3)+((COUNTIF('Elève (5ème2)'!NA14:NC15,"C"))*2)+((COUNTIF('Elève (5ème2)'!NA14:NC15,"D"))*1))/(COUNTA(NA14:NC15)),"")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(5ème2)'!NF14:NH15,"A"))*4)+((COUNTIF('Elève (5ème2)'!NF14:NH15,"B"))*3)+((COUNTIF('Elève (5ème2)'!NF14:NH15,"C"))*2)+((COUNTIF('Elève (5ème2)'!NF14:NH15,"D"))*1))/(COUNTA(NF14:NH15)),"")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(5ème2)'!NM14:NO15,"A"))*4)+((COUNTIF('Elève (5ème2)'!NM14:NO15,"B"))*3)+((COUNTIF('Elève (5ème2)'!NM14:NO15,"C"))*2)+((COUNTIF('Elève (5ème2)'!NM14:NO15,"D"))*1))/(COUNTA(NM14:NO15)),"")</f>
        <v/>
      </c>
      <c r="NQ13" s="107" t="str">
        <f t="shared" si="88"/>
        <v/>
      </c>
      <c r="NR13" s="204"/>
      <c r="NS13" s="186"/>
      <c r="NT13" s="205"/>
      <c r="NU13" s="106" t="str">
        <f>IFERROR((((COUNTIF('Elève (5ème2)'!NR14:NT15,"A"))*4)+((COUNTIF('Elève (5ème2)'!NR14:NT15,"B"))*3)+((COUNTIF('Elève (5ème2)'!NR14:NT15,"C"))*2)+((COUNTIF('Elève (5ème2)'!NR14:NT15,"D"))*1))/(COUNTA(NR14:NT15)),"")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(5ème2)'!NW14:NY15,"A"))*4)+((COUNTIF('Elève (5ème2)'!NW14:NY15,"B"))*3)+((COUNTIF('Elève (5ème2)'!NW14:NY15,"C"))*2)+((COUNTIF('Elève (5ème2)'!NW14:NY15,"D"))*1))/(COUNTA(NW14:NY15)),"")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(5ème2)'!OD14:OF15,"A"))*4)+((COUNTIF('Elève (5ème2)'!OD14:OF15,"B"))*3)+((COUNTIF('Elève (5ème2)'!OD14:OF15,"C"))*2)+((COUNTIF('Elève (5ème2)'!OD14:OF15,"D"))*1))/(COUNTA(OD14:OF15)),"")</f>
        <v/>
      </c>
      <c r="OH13" s="107" t="str">
        <f t="shared" si="92"/>
        <v/>
      </c>
      <c r="OI13" s="204"/>
      <c r="OJ13" s="186"/>
      <c r="OK13" s="205"/>
      <c r="OL13" s="106" t="str">
        <f>IFERROR((((COUNTIF('Elève (5ème2)'!OI14:OK15,"A"))*4)+((COUNTIF('Elève (5ème2)'!OI14:OK15,"B"))*3)+((COUNTIF('Elève (5ème2)'!OI14:OK15,"C"))*2)+((COUNTIF('Elève (5ème2)'!OI14:OK15,"D"))*1))/(COUNTA(OI14:OK15)),"")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(5ème2)'!ON14:OP15,"A"))*4)+((COUNTIF('Elève (5ème2)'!ON14:OP15,"B"))*3)+((COUNTIF('Elève (5ème2)'!ON14:OP15,"C"))*2)+((COUNTIF('Elève (5ème2)'!ON14:OP15,"D"))*1))/(COUNTA(ON14:OP15)),"")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(5ème2)'!OU14:OW15,"A"))*4)+((COUNTIF('Elève (5ème2)'!OU14:OW15,"B"))*3)+((COUNTIF('Elève (5ème2)'!OU14:OW15,"C"))*2)+((COUNTIF('Elève (5ème2)'!OU14:OW15,"D"))*1))/(COUNTA(OU14:OW15)),"")</f>
        <v/>
      </c>
      <c r="OY13" s="107" t="str">
        <f t="shared" si="96"/>
        <v/>
      </c>
      <c r="OZ13" s="204"/>
      <c r="PA13" s="186"/>
      <c r="PB13" s="205"/>
      <c r="PC13" s="106" t="str">
        <f>IFERROR((((COUNTIF('Elève (5ème2)'!OZ14:PB15,"A"))*4)+((COUNTIF('Elève (5ème2)'!OZ14:PB15,"B"))*3)+((COUNTIF('Elève (5ème2)'!OZ14:PB15,"C"))*2)+((COUNTIF('Elève (5ème2)'!OZ14:PB15,"D"))*1))/(COUNTA(OZ14:PB15)),"")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(5ème2)'!PE14:PG15,"A"))*4)+((COUNTIF('Elève (5ème2)'!PE14:PG15,"B"))*3)+((COUNTIF('Elève (5ème2)'!PE14:PG15,"C"))*2)+((COUNTIF('Elève (5ème2)'!PE14:PG15,"D"))*1))/(COUNTA(PE14:PG15)),"")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(5ème2)'!PL14:PN15,"A"))*4)+((COUNTIF('Elève (5ème2)'!PL14:PN15,"B"))*3)+((COUNTIF('Elève (5ème2)'!PL14:PN15,"C"))*2)+((COUNTIF('Elève (5ème2)'!PL14:PN15,"D"))*1))/(COUNTA(PL14:PN15)),"")</f>
        <v/>
      </c>
      <c r="PP13" s="107" t="str">
        <f t="shared" si="100"/>
        <v/>
      </c>
      <c r="PQ13" s="204"/>
      <c r="PR13" s="186"/>
      <c r="PS13" s="205"/>
      <c r="PT13" s="106" t="str">
        <f>IFERROR((((COUNTIF('Elève (5ème2)'!PQ14:PS15,"A"))*4)+((COUNTIF('Elève (5ème2)'!PQ14:PS15,"B"))*3)+((COUNTIF('Elève (5ème2)'!PQ14:PS15,"C"))*2)+((COUNTIF('Elève (5ème2)'!PQ14:PS15,"D"))*1))/(COUNTA(PQ14:PS15)),"")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(5ème2)'!PV14:PX15,"A"))*4)+((COUNTIF('Elève (5ème2)'!PV14:PX15,"B"))*3)+((COUNTIF('Elève (5ème2)'!PV14:PX15,"C"))*2)+((COUNTIF('Elève (5ème2)'!PV14:PX15,"D"))*1))/(COUNTA(PV14:PX15)),"")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(5ème2)'!QC14:QE15,"A"))*4)+((COUNTIF('Elève (5ème2)'!QC14:QE15,"B"))*3)+((COUNTIF('Elève (5ème2)'!QC14:QE15,"C"))*2)+((COUNTIF('Elève (5ème2)'!QC14:QE15,"D"))*1))/(COUNTA(QC14:QE15)),"")</f>
        <v/>
      </c>
      <c r="QG13" s="107" t="str">
        <f t="shared" si="104"/>
        <v/>
      </c>
      <c r="QH13" s="204"/>
      <c r="QI13" s="186"/>
      <c r="QJ13" s="205"/>
      <c r="QK13" s="106" t="str">
        <f>IFERROR((((COUNTIF('Elève (5ème2)'!QH14:QJ15,"A"))*4)+((COUNTIF('Elève (5ème2)'!QH14:QJ15,"B"))*3)+((COUNTIF('Elève (5ème2)'!QH14:QJ15,"C"))*2)+((COUNTIF('Elève (5ème2)'!QH14:QJ15,"D"))*1))/(COUNTA(QH14:QJ15)),"")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(5ème2)'!QM14:QO15,"A"))*4)+((COUNTIF('Elève (5ème2)'!QM14:QO15,"B"))*3)+((COUNTIF('Elève (5ème2)'!QM14:QO15,"C"))*2)+((COUNTIF('Elève (5ème2)'!QM14:QO15,"D"))*1))/(COUNTA(QM14:QO15)),"")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(5ème2)'!QT14:QV15,"A"))*4)+((COUNTIF('Elève (5ème2)'!QT14:QV15,"B"))*3)+((COUNTIF('Elève (5ème2)'!QT14:QV15,"C"))*2)+((COUNTIF('Elève (5ème2)'!QT14:QV15,"D"))*1))/(COUNTA(QT14:QV15)),"")</f>
        <v/>
      </c>
      <c r="QX13" s="107" t="str">
        <f t="shared" si="108"/>
        <v/>
      </c>
      <c r="QY13" s="204"/>
      <c r="QZ13" s="186"/>
      <c r="RA13" s="205"/>
      <c r="RB13" s="106" t="str">
        <f>IFERROR((((COUNTIF('Elève (5ème2)'!QY14:RA15,"A"))*4)+((COUNTIF('Elève (5ème2)'!QY14:RA15,"B"))*3)+((COUNTIF('Elève (5ème2)'!QY14:RA15,"C"))*2)+((COUNTIF('Elève (5ème2)'!QY14:RA15,"D"))*1))/(COUNTA(QY14:RA15)),"")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(5ème2)'!RD14:RF15,"A"))*4)+((COUNTIF('Elève (5ème2)'!RD14:RF15,"B"))*3)+((COUNTIF('Elève (5ème2)'!RD14:RF15,"C"))*2)+((COUNTIF('Elève (5ème2)'!RD14:RF15,"D"))*1))/(COUNTA(RD14:RF15)),"")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(5ème2)'!RK14:RM15,"A"))*4)+((COUNTIF('Elève (5ème2)'!RK14:RM15,"B"))*3)+((COUNTIF('Elève (5ème2)'!RK14:RM15,"C"))*2)+((COUNTIF('Elève (5ème2)'!RK14:RM15,"D"))*1))/(COUNTA(RK14:RM15)),"")</f>
        <v/>
      </c>
      <c r="RO13" s="107" t="str">
        <f t="shared" si="112"/>
        <v/>
      </c>
      <c r="RP13" s="204"/>
      <c r="RQ13" s="186"/>
      <c r="RR13" s="205"/>
      <c r="RS13" s="106" t="str">
        <f>IFERROR((((COUNTIF('Elève (5ème2)'!RP14:RR15,"A"))*4)+((COUNTIF('Elève (5ème2)'!RP14:RR15,"B"))*3)+((COUNTIF('Elève (5ème2)'!RP14:RR15,"C"))*2)+((COUNTIF('Elève (5ème2)'!RP14:RR15,"D"))*1))/(COUNTA(RP14:RR15)),"")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(5ème2)'!RU14:RW15,"A"))*4)+((COUNTIF('Elève (5ème2)'!RU14:RW15,"B"))*3)+((COUNTIF('Elève (5ème2)'!RU14:RW15,"C"))*2)+((COUNTIF('Elève (5ème2)'!RU14:RW15,"D"))*1))/(COUNTA(RU14:RW15)),"")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(5ème2)'!SB14:SD15,"A"))*4)+((COUNTIF('Elève (5ème2)'!SB14:SD15,"B"))*3)+((COUNTIF('Elève (5ème2)'!SB14:SD15,"C"))*2)+((COUNTIF('Elève (5ème2)'!SB14:SD15,"D"))*1))/(COUNTA(SB14:SD15)),"")</f>
        <v/>
      </c>
      <c r="SF13" s="107" t="str">
        <f t="shared" si="116"/>
        <v/>
      </c>
      <c r="SG13" s="204"/>
      <c r="SH13" s="186"/>
      <c r="SI13" s="205"/>
      <c r="SJ13" s="106" t="str">
        <f>IFERROR((((COUNTIF('Elève (5ème2)'!SG14:SI15,"A"))*4)+((COUNTIF('Elève (5ème2)'!SG14:SI15,"B"))*3)+((COUNTIF('Elève (5ème2)'!SG14:SI15,"C"))*2)+((COUNTIF('Elève (5ème2)'!SG14:SI15,"D"))*1))/(COUNTA(SG14:SI15)),"")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(5ème2)'!SL14:SN15,"A"))*4)+((COUNTIF('Elève (5ème2)'!SL14:SN15,"B"))*3)+((COUNTIF('Elève (5ème2)'!SL14:SN15,"C"))*2)+((COUNTIF('Elève (5ème2)'!SL14:SN15,"D"))*1))/(COUNTA(SL14:SN15)),"")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1" t="s">
        <v>19</v>
      </c>
      <c r="B14" s="222"/>
      <c r="C14" s="156"/>
      <c r="D14" s="157"/>
      <c r="E14" s="158"/>
      <c r="F14" s="108" t="str">
        <f>IFERROR((((COUNTIF('Elève (5ème2)'!C14:E14,"A"))*4)+((COUNTIF('Elève (5ème2)'!C14:E14,"B"))*3)+((COUNTIF('Elève (5ème2)'!C14:E14,"C"))*2)+((COUNTIF('Elève (5ème2)'!C14:E14,"D"))*1))/(COUNTA(C14:E14)),"")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(5ème2)'!H14:J14,"A"))*4)+((COUNTIF('Elève (5ème2)'!H14:J14,"B"))*3)+((COUNTIF('Elève (5ème2)'!H14:J14,"C"))*2)+((COUNTIF('Elève (5ème2)'!H14:J14,"D"))*1))/(COUNTA(H14:J14)),"")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(5ème2)'!M14:O14,"A"))*4)+((COUNTIF('Elève (5ème2)'!M14:O14,"B"))*3)+((COUNTIF('Elève (5ème2)'!M14:O14,"C"))*2)+((COUNTIF('Elève (5ème2)'!M14:O14,"D"))*1))/(COUNTA(M14:O14)),"")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(5ème2)'!T14:V14,"A"))*4)+((COUNTIF('Elève (5ème2)'!T14:V14,"B"))*3)+((COUNTIF('Elève (5ème2)'!T14:V14,"C"))*2)+((COUNTIF('Elève (5ème2)'!T14:V14,"D"))*1))/(COUNTA(T14:V14)),"")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(5ème2)'!Y14:AA14,"A"))*4)+((COUNTIF('Elève (5ème2)'!Y14:AA14,"B"))*3)+((COUNTIF('Elève (5ème2)'!Y14:AA14,"C"))*2)+((COUNTIF('Elève (5ème2)'!Y14:AA14,"D"))*1))/(COUNTA(Y14:AA14)),"")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(5ème2)'!AD14:AF14,"A"))*4)+((COUNTIF('Elève (5ème2)'!AD14:AF14,"B"))*3)+((COUNTIF('Elève (5ème2)'!AD14:AF14,"C"))*2)+((COUNTIF('Elève (5ème2)'!AD14:AF14,"D"))*1))/(COUNTA(AD14:AF14)),"")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(5ème2)'!AK14:AM14,"A"))*4)+((COUNTIF('Elève (5ème2)'!AK14:AM14,"B"))*3)+((COUNTIF('Elève (5ème2)'!AK14:AM14,"C"))*2)+((COUNTIF('Elève (5ème2)'!AK14:AM14,"D"))*1))/(COUNTA(AK14:AM14)),"")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(5ème2)'!AP14:AR14,"A"))*4)+((COUNTIF('Elève (5ème2)'!AP14:AR14,"B"))*3)+((COUNTIF('Elève (5ème2)'!AP14:AR14,"C"))*2)+((COUNTIF('Elève (5ème2)'!AP14:AR14,"D"))*1))/(COUNTA(AP14:AR14)),"")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(5ème2)'!AU14:AW14,"A"))*4)+((COUNTIF('Elève (5ème2)'!AU14:AW14,"B"))*3)+((COUNTIF('Elève (5ème2)'!AU14:AW14,"C"))*2)+((COUNTIF('Elève (5ème2)'!AU14:AW14,"D"))*1))/(COUNTA(AU14:AW14)),"")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(5ème2)'!BB14:BD14,"A"))*4)+((COUNTIF('Elève (5ème2)'!BB14:BD14,"B"))*3)+((COUNTIF('Elève (5ème2)'!BB14:BD14,"C"))*2)+((COUNTIF('Elève (5ème2)'!BB14:BD14,"D"))*1))/(COUNTA(BB14:BD14)),"")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(5ème2)'!BG14:BI14,"A"))*4)+((COUNTIF('Elève (5ème2)'!BG14:BI14,"B"))*3)+((COUNTIF('Elève (5ème2)'!BG14:BI14,"C"))*2)+((COUNTIF('Elève (5ème2)'!BG14:BI14,"D"))*1))/(COUNTA(BG14:BI14)),"")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(5ème2)'!BL14:BN14,"A"))*4)+((COUNTIF('Elève (5ème2)'!BL14:BN14,"B"))*3)+((COUNTIF('Elève (5ème2)'!BL14:BN14,"C"))*2)+((COUNTIF('Elève (5ème2)'!BL14:BN14,"D"))*1))/(COUNTA(BL14:BN14)),"")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(5ème2)'!BS14:BU14,"A"))*4)+((COUNTIF('Elève (5ème2)'!BS14:BU14,"B"))*3)+((COUNTIF('Elève (5ème2)'!BS14:BU14,"C"))*2)+((COUNTIF('Elève (5ème2)'!BS14:BU14,"D"))*1))/(COUNTA(BS14:BU14)),"")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(5ème2)'!BX14:BZ14,"A"))*4)+((COUNTIF('Elève (5ème2)'!BX14:BZ14,"B"))*3)+((COUNTIF('Elève (5ème2)'!BX14:BZ14,"C"))*2)+((COUNTIF('Elève (5ème2)'!BX14:BZ14,"D"))*1))/(COUNTA(BX14:BZ14)),"")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(5ème2)'!CC14:CE14,"A"))*4)+((COUNTIF('Elève (5ème2)'!CC14:CE14,"B"))*3)+((COUNTIF('Elève (5ème2)'!CC14:CE14,"C"))*2)+((COUNTIF('Elève (5ème2)'!CC14:CE14,"D"))*1))/(COUNTA(CC14:CE14)),"")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(5ème2)'!CJ14:CL14,"A"))*4)+((COUNTIF('Elève (5ème2)'!CJ14:CL14,"B"))*3)+((COUNTIF('Elève (5ème2)'!CJ14:CL14,"C"))*2)+((COUNTIF('Elève (5ème2)'!CJ14:CL14,"D"))*1))/(COUNTA(CJ14:CL14)),"")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(5ème2)'!CO14:CQ14,"A"))*4)+((COUNTIF('Elève (5ème2)'!CO14:CQ14,"B"))*3)+((COUNTIF('Elève (5ème2)'!CO14:CQ14,"C"))*2)+((COUNTIF('Elève (5ème2)'!CO14:CQ14,"D"))*1))/(COUNTA(CO14:CQ14)),"")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(5ème2)'!CT14:CV14,"A"))*4)+((COUNTIF('Elève (5ème2)'!CT14:CV14,"B"))*3)+((COUNTIF('Elève (5ème2)'!CT14:CV14,"C"))*2)+((COUNTIF('Elève (5ème2)'!CT14:CV14,"D"))*1))/(COUNTA(CT14:CV14)),"")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(5ème2)'!DA14:DC14,"A"))*4)+((COUNTIF('Elève (5ème2)'!DA14:DC14,"B"))*3)+((COUNTIF('Elève (5ème2)'!DA14:DC14,"C"))*2)+((COUNTIF('Elève (5ème2)'!DA14:DC14,"D"))*1))/(COUNTA(DA14:DC14)),"")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(5ème2)'!DF14:DH14,"A"))*4)+((COUNTIF('Elève (5ème2)'!DF14:DH14,"B"))*3)+((COUNTIF('Elève (5ème2)'!DF14:DH14,"C"))*2)+((COUNTIF('Elève (5ème2)'!DF14:DH14,"D"))*1))/(COUNTA(DF14:DH14)),"")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(5ème2)'!DK14:DM14,"A"))*4)+((COUNTIF('Elève (5ème2)'!DK14:DM14,"B"))*3)+((COUNTIF('Elève (5ème2)'!DK14:DM14,"C"))*2)+((COUNTIF('Elève (5ème2)'!DK14:DM14,"D"))*1))/(COUNTA(DK14:DM14)),"")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(5ème2)'!DR14:DT14,"A"))*4)+((COUNTIF('Elève (5ème2)'!DR14:DT14,"B"))*3)+((COUNTIF('Elève (5ème2)'!DR14:DT14,"C"))*2)+((COUNTIF('Elève (5ème2)'!DR14:DT14,"D"))*1))/(COUNTA(DR14:DT14)),"")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(5ème2)'!DW14:DY14,"A"))*4)+((COUNTIF('Elève (5ème2)'!DW14:DY14,"B"))*3)+((COUNTIF('Elève (5ème2)'!DW14:DY14,"C"))*2)+((COUNTIF('Elève (5ème2)'!DW14:DY14,"D"))*1))/(COUNTA(DW14:DY14)),"")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(5ème2)'!EB14:ED14,"A"))*4)+((COUNTIF('Elève (5ème2)'!EB14:ED14,"B"))*3)+((COUNTIF('Elève (5ème2)'!EB14:ED14,"C"))*2)+((COUNTIF('Elève (5ème2)'!EB14:ED14,"D"))*1))/(COUNTA(EB14:ED14)),"")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(5ème2)'!EI14:EK14,"A"))*4)+((COUNTIF('Elève (5ème2)'!EI14:EK14,"B"))*3)+((COUNTIF('Elève (5ème2)'!EI14:EK14,"C"))*2)+((COUNTIF('Elève (5ème2)'!EI14:EK14,"D"))*1))/(COUNTA(EI14:EK14)),"")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(5ème2)'!EN14:EP14,"A"))*4)+((COUNTIF('Elève (5ème2)'!EN14:EP14,"B"))*3)+((COUNTIF('Elève (5ème2)'!EN14:EP14,"C"))*2)+((COUNTIF('Elève (5ème2)'!EN14:EP14,"D"))*1))/(COUNTA(EN14:EP14)),"")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(5ème2)'!ES14:EU14,"A"))*4)+((COUNTIF('Elève (5ème2)'!ES14:EU14,"B"))*3)+((COUNTIF('Elève (5ème2)'!ES14:EU14,"C"))*2)+((COUNTIF('Elève (5ème2)'!ES14:EU14,"D"))*1))/(COUNTA(ES14:EU14)),"")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(5ème2)'!EZ14:FB14,"A"))*4)+((COUNTIF('Elève (5ème2)'!EZ14:FB14,"B"))*3)+((COUNTIF('Elève (5ème2)'!EZ14:FB14,"C"))*2)+((COUNTIF('Elève (5ème2)'!EZ14:FB14,"D"))*1))/(COUNTA(EZ14:FB14)),"")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(5ème2)'!FE14:FG14,"A"))*4)+((COUNTIF('Elève (5ème2)'!FE14:FG14,"B"))*3)+((COUNTIF('Elève (5ème2)'!FE14:FG14,"C"))*2)+((COUNTIF('Elève (5ème2)'!FE14:FG14,"D"))*1))/(COUNTA(FE14:FG14)),"")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(5ème2)'!FJ14:FL14,"A"))*4)+((COUNTIF('Elève (5ème2)'!FJ14:FL14,"B"))*3)+((COUNTIF('Elève (5ème2)'!FJ14:FL14,"C"))*2)+((COUNTIF('Elève (5ème2)'!FJ14:FL14,"D"))*1))/(COUNTA(FJ14:FL14)),"")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(5ème2)'!FQ14:FS14,"A"))*4)+((COUNTIF('Elève (5ème2)'!FQ14:FS14,"B"))*3)+((COUNTIF('Elève (5ème2)'!FQ14:FS14,"C"))*2)+((COUNTIF('Elève (5ème2)'!FQ14:FS14,"D"))*1))/(COUNTA(FQ14:FS14)),"")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(5ème2)'!FV14:FX14,"A"))*4)+((COUNTIF('Elève (5ème2)'!FV14:FX14,"B"))*3)+((COUNTIF('Elève (5ème2)'!FV14:FX14,"C"))*2)+((COUNTIF('Elève (5ème2)'!FV14:FX14,"D"))*1))/(COUNTA(FV14:FX14)),"")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(5ème2)'!GA14:GC14,"A"))*4)+((COUNTIF('Elève (5ème2)'!GA14:GC14,"B"))*3)+((COUNTIF('Elève (5ème2)'!GA14:GC14,"C"))*2)+((COUNTIF('Elève (5ème2)'!GA14:GC14,"D"))*1))/(COUNTA(GA14:GC14)),"")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(5ème2)'!GH14:GJ14,"A"))*4)+((COUNTIF('Elève (5ème2)'!GH14:GJ14,"B"))*3)+((COUNTIF('Elève (5ème2)'!GH14:GJ14,"C"))*2)+((COUNTIF('Elève (5ème2)'!GH14:GJ14,"D"))*1))/(COUNTA(GH14:GJ14)),"")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(5ème2)'!GM14:GO14,"A"))*4)+((COUNTIF('Elève (5ème2)'!GM14:GO14,"B"))*3)+((COUNTIF('Elève (5ème2)'!GM14:GO14,"C"))*2)+((COUNTIF('Elève (5ème2)'!GM14:GO14,"D"))*1))/(COUNTA(GM14:GO14)),"")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(5ème2)'!GR14:GT14,"A"))*4)+((COUNTIF('Elève (5ème2)'!GR14:GT14,"B"))*3)+((COUNTIF('Elève (5ème2)'!GR14:GT14,"C"))*2)+((COUNTIF('Elève (5ème2)'!GR14:GT14,"D"))*1))/(COUNTA(GR14:GT14)),"")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(5ème2)'!GY14:HA14,"A"))*4)+((COUNTIF('Elève (5ème2)'!GY14:HA14,"B"))*3)+((COUNTIF('Elève (5ème2)'!GY14:HA14,"C"))*2)+((COUNTIF('Elève (5ème2)'!GY14:HA14,"D"))*1))/(COUNTA(GY14:HA14)),"")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(5ème2)'!HD14:HF14,"A"))*4)+((COUNTIF('Elève (5ème2)'!HD14:HF14,"B"))*3)+((COUNTIF('Elève (5ème2)'!HD14:HF14,"C"))*2)+((COUNTIF('Elève (5ème2)'!HD14:HF14,"D"))*1))/(COUNTA(HD14:HF14)),"")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(5ème2)'!HI14:HK14,"A"))*4)+((COUNTIF('Elève (5ème2)'!HI14:HK14,"B"))*3)+((COUNTIF('Elève (5ème2)'!HI14:HK14,"C"))*2)+((COUNTIF('Elève (5ème2)'!HI14:HK14,"D"))*1))/(COUNTA(HI14:HK14)),"")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(5ème2)'!HP14:HR14,"A"))*4)+((COUNTIF('Elève (5ème2)'!HP14:HR14,"B"))*3)+((COUNTIF('Elève (5ème2)'!HP14:HR14,"C"))*2)+((COUNTIF('Elève (5ème2)'!HP14:HR14,"D"))*1))/(COUNTA(HP14:HR14)),"")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(5ème2)'!HU14:HW14,"A"))*4)+((COUNTIF('Elève (5ème2)'!HU14:HW14,"B"))*3)+((COUNTIF('Elève (5ème2)'!HU14:HW14,"C"))*2)+((COUNTIF('Elève (5ème2)'!HU14:HW14,"D"))*1))/(COUNTA(HU14:HW14)),"")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(5ème2)'!HZ14:IB14,"A"))*4)+((COUNTIF('Elève (5ème2)'!HZ14:IB14,"B"))*3)+((COUNTIF('Elève (5ème2)'!HZ14:IB14,"C"))*2)+((COUNTIF('Elève (5ème2)'!HZ14:IB14,"D"))*1))/(COUNTA(HZ14:IB14)),"")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(5ème2)'!IG14:II14,"A"))*4)+((COUNTIF('Elève (5ème2)'!IG14:II14,"B"))*3)+((COUNTIF('Elève (5ème2)'!IG14:II14,"C"))*2)+((COUNTIF('Elève (5ème2)'!IG14:II14,"D"))*1))/(COUNTA(IG14:II14)),"")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(5ème2)'!IL14:IN14,"A"))*4)+((COUNTIF('Elève (5ème2)'!IL14:IN14,"B"))*3)+((COUNTIF('Elève (5ème2)'!IL14:IN14,"C"))*2)+((COUNTIF('Elève (5ème2)'!IL14:IN14,"D"))*1))/(COUNTA(IL14:IN14)),"")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(5ème2)'!IQ14:IS14,"A"))*4)+((COUNTIF('Elève (5ème2)'!IQ14:IS14,"B"))*3)+((COUNTIF('Elève (5ème2)'!IQ14:IS14,"C"))*2)+((COUNTIF('Elève (5ème2)'!IQ14:IS14,"D"))*1))/(COUNTA(IQ14:IS14)),"")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(5ème2)'!IX14:IZ14,"A"))*4)+((COUNTIF('Elève (5ème2)'!IX14:IZ14,"B"))*3)+((COUNTIF('Elève (5ème2)'!IX14:IZ14,"C"))*2)+((COUNTIF('Elève (5ème2)'!IX14:IZ14,"D"))*1))/(COUNTA(IX14:IZ14)),"")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(5ème2)'!JC14:JE14,"A"))*4)+((COUNTIF('Elève (5ème2)'!JC14:JE14,"B"))*3)+((COUNTIF('Elève (5ème2)'!JC14:JE14,"C"))*2)+((COUNTIF('Elève (5ème2)'!JC14:JE14,"D"))*1))/(COUNTA(JC14:JE14)),"")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(5ème2)'!JH14:JJ14,"A"))*4)+((COUNTIF('Elève (5ème2)'!JH14:JJ14,"B"))*3)+((COUNTIF('Elève (5ème2)'!JH14:JJ14,"C"))*2)+((COUNTIF('Elève (5ème2)'!JH14:JJ14,"D"))*1))/(COUNTA(JH14:JJ14)),"")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(5ème2)'!JO14:JQ14,"A"))*4)+((COUNTIF('Elève (5ème2)'!JO14:JQ14,"B"))*3)+((COUNTIF('Elève (5ème2)'!JO14:JQ14,"C"))*2)+((COUNTIF('Elève (5ème2)'!JO14:JQ14,"D"))*1))/(COUNTA(JO14:JQ14)),"")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(5ème2)'!JT14:JV14,"A"))*4)+((COUNTIF('Elève (5ème2)'!JT14:JV14,"B"))*3)+((COUNTIF('Elève (5ème2)'!JT14:JV14,"C"))*2)+((COUNTIF('Elève (5ème2)'!JT14:JV14,"D"))*1))/(COUNTA(JT14:JV14)),"")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(5ème2)'!JY14:KA14,"A"))*4)+((COUNTIF('Elève (5ème2)'!JY14:KA14,"B"))*3)+((COUNTIF('Elève (5ème2)'!JY14:KA14,"C"))*2)+((COUNTIF('Elève (5ème2)'!JY14:KA14,"D"))*1))/(COUNTA(JY14:KA14)),"")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(5ème2)'!KF14:KH14,"A"))*4)+((COUNTIF('Elève (5ème2)'!KF14:KH14,"B"))*3)+((COUNTIF('Elève (5ème2)'!KF14:KH14,"C"))*2)+((COUNTIF('Elève (5ème2)'!KF14:KH14,"D"))*1))/(COUNTA(KF14:KH14)),"")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(5ème2)'!KK14:KM14,"A"))*4)+((COUNTIF('Elève (5ème2)'!KK14:KM14,"B"))*3)+((COUNTIF('Elève (5ème2)'!KK14:KM14,"C"))*2)+((COUNTIF('Elève (5ème2)'!KK14:KM14,"D"))*1))/(COUNTA(KK14:KM14)),"")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(5ème2)'!KP14:KR14,"A"))*4)+((COUNTIF('Elève (5ème2)'!KP14:KR14,"B"))*3)+((COUNTIF('Elève (5ème2)'!KP14:KR14,"C"))*2)+((COUNTIF('Elève (5ème2)'!KP14:KR14,"D"))*1))/(COUNTA(KP14:KR14)),"")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(5ème2)'!KW14:KY14,"A"))*4)+((COUNTIF('Elève (5ème2)'!KW14:KY14,"B"))*3)+((COUNTIF('Elève (5ème2)'!KW14:KY14,"C"))*2)+((COUNTIF('Elève (5ème2)'!KW14:KY14,"D"))*1))/(COUNTA(KW14:KY14)),"")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(5ème2)'!LB14:LD14,"A"))*4)+((COUNTIF('Elève (5ème2)'!LB14:LD14,"B"))*3)+((COUNTIF('Elève (5ème2)'!LB14:LD14,"C"))*2)+((COUNTIF('Elève (5ème2)'!LB14:LD14,"D"))*1))/(COUNTA(LB14:LD14)),"")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(5ème2)'!LG14:LI14,"A"))*4)+((COUNTIF('Elève (5ème2)'!LG14:LI14,"B"))*3)+((COUNTIF('Elève (5ème2)'!LG14:LI14,"C"))*2)+((COUNTIF('Elève (5ème2)'!LG14:LI14,"D"))*1))/(COUNTA(LG14:LI14)),"")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(5ème2)'!LN14:LP14,"A"))*4)+((COUNTIF('Elève (5ème2)'!LN14:LP14,"B"))*3)+((COUNTIF('Elève (5ème2)'!LN14:LP14,"C"))*2)+((COUNTIF('Elève (5ème2)'!LN14:LP14,"D"))*1))/(COUNTA(LN14:LP14)),"")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(5ème2)'!LS14:LU14,"A"))*4)+((COUNTIF('Elève (5ème2)'!LS14:LU14,"B"))*3)+((COUNTIF('Elève (5ème2)'!LS14:LU14,"C"))*2)+((COUNTIF('Elève (5ème2)'!LS14:LU14,"D"))*1))/(COUNTA(LS14:LU14)),"")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(5ème2)'!LX14:LZ14,"A"))*4)+((COUNTIF('Elève (5ème2)'!LX14:LZ14,"B"))*3)+((COUNTIF('Elève (5ème2)'!LX14:LZ14,"C"))*2)+((COUNTIF('Elève (5ème2)'!LX14:LZ14,"D"))*1))/(COUNTA(LX14:LZ14)),"")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(5ème2)'!ME14:MG14,"A"))*4)+((COUNTIF('Elève (5ème2)'!ME14:MG14,"B"))*3)+((COUNTIF('Elève (5ème2)'!ME14:MG14,"C"))*2)+((COUNTIF('Elève (5ème2)'!ME14:MG14,"D"))*1))/(COUNTA(ME14:MG14)),"")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(5ème2)'!MJ14:ML14,"A"))*4)+((COUNTIF('Elève (5ème2)'!MJ14:ML14,"B"))*3)+((COUNTIF('Elève (5ème2)'!MJ14:ML14,"C"))*2)+((COUNTIF('Elève (5ème2)'!MJ14:ML14,"D"))*1))/(COUNTA(MJ14:ML14)),"")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(5ème2)'!MO14:MQ14,"A"))*4)+((COUNTIF('Elève (5ème2)'!MO14:MQ14,"B"))*3)+((COUNTIF('Elève (5ème2)'!MO14:MQ14,"C"))*2)+((COUNTIF('Elève (5ème2)'!MO14:MQ14,"D"))*1))/(COUNTA(MO14:MQ14)),"")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(5ème2)'!MV14:MX14,"A"))*4)+((COUNTIF('Elève (5ème2)'!MV14:MX14,"B"))*3)+((COUNTIF('Elève (5ème2)'!MV14:MX14,"C"))*2)+((COUNTIF('Elève (5ème2)'!MV14:MX14,"D"))*1))/(COUNTA(MV14:MX14)),"")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(5ème2)'!NA14:NC14,"A"))*4)+((COUNTIF('Elève (5ème2)'!NA14:NC14,"B"))*3)+((COUNTIF('Elève (5ème2)'!NA14:NC14,"C"))*2)+((COUNTIF('Elève (5ème2)'!NA14:NC14,"D"))*1))/(COUNTA(NA14:NC14)),"")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(5ème2)'!NF14:NH14,"A"))*4)+((COUNTIF('Elève (5ème2)'!NF14:NH14,"B"))*3)+((COUNTIF('Elève (5ème2)'!NF14:NH14,"C"))*2)+((COUNTIF('Elève (5ème2)'!NF14:NH14,"D"))*1))/(COUNTA(NF14:NH14)),"")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(5ème2)'!NM14:NO14,"A"))*4)+((COUNTIF('Elève (5ème2)'!NM14:NO14,"B"))*3)+((COUNTIF('Elève (5ème2)'!NM14:NO14,"C"))*2)+((COUNTIF('Elève (5ème2)'!NM14:NO14,"D"))*1))/(COUNTA(NM14:NO14)),"")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(5ème2)'!NR14:NT14,"A"))*4)+((COUNTIF('Elève (5ème2)'!NR14:NT14,"B"))*3)+((COUNTIF('Elève (5ème2)'!NR14:NT14,"C"))*2)+((COUNTIF('Elève (5ème2)'!NR14:NT14,"D"))*1))/(COUNTA(NR14:NT14)),"")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(5ème2)'!NW14:NY14,"A"))*4)+((COUNTIF('Elève (5ème2)'!NW14:NY14,"B"))*3)+((COUNTIF('Elève (5ème2)'!NW14:NY14,"C"))*2)+((COUNTIF('Elève (5ème2)'!NW14:NY14,"D"))*1))/(COUNTA(NW14:NY14)),"")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(5ème2)'!OD14:OF14,"A"))*4)+((COUNTIF('Elève (5ème2)'!OD14:OF14,"B"))*3)+((COUNTIF('Elève (5ème2)'!OD14:OF14,"C"))*2)+((COUNTIF('Elève (5ème2)'!OD14:OF14,"D"))*1))/(COUNTA(OD14:OF14)),"")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(5ème2)'!OI14:OK14,"A"))*4)+((COUNTIF('Elève (5ème2)'!OI14:OK14,"B"))*3)+((COUNTIF('Elève (5ème2)'!OI14:OK14,"C"))*2)+((COUNTIF('Elève (5ème2)'!OI14:OK14,"D"))*1))/(COUNTA(OI14:OK14)),"")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(5ème2)'!ON14:OP14,"A"))*4)+((COUNTIF('Elève (5ème2)'!ON14:OP14,"B"))*3)+((COUNTIF('Elève (5ème2)'!ON14:OP14,"C"))*2)+((COUNTIF('Elève (5ème2)'!ON14:OP14,"D"))*1))/(COUNTA(ON14:OP14)),"")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(5ème2)'!OU14:OW14,"A"))*4)+((COUNTIF('Elève (5ème2)'!OU14:OW14,"B"))*3)+((COUNTIF('Elève (5ème2)'!OU14:OW14,"C"))*2)+((COUNTIF('Elève (5ème2)'!OU14:OW14,"D"))*1))/(COUNTA(OU14:OW14)),"")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(5ème2)'!OZ14:PB14,"A"))*4)+((COUNTIF('Elève (5ème2)'!OZ14:PB14,"B"))*3)+((COUNTIF('Elève (5ème2)'!OZ14:PB14,"C"))*2)+((COUNTIF('Elève (5ème2)'!OZ14:PB14,"D"))*1))/(COUNTA(OZ14:PB14)),"")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(5ème2)'!PE14:PG14,"A"))*4)+((COUNTIF('Elève (5ème2)'!PE14:PG14,"B"))*3)+((COUNTIF('Elève (5ème2)'!PE14:PG14,"C"))*2)+((COUNTIF('Elève (5ème2)'!PE14:PG14,"D"))*1))/(COUNTA(PE14:PG14)),"")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(5ème2)'!PL14:PN14,"A"))*4)+((COUNTIF('Elève (5ème2)'!PL14:PN14,"B"))*3)+((COUNTIF('Elève (5ème2)'!PL14:PN14,"C"))*2)+((COUNTIF('Elève (5ème2)'!PL14:PN14,"D"))*1))/(COUNTA(PL14:PN14)),"")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(5ème2)'!PQ14:PS14,"A"))*4)+((COUNTIF('Elève (5ème2)'!PQ14:PS14,"B"))*3)+((COUNTIF('Elève (5ème2)'!PQ14:PS14,"C"))*2)+((COUNTIF('Elève (5ème2)'!PQ14:PS14,"D"))*1))/(COUNTA(PQ14:PS14)),"")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(5ème2)'!PV14:PX14,"A"))*4)+((COUNTIF('Elève (5ème2)'!PV14:PX14,"B"))*3)+((COUNTIF('Elève (5ème2)'!PV14:PX14,"C"))*2)+((COUNTIF('Elève (5ème2)'!PV14:PX14,"D"))*1))/(COUNTA(PV14:PX14)),"")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(5ème2)'!QC14:QE14,"A"))*4)+((COUNTIF('Elève (5ème2)'!QC14:QE14,"B"))*3)+((COUNTIF('Elève (5ème2)'!QC14:QE14,"C"))*2)+((COUNTIF('Elève (5ème2)'!QC14:QE14,"D"))*1))/(COUNTA(QC14:QE14)),"")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(5ème2)'!QH14:QJ14,"A"))*4)+((COUNTIF('Elève (5ème2)'!QH14:QJ14,"B"))*3)+((COUNTIF('Elève (5ème2)'!QH14:QJ14,"C"))*2)+((COUNTIF('Elève (5ème2)'!QH14:QJ14,"D"))*1))/(COUNTA(QH14:QJ14)),"")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(5ème2)'!QM14:QO14,"A"))*4)+((COUNTIF('Elève (5ème2)'!QM14:QO14,"B"))*3)+((COUNTIF('Elève (5ème2)'!QM14:QO14,"C"))*2)+((COUNTIF('Elève (5ème2)'!QM14:QO14,"D"))*1))/(COUNTA(QM14:QO14)),"")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(5ème2)'!QT14:QV14,"A"))*4)+((COUNTIF('Elève (5ème2)'!QT14:QV14,"B"))*3)+((COUNTIF('Elève (5ème2)'!QT14:QV14,"C"))*2)+((COUNTIF('Elève (5ème2)'!QT14:QV14,"D"))*1))/(COUNTA(QT14:QV14)),"")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(5ème2)'!QY14:RA14,"A"))*4)+((COUNTIF('Elève (5ème2)'!QY14:RA14,"B"))*3)+((COUNTIF('Elève (5ème2)'!QY14:RA14,"C"))*2)+((COUNTIF('Elève (5ème2)'!QY14:RA14,"D"))*1))/(COUNTA(QY14:RA14)),"")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(5ème2)'!RD14:RF14,"A"))*4)+((COUNTIF('Elève (5ème2)'!RD14:RF14,"B"))*3)+((COUNTIF('Elève (5ème2)'!RD14:RF14,"C"))*2)+((COUNTIF('Elève (5ème2)'!RD14:RF14,"D"))*1))/(COUNTA(RD14:RF14)),"")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(5ème2)'!RK14:RM14,"A"))*4)+((COUNTIF('Elève (5ème2)'!RK14:RM14,"B"))*3)+((COUNTIF('Elève (5ème2)'!RK14:RM14,"C"))*2)+((COUNTIF('Elève (5ème2)'!RK14:RM14,"D"))*1))/(COUNTA(RK14:RM14)),"")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(5ème2)'!RP14:RR14,"A"))*4)+((COUNTIF('Elève (5ème2)'!RP14:RR14,"B"))*3)+((COUNTIF('Elève (5ème2)'!RP14:RR14,"C"))*2)+((COUNTIF('Elève (5ème2)'!RP14:RR14,"D"))*1))/(COUNTA(RP14:RR14)),"")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(5ème2)'!RU14:RW14,"A"))*4)+((COUNTIF('Elève (5ème2)'!RU14:RW14,"B"))*3)+((COUNTIF('Elève (5ème2)'!RU14:RW14,"C"))*2)+((COUNTIF('Elève (5ème2)'!RU14:RW14,"D"))*1))/(COUNTA(RU14:RW14)),"")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(5ème2)'!SB14:SD14,"A"))*4)+((COUNTIF('Elève (5ème2)'!SB14:SD14,"B"))*3)+((COUNTIF('Elève (5ème2)'!SB14:SD14,"C"))*2)+((COUNTIF('Elève (5ème2)'!SB14:SD14,"D"))*1))/(COUNTA(SB14:SD14)),"")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(5ème2)'!SG14:SI14,"A"))*4)+((COUNTIF('Elève (5ème2)'!SG14:SI14,"B"))*3)+((COUNTIF('Elève (5ème2)'!SG14:SI14,"C"))*2)+((COUNTIF('Elève (5ème2)'!SG14:SI14,"D"))*1))/(COUNTA(SG14:SI14)),"")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(5ème2)'!SL14:SN14,"A"))*4)+((COUNTIF('Elève (5ème2)'!SL14:SN14,"B"))*3)+((COUNTIF('Elève (5ème2)'!SL14:SN14,"C"))*2)+((COUNTIF('Elève (5ème2)'!SL14:SN14,"D"))*1))/(COUNTA(SL14:SN14)),"")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25" t="s">
        <v>37</v>
      </c>
      <c r="B15" s="226"/>
      <c r="C15" s="159"/>
      <c r="D15" s="160"/>
      <c r="E15" s="161"/>
      <c r="F15" s="112" t="str">
        <f>IFERROR((((COUNTIF('Elève (5ème2)'!C15:E15,"A"))*4)+((COUNTIF('Elève (5ème2)'!C15:E15,"B"))*3)+((COUNTIF('Elève (5ème2)'!C15:E15,"C"))*2)+((COUNTIF('Elève (5ème2)'!C15:E15,"D"))*1))/(COUNTA(C15:E15)),"")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(5ème2)'!H15:J15,"A"))*4)+((COUNTIF('Elève (5ème2)'!H15:J15,"B"))*3)+((COUNTIF('Elève (5ème2)'!H15:J15,"C"))*2)+((COUNTIF('Elève (5ème2)'!H15:J15,"D"))*1))/(COUNTA(H15:J15)),"")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(5ème2)'!M15:O15,"A"))*4)+((COUNTIF('Elève (5ème2)'!M15:O15,"B"))*3)+((COUNTIF('Elève (5ème2)'!M15:O15,"C"))*2)+((COUNTIF('Elève (5ème2)'!M15:O15,"D"))*1))/(COUNTA(M15:O15)),"")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(5ème2)'!T15:V15,"A"))*4)+((COUNTIF('Elève (5ème2)'!T15:V15,"B"))*3)+((COUNTIF('Elève (5ème2)'!T15:V15,"C"))*2)+((COUNTIF('Elève (5ème2)'!T15:V15,"D"))*1))/(COUNTA(T15:V15)),"")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(5ème2)'!Y15:AA15,"A"))*4)+((COUNTIF('Elève (5ème2)'!Y15:AA15,"B"))*3)+((COUNTIF('Elève (5ème2)'!Y15:AA15,"C"))*2)+((COUNTIF('Elève (5ème2)'!Y15:AA15,"D"))*1))/(COUNTA(Y15:AA15)),"")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(5ème2)'!AD15:AF15,"A"))*4)+((COUNTIF('Elève (5ème2)'!AD15:AF15,"B"))*3)+((COUNTIF('Elève (5ème2)'!AD15:AF15,"C"))*2)+((COUNTIF('Elève (5ème2)'!AD15:AF15,"D"))*1))/(COUNTA(AD15:AF15)),"")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(5ème2)'!AK15:AM15,"A"))*4)+((COUNTIF('Elève (5ème2)'!AK15:AM15,"B"))*3)+((COUNTIF('Elève (5ème2)'!AK15:AM15,"C"))*2)+((COUNTIF('Elève (5ème2)'!AK15:AM15,"D"))*1))/(COUNTA(AK15:AM15)),"")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(5ème2)'!AP15:AR15,"A"))*4)+((COUNTIF('Elève (5ème2)'!AP15:AR15,"B"))*3)+((COUNTIF('Elève (5ème2)'!AP15:AR15,"C"))*2)+((COUNTIF('Elève (5ème2)'!AP15:AR15,"D"))*1))/(COUNTA(AP15:AR15)),"")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(5ème2)'!AU15:AW15,"A"))*4)+((COUNTIF('Elève (5ème2)'!AU15:AW15,"B"))*3)+((COUNTIF('Elève (5ème2)'!AU15:AW15,"C"))*2)+((COUNTIF('Elève (5ème2)'!AU15:AW15,"D"))*1))/(COUNTA(AU15:AW15)),"")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(5ème2)'!BB15:BD15,"A"))*4)+((COUNTIF('Elève (5ème2)'!BB15:BD15,"B"))*3)+((COUNTIF('Elève (5ème2)'!BB15:BD15,"C"))*2)+((COUNTIF('Elève (5ème2)'!BB15:BD15,"D"))*1))/(COUNTA(BB15:BD15)),"")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(5ème2)'!BG15:BI15,"A"))*4)+((COUNTIF('Elève (5ème2)'!BG15:BI15,"B"))*3)+((COUNTIF('Elève (5ème2)'!BG15:BI15,"C"))*2)+((COUNTIF('Elève (5ème2)'!BG15:BI15,"D"))*1))/(COUNTA(BG15:BI15)),"")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(5ème2)'!BL15:BN15,"A"))*4)+((COUNTIF('Elève (5ème2)'!BL15:BN15,"B"))*3)+((COUNTIF('Elève (5ème2)'!BL15:BN15,"C"))*2)+((COUNTIF('Elève (5ème2)'!BL15:BN15,"D"))*1))/(COUNTA(BL15:BN15)),"")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(5ème2)'!BS15:BU15,"A"))*4)+((COUNTIF('Elève (5ème2)'!BS15:BU15,"B"))*3)+((COUNTIF('Elève (5ème2)'!BS15:BU15,"C"))*2)+((COUNTIF('Elève (5ème2)'!BS15:BU15,"D"))*1))/(COUNTA(BS15:BU15)),"")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(5ème2)'!BX15:BZ15,"A"))*4)+((COUNTIF('Elève (5ème2)'!BX15:BZ15,"B"))*3)+((COUNTIF('Elève (5ème2)'!BX15:BZ15,"C"))*2)+((COUNTIF('Elève (5ème2)'!BX15:BZ15,"D"))*1))/(COUNTA(BX15:BZ15)),"")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(5ème2)'!CC15:CE15,"A"))*4)+((COUNTIF('Elève (5ème2)'!CC15:CE15,"B"))*3)+((COUNTIF('Elève (5ème2)'!CC15:CE15,"C"))*2)+((COUNTIF('Elève (5ème2)'!CC15:CE15,"D"))*1))/(COUNTA(CC15:CE15)),"")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(5ème2)'!CJ15:CL15,"A"))*4)+((COUNTIF('Elève (5ème2)'!CJ15:CL15,"B"))*3)+((COUNTIF('Elève (5ème2)'!CJ15:CL15,"C"))*2)+((COUNTIF('Elève (5ème2)'!CJ15:CL15,"D"))*1))/(COUNTA(CJ15:CL15)),"")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(5ème2)'!CO15:CQ15,"A"))*4)+((COUNTIF('Elève (5ème2)'!CO15:CQ15,"B"))*3)+((COUNTIF('Elève (5ème2)'!CO15:CQ15,"C"))*2)+((COUNTIF('Elève (5ème2)'!CO15:CQ15,"D"))*1))/(COUNTA(CO15:CQ15)),"")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(5ème2)'!CT15:CV15,"A"))*4)+((COUNTIF('Elève (5ème2)'!CT15:CV15,"B"))*3)+((COUNTIF('Elève (5ème2)'!CT15:CV15,"C"))*2)+((COUNTIF('Elève (5ème2)'!CT15:CV15,"D"))*1))/(COUNTA(CT15:CV15)),"")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(5ème2)'!DA15:DC15,"A"))*4)+((COUNTIF('Elève (5ème2)'!DA15:DC15,"B"))*3)+((COUNTIF('Elève (5ème2)'!DA15:DC15,"C"))*2)+((COUNTIF('Elève (5ème2)'!DA15:DC15,"D"))*1))/(COUNTA(DA15:DC15)),"")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(5ème2)'!DF15:DH15,"A"))*4)+((COUNTIF('Elève (5ème2)'!DF15:DH15,"B"))*3)+((COUNTIF('Elève (5ème2)'!DF15:DH15,"C"))*2)+((COUNTIF('Elève (5ème2)'!DF15:DH15,"D"))*1))/(COUNTA(DF15:DH15)),"")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(5ème2)'!DK15:DM15,"A"))*4)+((COUNTIF('Elève (5ème2)'!DK15:DM15,"B"))*3)+((COUNTIF('Elève (5ème2)'!DK15:DM15,"C"))*2)+((COUNTIF('Elève (5ème2)'!DK15:DM15,"D"))*1))/(COUNTA(DK15:DM15)),"")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(5ème2)'!DR15:DT15,"A"))*4)+((COUNTIF('Elève (5ème2)'!DR15:DT15,"B"))*3)+((COUNTIF('Elève (5ème2)'!DR15:DT15,"C"))*2)+((COUNTIF('Elève (5ème2)'!DR15:DT15,"D"))*1))/(COUNTA(DR15:DT15)),"")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(5ème2)'!DW15:DY15,"A"))*4)+((COUNTIF('Elève (5ème2)'!DW15:DY15,"B"))*3)+((COUNTIF('Elève (5ème2)'!DW15:DY15,"C"))*2)+((COUNTIF('Elève (5ème2)'!DW15:DY15,"D"))*1))/(COUNTA(DW15:DY15)),"")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(5ème2)'!EB15:ED15,"A"))*4)+((COUNTIF('Elève (5ème2)'!EB15:ED15,"B"))*3)+((COUNTIF('Elève (5ème2)'!EB15:ED15,"C"))*2)+((COUNTIF('Elève (5ème2)'!EB15:ED15,"D"))*1))/(COUNTA(EB15:ED15)),"")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(5ème2)'!EI15:EK15,"A"))*4)+((COUNTIF('Elève (5ème2)'!EI15:EK15,"B"))*3)+((COUNTIF('Elève (5ème2)'!EI15:EK15,"C"))*2)+((COUNTIF('Elève (5ème2)'!EI15:EK15,"D"))*1))/(COUNTA(EI15:EK15)),"")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(5ème2)'!EN15:EP15,"A"))*4)+((COUNTIF('Elève (5ème2)'!EN15:EP15,"B"))*3)+((COUNTIF('Elève (5ème2)'!EN15:EP15,"C"))*2)+((COUNTIF('Elève (5ème2)'!EN15:EP15,"D"))*1))/(COUNTA(EN15:EP15)),"")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(5ème2)'!ES15:EU15,"A"))*4)+((COUNTIF('Elève (5ème2)'!ES15:EU15,"B"))*3)+((COUNTIF('Elève (5ème2)'!ES15:EU15,"C"))*2)+((COUNTIF('Elève (5ème2)'!ES15:EU15,"D"))*1))/(COUNTA(ES15:EU15)),"")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(5ème2)'!EZ15:FB15,"A"))*4)+((COUNTIF('Elève (5ème2)'!EZ15:FB15,"B"))*3)+((COUNTIF('Elève (5ème2)'!EZ15:FB15,"C"))*2)+((COUNTIF('Elève (5ème2)'!EZ15:FB15,"D"))*1))/(COUNTA(EZ15:FB15)),"")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(5ème2)'!FE15:FG15,"A"))*4)+((COUNTIF('Elève (5ème2)'!FE15:FG15,"B"))*3)+((COUNTIF('Elève (5ème2)'!FE15:FG15,"C"))*2)+((COUNTIF('Elève (5ème2)'!FE15:FG15,"D"))*1))/(COUNTA(FE15:FG15)),"")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(5ème2)'!FJ15:FL15,"A"))*4)+((COUNTIF('Elève (5ème2)'!FJ15:FL15,"B"))*3)+((COUNTIF('Elève (5ème2)'!FJ15:FL15,"C"))*2)+((COUNTIF('Elève (5ème2)'!FJ15:FL15,"D"))*1))/(COUNTA(FJ15:FL15)),"")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(5ème2)'!FQ15:FS15,"A"))*4)+((COUNTIF('Elève (5ème2)'!FQ15:FS15,"B"))*3)+((COUNTIF('Elève (5ème2)'!FQ15:FS15,"C"))*2)+((COUNTIF('Elève (5ème2)'!FQ15:FS15,"D"))*1))/(COUNTA(FQ15:FS15)),"")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(5ème2)'!FV15:FX15,"A"))*4)+((COUNTIF('Elève (5ème2)'!FV15:FX15,"B"))*3)+((COUNTIF('Elève (5ème2)'!FV15:FX15,"C"))*2)+((COUNTIF('Elève (5ème2)'!FV15:FX15,"D"))*1))/(COUNTA(FV15:FX15)),"")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(5ème2)'!GA15:GC15,"A"))*4)+((COUNTIF('Elève (5ème2)'!GA15:GC15,"B"))*3)+((COUNTIF('Elève (5ème2)'!GA15:GC15,"C"))*2)+((COUNTIF('Elève (5ème2)'!GA15:GC15,"D"))*1))/(COUNTA(GA15:GC15)),"")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(5ème2)'!GH15:GJ15,"A"))*4)+((COUNTIF('Elève (5ème2)'!GH15:GJ15,"B"))*3)+((COUNTIF('Elève (5ème2)'!GH15:GJ15,"C"))*2)+((COUNTIF('Elève (5ème2)'!GH15:GJ15,"D"))*1))/(COUNTA(GH15:GJ15)),"")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(5ème2)'!GM15:GO15,"A"))*4)+((COUNTIF('Elève (5ème2)'!GM15:GO15,"B"))*3)+((COUNTIF('Elève (5ème2)'!GM15:GO15,"C"))*2)+((COUNTIF('Elève (5ème2)'!GM15:GO15,"D"))*1))/(COUNTA(GM15:GO15)),"")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(5ème2)'!GR15:GT15,"A"))*4)+((COUNTIF('Elève (5ème2)'!GR15:GT15,"B"))*3)+((COUNTIF('Elève (5ème2)'!GR15:GT15,"C"))*2)+((COUNTIF('Elève (5ème2)'!GR15:GT15,"D"))*1))/(COUNTA(GR15:GT15)),"")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(5ème2)'!GY15:HA15,"A"))*4)+((COUNTIF('Elève (5ème2)'!GY15:HA15,"B"))*3)+((COUNTIF('Elève (5ème2)'!GY15:HA15,"C"))*2)+((COUNTIF('Elève (5ème2)'!GY15:HA15,"D"))*1))/(COUNTA(GY15:HA15)),"")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(5ème2)'!HD15:HF15,"A"))*4)+((COUNTIF('Elève (5ème2)'!HD15:HF15,"B"))*3)+((COUNTIF('Elève (5ème2)'!HD15:HF15,"C"))*2)+((COUNTIF('Elève (5ème2)'!HD15:HF15,"D"))*1))/(COUNTA(HD15:HF15)),"")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(5ème2)'!HI15:HK15,"A"))*4)+((COUNTIF('Elève (5ème2)'!HI15:HK15,"B"))*3)+((COUNTIF('Elève (5ème2)'!HI15:HK15,"C"))*2)+((COUNTIF('Elève (5ème2)'!HI15:HK15,"D"))*1))/(COUNTA(HI15:HK15)),"")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(5ème2)'!HP15:HR15,"A"))*4)+((COUNTIF('Elève (5ème2)'!HP15:HR15,"B"))*3)+((COUNTIF('Elève (5ème2)'!HP15:HR15,"C"))*2)+((COUNTIF('Elève (5ème2)'!HP15:HR15,"D"))*1))/(COUNTA(HP15:HR15)),"")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(5ème2)'!HU15:HW15,"A"))*4)+((COUNTIF('Elève (5ème2)'!HU15:HW15,"B"))*3)+((COUNTIF('Elève (5ème2)'!HU15:HW15,"C"))*2)+((COUNTIF('Elève (5ème2)'!HU15:HW15,"D"))*1))/(COUNTA(HU15:HW15)),"")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(5ème2)'!HZ15:IB15,"A"))*4)+((COUNTIF('Elève (5ème2)'!HZ15:IB15,"B"))*3)+((COUNTIF('Elève (5ème2)'!HZ15:IB15,"C"))*2)+((COUNTIF('Elève (5ème2)'!HZ15:IB15,"D"))*1))/(COUNTA(HZ15:IB15)),"")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(5ème2)'!IG15:II15,"A"))*4)+((COUNTIF('Elève (5ème2)'!IG15:II15,"B"))*3)+((COUNTIF('Elève (5ème2)'!IG15:II15,"C"))*2)+((COUNTIF('Elève (5ème2)'!IG15:II15,"D"))*1))/(COUNTA(IG15:II15)),"")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(5ème2)'!IL15:IN15,"A"))*4)+((COUNTIF('Elève (5ème2)'!IL15:IN15,"B"))*3)+((COUNTIF('Elève (5ème2)'!IL15:IN15,"C"))*2)+((COUNTIF('Elève (5ème2)'!IL15:IN15,"D"))*1))/(COUNTA(IL15:IN15)),"")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(5ème2)'!IQ15:IS15,"A"))*4)+((COUNTIF('Elève (5ème2)'!IQ15:IS15,"B"))*3)+((COUNTIF('Elève (5ème2)'!IQ15:IS15,"C"))*2)+((COUNTIF('Elève (5ème2)'!IQ15:IS15,"D"))*1))/(COUNTA(IQ15:IS15)),"")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(5ème2)'!IX15:IZ15,"A"))*4)+((COUNTIF('Elève (5ème2)'!IX15:IZ15,"B"))*3)+((COUNTIF('Elève (5ème2)'!IX15:IZ15,"C"))*2)+((COUNTIF('Elève (5ème2)'!IX15:IZ15,"D"))*1))/(COUNTA(IX15:IZ15)),"")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(5ème2)'!JC15:JE15,"A"))*4)+((COUNTIF('Elève (5ème2)'!JC15:JE15,"B"))*3)+((COUNTIF('Elève (5ème2)'!JC15:JE15,"C"))*2)+((COUNTIF('Elève (5ème2)'!JC15:JE15,"D"))*1))/(COUNTA(JC15:JE15)),"")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(5ème2)'!JH15:JJ15,"A"))*4)+((COUNTIF('Elève (5ème2)'!JH15:JJ15,"B"))*3)+((COUNTIF('Elève (5ème2)'!JH15:JJ15,"C"))*2)+((COUNTIF('Elève (5ème2)'!JH15:JJ15,"D"))*1))/(COUNTA(JH15:JJ15)),"")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(5ème2)'!JO15:JQ15,"A"))*4)+((COUNTIF('Elève (5ème2)'!JO15:JQ15,"B"))*3)+((COUNTIF('Elève (5ème2)'!JO15:JQ15,"C"))*2)+((COUNTIF('Elève (5ème2)'!JO15:JQ15,"D"))*1))/(COUNTA(JO15:JQ15)),"")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(5ème2)'!JT15:JV15,"A"))*4)+((COUNTIF('Elève (5ème2)'!JT15:JV15,"B"))*3)+((COUNTIF('Elève (5ème2)'!JT15:JV15,"C"))*2)+((COUNTIF('Elève (5ème2)'!JT15:JV15,"D"))*1))/(COUNTA(JT15:JV15)),"")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(5ème2)'!JY15:KA15,"A"))*4)+((COUNTIF('Elève (5ème2)'!JY15:KA15,"B"))*3)+((COUNTIF('Elève (5ème2)'!JY15:KA15,"C"))*2)+((COUNTIF('Elève (5ème2)'!JY15:KA15,"D"))*1))/(COUNTA(JY15:KA15)),"")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(5ème2)'!KF15:KH15,"A"))*4)+((COUNTIF('Elève (5ème2)'!KF15:KH15,"B"))*3)+((COUNTIF('Elève (5ème2)'!KF15:KH15,"C"))*2)+((COUNTIF('Elève (5ème2)'!KF15:KH15,"D"))*1))/(COUNTA(KF15:KH15)),"")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(5ème2)'!KK15:KM15,"A"))*4)+((COUNTIF('Elève (5ème2)'!KK15:KM15,"B"))*3)+((COUNTIF('Elève (5ème2)'!KK15:KM15,"C"))*2)+((COUNTIF('Elève (5ème2)'!KK15:KM15,"D"))*1))/(COUNTA(KK15:KM15)),"")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(5ème2)'!KP15:KR15,"A"))*4)+((COUNTIF('Elève (5ème2)'!KP15:KR15,"B"))*3)+((COUNTIF('Elève (5ème2)'!KP15:KR15,"C"))*2)+((COUNTIF('Elève (5ème2)'!KP15:KR15,"D"))*1))/(COUNTA(KP15:KR15)),"")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(5ème2)'!KW15:KY15,"A"))*4)+((COUNTIF('Elève (5ème2)'!KW15:KY15,"B"))*3)+((COUNTIF('Elève (5ème2)'!KW15:KY15,"C"))*2)+((COUNTIF('Elève (5ème2)'!KW15:KY15,"D"))*1))/(COUNTA(KW15:KY15)),"")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(5ème2)'!LB15:LD15,"A"))*4)+((COUNTIF('Elève (5ème2)'!LB15:LD15,"B"))*3)+((COUNTIF('Elève (5ème2)'!LB15:LD15,"C"))*2)+((COUNTIF('Elève (5ème2)'!LB15:LD15,"D"))*1))/(COUNTA(LB15:LD15)),"")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(5ème2)'!LG15:LI15,"A"))*4)+((COUNTIF('Elève (5ème2)'!LG15:LI15,"B"))*3)+((COUNTIF('Elève (5ème2)'!LG15:LI15,"C"))*2)+((COUNTIF('Elève (5ème2)'!LG15:LI15,"D"))*1))/(COUNTA(LG15:LI15)),"")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(5ème2)'!LN15:LP15,"A"))*4)+((COUNTIF('Elève (5ème2)'!LN15:LP15,"B"))*3)+((COUNTIF('Elève (5ème2)'!LN15:LP15,"C"))*2)+((COUNTIF('Elève (5ème2)'!LN15:LP15,"D"))*1))/(COUNTA(LN15:LP15)),"")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(5ème2)'!LS15:LU15,"A"))*4)+((COUNTIF('Elève (5ème2)'!LS15:LU15,"B"))*3)+((COUNTIF('Elève (5ème2)'!LS15:LU15,"C"))*2)+((COUNTIF('Elève (5ème2)'!LS15:LU15,"D"))*1))/(COUNTA(LS15:LU15)),"")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(5ème2)'!LX15:LZ15,"A"))*4)+((COUNTIF('Elève (5ème2)'!LX15:LZ15,"B"))*3)+((COUNTIF('Elève (5ème2)'!LX15:LZ15,"C"))*2)+((COUNTIF('Elève (5ème2)'!LX15:LZ15,"D"))*1))/(COUNTA(LX15:LZ15)),"")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(5ème2)'!ME15:MG15,"A"))*4)+((COUNTIF('Elève (5ème2)'!ME15:MG15,"B"))*3)+((COUNTIF('Elève (5ème2)'!ME15:MG15,"C"))*2)+((COUNTIF('Elève (5ème2)'!ME15:MG15,"D"))*1))/(COUNTA(ME15:MG15)),"")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(5ème2)'!MJ15:ML15,"A"))*4)+((COUNTIF('Elève (5ème2)'!MJ15:ML15,"B"))*3)+((COUNTIF('Elève (5ème2)'!MJ15:ML15,"C"))*2)+((COUNTIF('Elève (5ème2)'!MJ15:ML15,"D"))*1))/(COUNTA(MJ15:ML15)),"")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(5ème2)'!MO15:MQ15,"A"))*4)+((COUNTIF('Elève (5ème2)'!MO15:MQ15,"B"))*3)+((COUNTIF('Elève (5ème2)'!MO15:MQ15,"C"))*2)+((COUNTIF('Elève (5ème2)'!MO15:MQ15,"D"))*1))/(COUNTA(MO15:MQ15)),"")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(5ème2)'!MV15:MX15,"A"))*4)+((COUNTIF('Elève (5ème2)'!MV15:MX15,"B"))*3)+((COUNTIF('Elève (5ème2)'!MV15:MX15,"C"))*2)+((COUNTIF('Elève (5ème2)'!MV15:MX15,"D"))*1))/(COUNTA(MV15:MX15)),"")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(5ème2)'!NA15:NC15,"A"))*4)+((COUNTIF('Elève (5ème2)'!NA15:NC15,"B"))*3)+((COUNTIF('Elève (5ème2)'!NA15:NC15,"C"))*2)+((COUNTIF('Elève (5ème2)'!NA15:NC15,"D"))*1))/(COUNTA(NA15:NC15)),"")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(5ème2)'!NF15:NH15,"A"))*4)+((COUNTIF('Elève (5ème2)'!NF15:NH15,"B"))*3)+((COUNTIF('Elève (5ème2)'!NF15:NH15,"C"))*2)+((COUNTIF('Elève (5ème2)'!NF15:NH15,"D"))*1))/(COUNTA(NF15:NH15)),"")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(5ème2)'!NM15:NO15,"A"))*4)+((COUNTIF('Elève (5ème2)'!NM15:NO15,"B"))*3)+((COUNTIF('Elève (5ème2)'!NM15:NO15,"C"))*2)+((COUNTIF('Elève (5ème2)'!NM15:NO15,"D"))*1))/(COUNTA(NM15:NO15)),"")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(5ème2)'!NR15:NT15,"A"))*4)+((COUNTIF('Elève (5ème2)'!NR15:NT15,"B"))*3)+((COUNTIF('Elève (5ème2)'!NR15:NT15,"C"))*2)+((COUNTIF('Elève (5ème2)'!NR15:NT15,"D"))*1))/(COUNTA(NR15:NT15)),"")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(5ème2)'!NW15:NY15,"A"))*4)+((COUNTIF('Elève (5ème2)'!NW15:NY15,"B"))*3)+((COUNTIF('Elève (5ème2)'!NW15:NY15,"C"))*2)+((COUNTIF('Elève (5ème2)'!NW15:NY15,"D"))*1))/(COUNTA(NW15:NY15)),"")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(5ème2)'!OD15:OF15,"A"))*4)+((COUNTIF('Elève (5ème2)'!OD15:OF15,"B"))*3)+((COUNTIF('Elève (5ème2)'!OD15:OF15,"C"))*2)+((COUNTIF('Elève (5ème2)'!OD15:OF15,"D"))*1))/(COUNTA(OD15:OF15)),"")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(5ème2)'!OI15:OK15,"A"))*4)+((COUNTIF('Elève (5ème2)'!OI15:OK15,"B"))*3)+((COUNTIF('Elève (5ème2)'!OI15:OK15,"C"))*2)+((COUNTIF('Elève (5ème2)'!OI15:OK15,"D"))*1))/(COUNTA(OI15:OK15)),"")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(5ème2)'!ON15:OP15,"A"))*4)+((COUNTIF('Elève (5ème2)'!ON15:OP15,"B"))*3)+((COUNTIF('Elève (5ème2)'!ON15:OP15,"C"))*2)+((COUNTIF('Elève (5ème2)'!ON15:OP15,"D"))*1))/(COUNTA(ON15:OP15)),"")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(5ème2)'!OU15:OW15,"A"))*4)+((COUNTIF('Elève (5ème2)'!OU15:OW15,"B"))*3)+((COUNTIF('Elève (5ème2)'!OU15:OW15,"C"))*2)+((COUNTIF('Elève (5ème2)'!OU15:OW15,"D"))*1))/(COUNTA(OU15:OW15)),"")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(5ème2)'!OZ15:PB15,"A"))*4)+((COUNTIF('Elève (5ème2)'!OZ15:PB15,"B"))*3)+((COUNTIF('Elève (5ème2)'!OZ15:PB15,"C"))*2)+((COUNTIF('Elève (5ème2)'!OZ15:PB15,"D"))*1))/(COUNTA(OZ15:PB15)),"")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(5ème2)'!PE15:PG15,"A"))*4)+((COUNTIF('Elève (5ème2)'!PE15:PG15,"B"))*3)+((COUNTIF('Elève (5ème2)'!PE15:PG15,"C"))*2)+((COUNTIF('Elève (5ème2)'!PE15:PG15,"D"))*1))/(COUNTA(PE15:PG15)),"")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(5ème2)'!PL15:PN15,"A"))*4)+((COUNTIF('Elève (5ème2)'!PL15:PN15,"B"))*3)+((COUNTIF('Elève (5ème2)'!PL15:PN15,"C"))*2)+((COUNTIF('Elève (5ème2)'!PL15:PN15,"D"))*1))/(COUNTA(PL15:PN15)),"")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(5ème2)'!PQ15:PS15,"A"))*4)+((COUNTIF('Elève (5ème2)'!PQ15:PS15,"B"))*3)+((COUNTIF('Elève (5ème2)'!PQ15:PS15,"C"))*2)+((COUNTIF('Elève (5ème2)'!PQ15:PS15,"D"))*1))/(COUNTA(PQ15:PS15)),"")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(5ème2)'!PV15:PX15,"A"))*4)+((COUNTIF('Elève (5ème2)'!PV15:PX15,"B"))*3)+((COUNTIF('Elève (5ème2)'!PV15:PX15,"C"))*2)+((COUNTIF('Elève (5ème2)'!PV15:PX15,"D"))*1))/(COUNTA(PV15:PX15)),"")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(5ème2)'!QC15:QE15,"A"))*4)+((COUNTIF('Elève (5ème2)'!QC15:QE15,"B"))*3)+((COUNTIF('Elève (5ème2)'!QC15:QE15,"C"))*2)+((COUNTIF('Elève (5ème2)'!QC15:QE15,"D"))*1))/(COUNTA(QC15:QE15)),"")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(5ème2)'!QH15:QJ15,"A"))*4)+((COUNTIF('Elève (5ème2)'!QH15:QJ15,"B"))*3)+((COUNTIF('Elève (5ème2)'!QH15:QJ15,"C"))*2)+((COUNTIF('Elève (5ème2)'!QH15:QJ15,"D"))*1))/(COUNTA(QH15:QJ15)),"")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(5ème2)'!QM15:QO15,"A"))*4)+((COUNTIF('Elève (5ème2)'!QM15:QO15,"B"))*3)+((COUNTIF('Elève (5ème2)'!QM15:QO15,"C"))*2)+((COUNTIF('Elève (5ème2)'!QM15:QO15,"D"))*1))/(COUNTA(QM15:QO15)),"")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(5ème2)'!QT15:QV15,"A"))*4)+((COUNTIF('Elève (5ème2)'!QT15:QV15,"B"))*3)+((COUNTIF('Elève (5ème2)'!QT15:QV15,"C"))*2)+((COUNTIF('Elève (5ème2)'!QT15:QV15,"D"))*1))/(COUNTA(QT15:QV15)),"")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(5ème2)'!QY15:RA15,"A"))*4)+((COUNTIF('Elève (5ème2)'!QY15:RA15,"B"))*3)+((COUNTIF('Elève (5ème2)'!QY15:RA15,"C"))*2)+((COUNTIF('Elève (5ème2)'!QY15:RA15,"D"))*1))/(COUNTA(QY15:RA15)),"")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(5ème2)'!RD15:RF15,"A"))*4)+((COUNTIF('Elève (5ème2)'!RD15:RF15,"B"))*3)+((COUNTIF('Elève (5ème2)'!RD15:RF15,"C"))*2)+((COUNTIF('Elève (5ème2)'!RD15:RF15,"D"))*1))/(COUNTA(RD15:RF15)),"")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(5ème2)'!RK15:RM15,"A"))*4)+((COUNTIF('Elève (5ème2)'!RK15:RM15,"B"))*3)+((COUNTIF('Elève (5ème2)'!RK15:RM15,"C"))*2)+((COUNTIF('Elève (5ème2)'!RK15:RM15,"D"))*1))/(COUNTA(RK15:RM15)),"")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(5ème2)'!RP15:RR15,"A"))*4)+((COUNTIF('Elève (5ème2)'!RP15:RR15,"B"))*3)+((COUNTIF('Elève (5ème2)'!RP15:RR15,"C"))*2)+((COUNTIF('Elève (5ème2)'!RP15:RR15,"D"))*1))/(COUNTA(RP15:RR15)),"")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(5ème2)'!RU15:RW15,"A"))*4)+((COUNTIF('Elève (5ème2)'!RU15:RW15,"B"))*3)+((COUNTIF('Elève (5ème2)'!RU15:RW15,"C"))*2)+((COUNTIF('Elève (5ème2)'!RU15:RW15,"D"))*1))/(COUNTA(RU15:RW15)),"")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(5ème2)'!SB15:SD15,"A"))*4)+((COUNTIF('Elève (5ème2)'!SB15:SD15,"B"))*3)+((COUNTIF('Elève (5ème2)'!SB15:SD15,"C"))*2)+((COUNTIF('Elève (5ème2)'!SB15:SD15,"D"))*1))/(COUNTA(SB15:SD15)),"")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(5ème2)'!SG15:SI15,"A"))*4)+((COUNTIF('Elève (5ème2)'!SG15:SI15,"B"))*3)+((COUNTIF('Elève (5ème2)'!SG15:SI15,"C"))*2)+((COUNTIF('Elève (5ème2)'!SG15:SI15,"D"))*1))/(COUNTA(SG15:SI15)),"")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(5ème2)'!SL15:SN15,"A"))*4)+((COUNTIF('Elève (5ème2)'!SL15:SN15,"B"))*3)+((COUNTIF('Elève (5ème2)'!SL15:SN15,"C"))*2)+((COUNTIF('Elève (5ème2)'!SL15:SN15,"D"))*1))/(COUNTA(SL15:SN15)),"")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3</v>
      </c>
      <c r="C16" s="152"/>
      <c r="D16" s="185"/>
      <c r="E16" s="185"/>
      <c r="F16" s="106" t="str">
        <f>IFERROR((((COUNTIF('Elève (5ème2)'!C17:E19,"A"))*4)+((COUNTIF('Elève (5ème2)'!C17:E19,"B"))*3)+((COUNTIF('Elève (5ème2)'!C17:E19,"C"))*2)+((COUNTIF('Elève (5ème2)'!C17:E19,"D"))*1))/(COUNTA(C17:E19)),"")</f>
        <v/>
      </c>
      <c r="G16" s="107" t="str">
        <f t="shared" si="0"/>
        <v/>
      </c>
      <c r="H16" s="204"/>
      <c r="I16" s="186"/>
      <c r="J16" s="205"/>
      <c r="K16" s="106" t="str">
        <f>IFERROR((((COUNTIF('Elève (5ème2)'!H17:J19,"A"))*4)+((COUNTIF('Elève (5ème2)'!H17:J19,"B"))*3)+((COUNTIF('Elève (5ème2)'!H17:J19,"C"))*2)+((COUNTIF('Elève (5ème2)'!H17:J19,"D"))*1))/(COUNTA(H17:J19)),"")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(5ème2)'!M17:O19,"A"))*4)+((COUNTIF('Elève (5ème2)'!M17:O19,"B"))*3)+((COUNTIF('Elève (5ème2)'!M17:O19,"C"))*2)+((COUNTIF('Elève (5ème2)'!M17:O19,"D"))*1))/(COUNTA(M17:O19)),"")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(5ème2)'!T17:V19,"A"))*4)+((COUNTIF('Elève (5ème2)'!T17:V19,"B"))*3)+((COUNTIF('Elève (5ème2)'!T17:V19,"C"))*2)+((COUNTIF('Elève (5ème2)'!T17:V19,"D"))*1))/(COUNTA(T17:V19)),"")</f>
        <v/>
      </c>
      <c r="X16" s="107" t="str">
        <f t="shared" si="4"/>
        <v/>
      </c>
      <c r="Y16" s="204"/>
      <c r="Z16" s="186"/>
      <c r="AA16" s="205"/>
      <c r="AB16" s="106" t="str">
        <f>IFERROR((((COUNTIF('Elève (5ème2)'!Y17:AA19,"A"))*4)+((COUNTIF('Elève (5ème2)'!Y17:AA19,"B"))*3)+((COUNTIF('Elève (5ème2)'!Y17:AA19,"C"))*2)+((COUNTIF('Elève (5ème2)'!Y17:AA19,"D"))*1))/(COUNTA(Y17:AA19)),"")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(5ème2)'!AD17:AF19,"A"))*4)+((COUNTIF('Elève (5ème2)'!AD17:AF19,"B"))*3)+((COUNTIF('Elève (5ème2)'!AD17:AF19,"C"))*2)+((COUNTIF('Elève (5ème2)'!AD17:AF19,"D"))*1))/(COUNTA(AD17:AF19)),"")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(5ème2)'!AK17:AM19,"A"))*4)+((COUNTIF('Elève (5ème2)'!AK17:AM19,"B"))*3)+((COUNTIF('Elève (5ème2)'!AK17:AM19,"C"))*2)+((COUNTIF('Elève (5ème2)'!AK17:AM19,"D"))*1))/(COUNTA(AK17:AM19)),"")</f>
        <v/>
      </c>
      <c r="AO16" s="107" t="str">
        <f t="shared" si="8"/>
        <v/>
      </c>
      <c r="AP16" s="204"/>
      <c r="AQ16" s="186"/>
      <c r="AR16" s="205"/>
      <c r="AS16" s="106" t="str">
        <f>IFERROR((((COUNTIF('Elève (5ème2)'!AP17:AR19,"A"))*4)+((COUNTIF('Elève (5ème2)'!AP17:AR19,"B"))*3)+((COUNTIF('Elève (5ème2)'!AP17:AR19,"C"))*2)+((COUNTIF('Elève (5ème2)'!AP17:AR19,"D"))*1))/(COUNTA(AP17:AR19)),"")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(5ème2)'!AU17:AW19,"A"))*4)+((COUNTIF('Elève (5ème2)'!AU17:AW19,"B"))*3)+((COUNTIF('Elève (5ème2)'!AU17:AW19,"C"))*2)+((COUNTIF('Elève (5ème2)'!AU17:AW19,"D"))*1))/(COUNTA(AU17:AW19)),"")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(5ème2)'!BB17:BD19,"A"))*4)+((COUNTIF('Elève (5ème2)'!BB17:BD19,"B"))*3)+((COUNTIF('Elève (5ème2)'!BB17:BD19,"C"))*2)+((COUNTIF('Elève (5ème2)'!BB17:BD19,"D"))*1))/(COUNTA(BB17:BD19)),"")</f>
        <v/>
      </c>
      <c r="BF16" s="107" t="str">
        <f t="shared" si="12"/>
        <v/>
      </c>
      <c r="BG16" s="204"/>
      <c r="BH16" s="186"/>
      <c r="BI16" s="205"/>
      <c r="BJ16" s="106" t="str">
        <f>IFERROR((((COUNTIF('Elève (5ème2)'!BG17:BI19,"A"))*4)+((COUNTIF('Elève (5ème2)'!BG17:BI19,"B"))*3)+((COUNTIF('Elève (5ème2)'!BG17:BI19,"C"))*2)+((COUNTIF('Elève (5ème2)'!BG17:BI19,"D"))*1))/(COUNTA(BG17:BI19)),"")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(5ème2)'!BL17:BN19,"A"))*4)+((COUNTIF('Elève (5ème2)'!BL17:BN19,"B"))*3)+((COUNTIF('Elève (5ème2)'!BL17:BN19,"C"))*2)+((COUNTIF('Elève (5ème2)'!BL17:BN19,"D"))*1))/(COUNTA(BL17:BN19)),"")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(5ème2)'!BS17:BU19,"A"))*4)+((COUNTIF('Elève (5ème2)'!BS17:BU19,"B"))*3)+((COUNTIF('Elève (5ème2)'!BS17:BU19,"C"))*2)+((COUNTIF('Elève (5ème2)'!BS17:BU19,"D"))*1))/(COUNTA(BS17:BU19)),"")</f>
        <v/>
      </c>
      <c r="BW16" s="107" t="str">
        <f t="shared" si="16"/>
        <v/>
      </c>
      <c r="BX16" s="204"/>
      <c r="BY16" s="186"/>
      <c r="BZ16" s="205"/>
      <c r="CA16" s="106" t="str">
        <f>IFERROR((((COUNTIF('Elève (5ème2)'!BX17:BZ19,"A"))*4)+((COUNTIF('Elève (5ème2)'!BX17:BZ19,"B"))*3)+((COUNTIF('Elève (5ème2)'!BX17:BZ19,"C"))*2)+((COUNTIF('Elève (5ème2)'!BX17:BZ19,"D"))*1))/(COUNTA(BX17:BZ19)),"")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(5ème2)'!CC17:CE19,"A"))*4)+((COUNTIF('Elève (5ème2)'!CC17:CE19,"B"))*3)+((COUNTIF('Elève (5ème2)'!CC17:CE19,"C"))*2)+((COUNTIF('Elève (5ème2)'!CC17:CE19,"D"))*1))/(COUNTA(CC17:CE19)),"")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(5ème2)'!CJ17:CL19,"A"))*4)+((COUNTIF('Elève (5ème2)'!CJ17:CL19,"B"))*3)+((COUNTIF('Elève (5ème2)'!CJ17:CL19,"C"))*2)+((COUNTIF('Elève (5ème2)'!CJ17:CL19,"D"))*1))/(COUNTA(CJ17:CL19)),"")</f>
        <v/>
      </c>
      <c r="CN16" s="107" t="str">
        <f t="shared" si="20"/>
        <v/>
      </c>
      <c r="CO16" s="204"/>
      <c r="CP16" s="186"/>
      <c r="CQ16" s="205"/>
      <c r="CR16" s="106" t="str">
        <f>IFERROR((((COUNTIF('Elève (5ème2)'!CO17:CQ19,"A"))*4)+((COUNTIF('Elève (5ème2)'!CO17:CQ19,"B"))*3)+((COUNTIF('Elève (5ème2)'!CO17:CQ19,"C"))*2)+((COUNTIF('Elève (5ème2)'!CO17:CQ19,"D"))*1))/(COUNTA(CO17:CQ19)),"")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(5ème2)'!CT17:CV19,"A"))*4)+((COUNTIF('Elève (5ème2)'!CT17:CV19,"B"))*3)+((COUNTIF('Elève (5ème2)'!CT17:CV19,"C"))*2)+((COUNTIF('Elève (5ème2)'!CT17:CV19,"D"))*1))/(COUNTA(CT17:CV19)),"")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(5ème2)'!DA17:DC19,"A"))*4)+((COUNTIF('Elève (5ème2)'!DA17:DC19,"B"))*3)+((COUNTIF('Elève (5ème2)'!DA17:DC19,"C"))*2)+((COUNTIF('Elève (5ème2)'!DA17:DC19,"D"))*1))/(COUNTA(DA17:DC19)),"")</f>
        <v/>
      </c>
      <c r="DE16" s="107" t="str">
        <f t="shared" si="24"/>
        <v/>
      </c>
      <c r="DF16" s="204"/>
      <c r="DG16" s="186"/>
      <c r="DH16" s="205"/>
      <c r="DI16" s="106" t="str">
        <f>IFERROR((((COUNTIF('Elève (5ème2)'!DF17:DH19,"A"))*4)+((COUNTIF('Elève (5ème2)'!DF17:DH19,"B"))*3)+((COUNTIF('Elève (5ème2)'!DF17:DH19,"C"))*2)+((COUNTIF('Elève (5ème2)'!DF17:DH19,"D"))*1))/(COUNTA(DF17:DH19)),"")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(5ème2)'!DK17:DM19,"A"))*4)+((COUNTIF('Elève (5ème2)'!DK17:DM19,"B"))*3)+((COUNTIF('Elève (5ème2)'!DK17:DM19,"C"))*2)+((COUNTIF('Elève (5ème2)'!DK17:DM19,"D"))*1))/(COUNTA(DK17:DM19)),"")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(5ème2)'!DR17:DT19,"A"))*4)+((COUNTIF('Elève (5ème2)'!DR17:DT19,"B"))*3)+((COUNTIF('Elève (5ème2)'!DR17:DT19,"C"))*2)+((COUNTIF('Elève (5ème2)'!DR17:DT19,"D"))*1))/(COUNTA(DR17:DT19)),"")</f>
        <v/>
      </c>
      <c r="DV16" s="107" t="str">
        <f t="shared" si="28"/>
        <v/>
      </c>
      <c r="DW16" s="204"/>
      <c r="DX16" s="186"/>
      <c r="DY16" s="205"/>
      <c r="DZ16" s="106" t="str">
        <f>IFERROR((((COUNTIF('Elève (5ème2)'!DW17:DY19,"A"))*4)+((COUNTIF('Elève (5ème2)'!DW17:DY19,"B"))*3)+((COUNTIF('Elève (5ème2)'!DW17:DY19,"C"))*2)+((COUNTIF('Elève (5ème2)'!DW17:DY19,"D"))*1))/(COUNTA(DW17:DY19)),"")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(5ème2)'!EB17:ED19,"A"))*4)+((COUNTIF('Elève (5ème2)'!EB17:ED19,"B"))*3)+((COUNTIF('Elève (5ème2)'!EB17:ED19,"C"))*2)+((COUNTIF('Elève (5ème2)'!EB17:ED19,"D"))*1))/(COUNTA(EB17:ED19)),"")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(5ème2)'!EI17:EK19,"A"))*4)+((COUNTIF('Elève (5ème2)'!EI17:EK19,"B"))*3)+((COUNTIF('Elève (5ème2)'!EI17:EK19,"C"))*2)+((COUNTIF('Elève (5ème2)'!EI17:EK19,"D"))*1))/(COUNTA(EI17:EK19)),"")</f>
        <v/>
      </c>
      <c r="EM16" s="107" t="str">
        <f t="shared" si="32"/>
        <v/>
      </c>
      <c r="EN16" s="204"/>
      <c r="EO16" s="186"/>
      <c r="EP16" s="205"/>
      <c r="EQ16" s="106" t="str">
        <f>IFERROR((((COUNTIF('Elève (5ème2)'!EN17:EP19,"A"))*4)+((COUNTIF('Elève (5ème2)'!EN17:EP19,"B"))*3)+((COUNTIF('Elève (5ème2)'!EN17:EP19,"C"))*2)+((COUNTIF('Elève (5ème2)'!EN17:EP19,"D"))*1))/(COUNTA(EN17:EP19)),"")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(5ème2)'!ES17:EU19,"A"))*4)+((COUNTIF('Elève (5ème2)'!ES17:EU19,"B"))*3)+((COUNTIF('Elève (5ème2)'!ES17:EU19,"C"))*2)+((COUNTIF('Elève (5ème2)'!ES17:EU19,"D"))*1))/(COUNTA(ES17:EU19)),"")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(5ème2)'!EZ17:FB19,"A"))*4)+((COUNTIF('Elève (5ème2)'!EZ17:FB19,"B"))*3)+((COUNTIF('Elève (5ème2)'!EZ17:FB19,"C"))*2)+((COUNTIF('Elève (5ème2)'!EZ17:FB19,"D"))*1))/(COUNTA(EZ17:FB19)),"")</f>
        <v/>
      </c>
      <c r="FD16" s="107" t="str">
        <f t="shared" si="36"/>
        <v/>
      </c>
      <c r="FE16" s="204"/>
      <c r="FF16" s="186"/>
      <c r="FG16" s="205"/>
      <c r="FH16" s="106" t="str">
        <f>IFERROR((((COUNTIF('Elève (5ème2)'!FE17:FG19,"A"))*4)+((COUNTIF('Elève (5ème2)'!FE17:FG19,"B"))*3)+((COUNTIF('Elève (5ème2)'!FE17:FG19,"C"))*2)+((COUNTIF('Elève (5ème2)'!FE17:FG19,"D"))*1))/(COUNTA(FE17:FG19)),"")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(5ème2)'!FJ17:FL19,"A"))*4)+((COUNTIF('Elève (5ème2)'!FJ17:FL19,"B"))*3)+((COUNTIF('Elève (5ème2)'!FJ17:FL19,"C"))*2)+((COUNTIF('Elève (5ème2)'!FJ17:FL19,"D"))*1))/(COUNTA(FJ17:FL19)),"")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(5ème2)'!FQ17:FS19,"A"))*4)+((COUNTIF('Elève (5ème2)'!FQ17:FS19,"B"))*3)+((COUNTIF('Elève (5ème2)'!FQ17:FS19,"C"))*2)+((COUNTIF('Elève (5ème2)'!FQ17:FS19,"D"))*1))/(COUNTA(FQ17:FS19)),"")</f>
        <v/>
      </c>
      <c r="FU16" s="107" t="str">
        <f t="shared" si="40"/>
        <v/>
      </c>
      <c r="FV16" s="204"/>
      <c r="FW16" s="186"/>
      <c r="FX16" s="205"/>
      <c r="FY16" s="106" t="str">
        <f>IFERROR((((COUNTIF('Elève (5ème2)'!FV17:FX19,"A"))*4)+((COUNTIF('Elève (5ème2)'!FV17:FX19,"B"))*3)+((COUNTIF('Elève (5ème2)'!FV17:FX19,"C"))*2)+((COUNTIF('Elève (5ème2)'!FV17:FX19,"D"))*1))/(COUNTA(FV17:FX19)),"")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(5ème2)'!GA17:GC19,"A"))*4)+((COUNTIF('Elève (5ème2)'!GA17:GC19,"B"))*3)+((COUNTIF('Elève (5ème2)'!GA17:GC19,"C"))*2)+((COUNTIF('Elève (5ème2)'!GA17:GC19,"D"))*1))/(COUNTA(GA17:GC19)),"")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(5ème2)'!GH17:GJ19,"A"))*4)+((COUNTIF('Elève (5ème2)'!GH17:GJ19,"B"))*3)+((COUNTIF('Elève (5ème2)'!GH17:GJ19,"C"))*2)+((COUNTIF('Elève (5ème2)'!GH17:GJ19,"D"))*1))/(COUNTA(GH17:GJ19)),"")</f>
        <v/>
      </c>
      <c r="GL16" s="107" t="str">
        <f t="shared" si="44"/>
        <v/>
      </c>
      <c r="GM16" s="204"/>
      <c r="GN16" s="186"/>
      <c r="GO16" s="205"/>
      <c r="GP16" s="106" t="str">
        <f>IFERROR((((COUNTIF('Elève (5ème2)'!GM17:GO19,"A"))*4)+((COUNTIF('Elève (5ème2)'!GM17:GO19,"B"))*3)+((COUNTIF('Elève (5ème2)'!GM17:GO19,"C"))*2)+((COUNTIF('Elève (5ème2)'!GM17:GO19,"D"))*1))/(COUNTA(GM17:GO19)),"")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(5ème2)'!GR17:GT19,"A"))*4)+((COUNTIF('Elève (5ème2)'!GR17:GT19,"B"))*3)+((COUNTIF('Elève (5ème2)'!GR17:GT19,"C"))*2)+((COUNTIF('Elève (5ème2)'!GR17:GT19,"D"))*1))/(COUNTA(GR17:GT19)),"")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(5ème2)'!GY17:HA19,"A"))*4)+((COUNTIF('Elève (5ème2)'!GY17:HA19,"B"))*3)+((COUNTIF('Elève (5ème2)'!GY17:HA19,"C"))*2)+((COUNTIF('Elève (5ème2)'!GY17:HA19,"D"))*1))/(COUNTA(GY17:HA19)),"")</f>
        <v/>
      </c>
      <c r="HC16" s="107" t="str">
        <f t="shared" si="48"/>
        <v/>
      </c>
      <c r="HD16" s="204"/>
      <c r="HE16" s="186"/>
      <c r="HF16" s="205"/>
      <c r="HG16" s="106" t="str">
        <f>IFERROR((((COUNTIF('Elève (5ème2)'!HD17:HF19,"A"))*4)+((COUNTIF('Elève (5ème2)'!HD17:HF19,"B"))*3)+((COUNTIF('Elève (5ème2)'!HD17:HF19,"C"))*2)+((COUNTIF('Elève (5ème2)'!HD17:HF19,"D"))*1))/(COUNTA(HD17:HF19)),"")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(5ème2)'!HI17:HK19,"A"))*4)+((COUNTIF('Elève (5ème2)'!HI17:HK19,"B"))*3)+((COUNTIF('Elève (5ème2)'!HI17:HK19,"C"))*2)+((COUNTIF('Elève (5ème2)'!HI17:HK19,"D"))*1))/(COUNTA(HI17:HK19)),"")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(5ème2)'!HP17:HR19,"A"))*4)+((COUNTIF('Elève (5ème2)'!HP17:HR19,"B"))*3)+((COUNTIF('Elève (5ème2)'!HP17:HR19,"C"))*2)+((COUNTIF('Elève (5ème2)'!HP17:HR19,"D"))*1))/(COUNTA(HP17:HR19)),"")</f>
        <v/>
      </c>
      <c r="HT16" s="107" t="str">
        <f t="shared" si="52"/>
        <v/>
      </c>
      <c r="HU16" s="204"/>
      <c r="HV16" s="186"/>
      <c r="HW16" s="205"/>
      <c r="HX16" s="106" t="str">
        <f>IFERROR((((COUNTIF('Elève (5ème2)'!HU17:HW19,"A"))*4)+((COUNTIF('Elève (5ème2)'!HU17:HW19,"B"))*3)+((COUNTIF('Elève (5ème2)'!HU17:HW19,"C"))*2)+((COUNTIF('Elève (5ème2)'!HU17:HW19,"D"))*1))/(COUNTA(HU17:HW19)),"")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(5ème2)'!HZ17:IB19,"A"))*4)+((COUNTIF('Elève (5ème2)'!HZ17:IB19,"B"))*3)+((COUNTIF('Elève (5ème2)'!HZ17:IB19,"C"))*2)+((COUNTIF('Elève (5ème2)'!HZ17:IB19,"D"))*1))/(COUNTA(HZ17:IB19)),"")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(5ème2)'!IG17:II19,"A"))*4)+((COUNTIF('Elève (5ème2)'!IG17:II19,"B"))*3)+((COUNTIF('Elève (5ème2)'!IG17:II19,"C"))*2)+((COUNTIF('Elève (5ème2)'!IG17:II19,"D"))*1))/(COUNTA(IG17:II19)),"")</f>
        <v/>
      </c>
      <c r="IK16" s="107" t="str">
        <f t="shared" si="56"/>
        <v/>
      </c>
      <c r="IL16" s="204"/>
      <c r="IM16" s="186"/>
      <c r="IN16" s="205"/>
      <c r="IO16" s="106" t="str">
        <f>IFERROR((((COUNTIF('Elève (5ème2)'!IL17:IN19,"A"))*4)+((COUNTIF('Elève (5ème2)'!IL17:IN19,"B"))*3)+((COUNTIF('Elève (5ème2)'!IL17:IN19,"C"))*2)+((COUNTIF('Elève (5ème2)'!IL17:IN19,"D"))*1))/(COUNTA(IL17:IN19)),"")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(5ème2)'!IQ17:IS19,"A"))*4)+((COUNTIF('Elève (5ème2)'!IQ17:IS19,"B"))*3)+((COUNTIF('Elève (5ème2)'!IQ17:IS19,"C"))*2)+((COUNTIF('Elève (5ème2)'!IQ17:IS19,"D"))*1))/(COUNTA(IQ17:IS19)),"")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(5ème2)'!IX17:IZ19,"A"))*4)+((COUNTIF('Elève (5ème2)'!IX17:IZ19,"B"))*3)+((COUNTIF('Elève (5ème2)'!IX17:IZ19,"C"))*2)+((COUNTIF('Elève (5ème2)'!IX17:IZ19,"D"))*1))/(COUNTA(IX17:IZ19)),"")</f>
        <v/>
      </c>
      <c r="JB16" s="107" t="str">
        <f t="shared" si="60"/>
        <v/>
      </c>
      <c r="JC16" s="204"/>
      <c r="JD16" s="186"/>
      <c r="JE16" s="205"/>
      <c r="JF16" s="106" t="str">
        <f>IFERROR((((COUNTIF('Elève (5ème2)'!JC17:JE19,"A"))*4)+((COUNTIF('Elève (5ème2)'!JC17:JE19,"B"))*3)+((COUNTIF('Elève (5ème2)'!JC17:JE19,"C"))*2)+((COUNTIF('Elève (5ème2)'!JC17:JE19,"D"))*1))/(COUNTA(JC17:JE19)),"")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(5ème2)'!JH17:JJ19,"A"))*4)+((COUNTIF('Elève (5ème2)'!JH17:JJ19,"B"))*3)+((COUNTIF('Elève (5ème2)'!JH17:JJ19,"C"))*2)+((COUNTIF('Elève (5ème2)'!JH17:JJ19,"D"))*1))/(COUNTA(JH17:JJ19)),"")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(5ème2)'!JO17:JQ19,"A"))*4)+((COUNTIF('Elève (5ème2)'!JO17:JQ19,"B"))*3)+((COUNTIF('Elève (5ème2)'!JO17:JQ19,"C"))*2)+((COUNTIF('Elève (5ème2)'!JO17:JQ19,"D"))*1))/(COUNTA(JO17:JQ19)),"")</f>
        <v/>
      </c>
      <c r="JS16" s="107" t="str">
        <f t="shared" si="64"/>
        <v/>
      </c>
      <c r="JT16" s="204"/>
      <c r="JU16" s="186"/>
      <c r="JV16" s="205"/>
      <c r="JW16" s="106" t="str">
        <f>IFERROR((((COUNTIF('Elève (5ème2)'!JT17:JV19,"A"))*4)+((COUNTIF('Elève (5ème2)'!JT17:JV19,"B"))*3)+((COUNTIF('Elève (5ème2)'!JT17:JV19,"C"))*2)+((COUNTIF('Elève (5ème2)'!JT17:JV19,"D"))*1))/(COUNTA(JT17:JV19)),"")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(5ème2)'!JY17:KA19,"A"))*4)+((COUNTIF('Elève (5ème2)'!JY17:KA19,"B"))*3)+((COUNTIF('Elève (5ème2)'!JY17:KA19,"C"))*2)+((COUNTIF('Elève (5ème2)'!JY17:KA19,"D"))*1))/(COUNTA(JY17:KA19)),"")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(5ème2)'!KF17:KH19,"A"))*4)+((COUNTIF('Elève (5ème2)'!KF17:KH19,"B"))*3)+((COUNTIF('Elève (5ème2)'!KF17:KH19,"C"))*2)+((COUNTIF('Elève (5ème2)'!KF17:KH19,"D"))*1))/(COUNTA(KF17:KH19)),"")</f>
        <v/>
      </c>
      <c r="KJ16" s="107" t="str">
        <f t="shared" si="68"/>
        <v/>
      </c>
      <c r="KK16" s="204"/>
      <c r="KL16" s="186"/>
      <c r="KM16" s="205"/>
      <c r="KN16" s="106" t="str">
        <f>IFERROR((((COUNTIF('Elève (5ème2)'!KK17:KM19,"A"))*4)+((COUNTIF('Elève (5ème2)'!KK17:KM19,"B"))*3)+((COUNTIF('Elève (5ème2)'!KK17:KM19,"C"))*2)+((COUNTIF('Elève (5ème2)'!KK17:KM19,"D"))*1))/(COUNTA(KK17:KM19)),"")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(5ème2)'!KP17:KR19,"A"))*4)+((COUNTIF('Elève (5ème2)'!KP17:KR19,"B"))*3)+((COUNTIF('Elève (5ème2)'!KP17:KR19,"C"))*2)+((COUNTIF('Elève (5ème2)'!KP17:KR19,"D"))*1))/(COUNTA(KP17:KR19)),"")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(5ème2)'!KW17:KY19,"A"))*4)+((COUNTIF('Elève (5ème2)'!KW17:KY19,"B"))*3)+((COUNTIF('Elève (5ème2)'!KW17:KY19,"C"))*2)+((COUNTIF('Elève (5ème2)'!KW17:KY19,"D"))*1))/(COUNTA(KW17:KY19)),"")</f>
        <v/>
      </c>
      <c r="LA16" s="107" t="str">
        <f t="shared" si="72"/>
        <v/>
      </c>
      <c r="LB16" s="204"/>
      <c r="LC16" s="186"/>
      <c r="LD16" s="205"/>
      <c r="LE16" s="106" t="str">
        <f>IFERROR((((COUNTIF('Elève (5ème2)'!LB17:LD19,"A"))*4)+((COUNTIF('Elève (5ème2)'!LB17:LD19,"B"))*3)+((COUNTIF('Elève (5ème2)'!LB17:LD19,"C"))*2)+((COUNTIF('Elève (5ème2)'!LB17:LD19,"D"))*1))/(COUNTA(LB17:LD19)),"")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(5ème2)'!LG17:LI19,"A"))*4)+((COUNTIF('Elève (5ème2)'!LG17:LI19,"B"))*3)+((COUNTIF('Elève (5ème2)'!LG17:LI19,"C"))*2)+((COUNTIF('Elève (5ème2)'!LG17:LI19,"D"))*1))/(COUNTA(LG17:LI19)),"")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(5ème2)'!LN17:LP19,"A"))*4)+((COUNTIF('Elève (5ème2)'!LN17:LP19,"B"))*3)+((COUNTIF('Elève (5ème2)'!LN17:LP19,"C"))*2)+((COUNTIF('Elève (5ème2)'!LN17:LP19,"D"))*1))/(COUNTA(LN17:LP19)),"")</f>
        <v/>
      </c>
      <c r="LR16" s="107" t="str">
        <f t="shared" si="76"/>
        <v/>
      </c>
      <c r="LS16" s="204"/>
      <c r="LT16" s="186"/>
      <c r="LU16" s="205"/>
      <c r="LV16" s="106" t="str">
        <f>IFERROR((((COUNTIF('Elève (5ème2)'!LS17:LU19,"A"))*4)+((COUNTIF('Elève (5ème2)'!LS17:LU19,"B"))*3)+((COUNTIF('Elève (5ème2)'!LS17:LU19,"C"))*2)+((COUNTIF('Elève (5ème2)'!LS17:LU19,"D"))*1))/(COUNTA(LS17:LU19)),"")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(5ème2)'!LX17:LZ19,"A"))*4)+((COUNTIF('Elève (5ème2)'!LX17:LZ19,"B"))*3)+((COUNTIF('Elève (5ème2)'!LX17:LZ19,"C"))*2)+((COUNTIF('Elève (5ème2)'!LX17:LZ19,"D"))*1))/(COUNTA(LX17:LZ19)),"")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(5ème2)'!ME17:MG19,"A"))*4)+((COUNTIF('Elève (5ème2)'!ME17:MG19,"B"))*3)+((COUNTIF('Elève (5ème2)'!ME17:MG19,"C"))*2)+((COUNTIF('Elève (5ème2)'!ME17:MG19,"D"))*1))/(COUNTA(ME17:MG19)),"")</f>
        <v/>
      </c>
      <c r="MI16" s="107" t="str">
        <f t="shared" si="80"/>
        <v/>
      </c>
      <c r="MJ16" s="204"/>
      <c r="MK16" s="186"/>
      <c r="ML16" s="205"/>
      <c r="MM16" s="106" t="str">
        <f>IFERROR((((COUNTIF('Elève (5ème2)'!MJ17:ML19,"A"))*4)+((COUNTIF('Elève (5ème2)'!MJ17:ML19,"B"))*3)+((COUNTIF('Elève (5ème2)'!MJ17:ML19,"C"))*2)+((COUNTIF('Elève (5ème2)'!MJ17:ML19,"D"))*1))/(COUNTA(MJ17:ML19)),"")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(5ème2)'!MO17:MQ19,"A"))*4)+((COUNTIF('Elève (5ème2)'!MO17:MQ19,"B"))*3)+((COUNTIF('Elève (5ème2)'!MO17:MQ19,"C"))*2)+((COUNTIF('Elève (5ème2)'!MO17:MQ19,"D"))*1))/(COUNTA(MO17:MQ19)),"")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(5ème2)'!MV17:MX19,"A"))*4)+((COUNTIF('Elève (5ème2)'!MV17:MX19,"B"))*3)+((COUNTIF('Elève (5ème2)'!MV17:MX19,"C"))*2)+((COUNTIF('Elève (5ème2)'!MV17:MX19,"D"))*1))/(COUNTA(MV17:MX19)),"")</f>
        <v/>
      </c>
      <c r="MZ16" s="107" t="str">
        <f t="shared" si="84"/>
        <v/>
      </c>
      <c r="NA16" s="204"/>
      <c r="NB16" s="186"/>
      <c r="NC16" s="205"/>
      <c r="ND16" s="106" t="str">
        <f>IFERROR((((COUNTIF('Elève (5ème2)'!NA17:NC19,"A"))*4)+((COUNTIF('Elève (5ème2)'!NA17:NC19,"B"))*3)+((COUNTIF('Elève (5ème2)'!NA17:NC19,"C"))*2)+((COUNTIF('Elève (5ème2)'!NA17:NC19,"D"))*1))/(COUNTA(NA17:NC19)),"")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(5ème2)'!NF17:NH19,"A"))*4)+((COUNTIF('Elève (5ème2)'!NF17:NH19,"B"))*3)+((COUNTIF('Elève (5ème2)'!NF17:NH19,"C"))*2)+((COUNTIF('Elève (5ème2)'!NF17:NH19,"D"))*1))/(COUNTA(NF17:NH19)),"")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(5ème2)'!NM17:NO19,"A"))*4)+((COUNTIF('Elève (5ème2)'!NM17:NO19,"B"))*3)+((COUNTIF('Elève (5ème2)'!NM17:NO19,"C"))*2)+((COUNTIF('Elève (5ème2)'!NM17:NO19,"D"))*1))/(COUNTA(NM17:NO19)),"")</f>
        <v/>
      </c>
      <c r="NQ16" s="107" t="str">
        <f t="shared" si="88"/>
        <v/>
      </c>
      <c r="NR16" s="204"/>
      <c r="NS16" s="186"/>
      <c r="NT16" s="205"/>
      <c r="NU16" s="106" t="str">
        <f>IFERROR((((COUNTIF('Elève (5ème2)'!NR17:NT19,"A"))*4)+((COUNTIF('Elève (5ème2)'!NR17:NT19,"B"))*3)+((COUNTIF('Elève (5ème2)'!NR17:NT19,"C"))*2)+((COUNTIF('Elève (5ème2)'!NR17:NT19,"D"))*1))/(COUNTA(NR17:NT19)),"")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(5ème2)'!NW17:NY19,"A"))*4)+((COUNTIF('Elève (5ème2)'!NW17:NY19,"B"))*3)+((COUNTIF('Elève (5ème2)'!NW17:NY19,"C"))*2)+((COUNTIF('Elève (5ème2)'!NW17:NY19,"D"))*1))/(COUNTA(NW17:NY19)),"")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(5ème2)'!OD17:OF19,"A"))*4)+((COUNTIF('Elève (5ème2)'!OD17:OF19,"B"))*3)+((COUNTIF('Elève (5ème2)'!OD17:OF19,"C"))*2)+((COUNTIF('Elève (5ème2)'!OD17:OF19,"D"))*1))/(COUNTA(OD17:OF19)),"")</f>
        <v/>
      </c>
      <c r="OH16" s="107" t="str">
        <f t="shared" si="92"/>
        <v/>
      </c>
      <c r="OI16" s="204"/>
      <c r="OJ16" s="186"/>
      <c r="OK16" s="205"/>
      <c r="OL16" s="106" t="str">
        <f>IFERROR((((COUNTIF('Elève (5ème2)'!OI17:OK19,"A"))*4)+((COUNTIF('Elève (5ème2)'!OI17:OK19,"B"))*3)+((COUNTIF('Elève (5ème2)'!OI17:OK19,"C"))*2)+((COUNTIF('Elève (5ème2)'!OI17:OK19,"D"))*1))/(COUNTA(OI17:OK19)),"")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(5ème2)'!ON17:OP19,"A"))*4)+((COUNTIF('Elève (5ème2)'!ON17:OP19,"B"))*3)+((COUNTIF('Elève (5ème2)'!ON17:OP19,"C"))*2)+((COUNTIF('Elève (5ème2)'!ON17:OP19,"D"))*1))/(COUNTA(ON17:OP19)),"")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(5ème2)'!OU17:OW19,"A"))*4)+((COUNTIF('Elève (5ème2)'!OU17:OW19,"B"))*3)+((COUNTIF('Elève (5ème2)'!OU17:OW19,"C"))*2)+((COUNTIF('Elève (5ème2)'!OU17:OW19,"D"))*1))/(COUNTA(OU17:OW19)),"")</f>
        <v/>
      </c>
      <c r="OY16" s="107" t="str">
        <f t="shared" si="96"/>
        <v/>
      </c>
      <c r="OZ16" s="204"/>
      <c r="PA16" s="186"/>
      <c r="PB16" s="205"/>
      <c r="PC16" s="106" t="str">
        <f>IFERROR((((COUNTIF('Elève (5ème2)'!OZ17:PB19,"A"))*4)+((COUNTIF('Elève (5ème2)'!OZ17:PB19,"B"))*3)+((COUNTIF('Elève (5ème2)'!OZ17:PB19,"C"))*2)+((COUNTIF('Elève (5ème2)'!OZ17:PB19,"D"))*1))/(COUNTA(OZ17:PB19)),"")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(5ème2)'!PE17:PG19,"A"))*4)+((COUNTIF('Elève (5ème2)'!PE17:PG19,"B"))*3)+((COUNTIF('Elève (5ème2)'!PE17:PG19,"C"))*2)+((COUNTIF('Elève (5ème2)'!PE17:PG19,"D"))*1))/(COUNTA(PE17:PG19)),"")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(5ème2)'!PL17:PN19,"A"))*4)+((COUNTIF('Elève (5ème2)'!PL17:PN19,"B"))*3)+((COUNTIF('Elève (5ème2)'!PL17:PN19,"C"))*2)+((COUNTIF('Elève (5ème2)'!PL17:PN19,"D"))*1))/(COUNTA(PL17:PN19)),"")</f>
        <v/>
      </c>
      <c r="PP16" s="107" t="str">
        <f t="shared" si="100"/>
        <v/>
      </c>
      <c r="PQ16" s="204"/>
      <c r="PR16" s="186"/>
      <c r="PS16" s="205"/>
      <c r="PT16" s="106" t="str">
        <f>IFERROR((((COUNTIF('Elève (5ème2)'!PQ17:PS19,"A"))*4)+((COUNTIF('Elève (5ème2)'!PQ17:PS19,"B"))*3)+((COUNTIF('Elève (5ème2)'!PQ17:PS19,"C"))*2)+((COUNTIF('Elève (5ème2)'!PQ17:PS19,"D"))*1))/(COUNTA(PQ17:PS19)),"")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(5ème2)'!PV17:PX19,"A"))*4)+((COUNTIF('Elève (5ème2)'!PV17:PX19,"B"))*3)+((COUNTIF('Elève (5ème2)'!PV17:PX19,"C"))*2)+((COUNTIF('Elève (5ème2)'!PV17:PX19,"D"))*1))/(COUNTA(PV17:PX19)),"")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(5ème2)'!QC17:QE19,"A"))*4)+((COUNTIF('Elève (5ème2)'!QC17:QE19,"B"))*3)+((COUNTIF('Elève (5ème2)'!QC17:QE19,"C"))*2)+((COUNTIF('Elève (5ème2)'!QC17:QE19,"D"))*1))/(COUNTA(QC17:QE19)),"")</f>
        <v/>
      </c>
      <c r="QG16" s="107" t="str">
        <f t="shared" si="104"/>
        <v/>
      </c>
      <c r="QH16" s="204"/>
      <c r="QI16" s="186"/>
      <c r="QJ16" s="205"/>
      <c r="QK16" s="106" t="str">
        <f>IFERROR((((COUNTIF('Elève (5ème2)'!QH17:QJ19,"A"))*4)+((COUNTIF('Elève (5ème2)'!QH17:QJ19,"B"))*3)+((COUNTIF('Elève (5ème2)'!QH17:QJ19,"C"))*2)+((COUNTIF('Elève (5ème2)'!QH17:QJ19,"D"))*1))/(COUNTA(QH17:QJ19)),"")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(5ème2)'!QM17:QO19,"A"))*4)+((COUNTIF('Elève (5ème2)'!QM17:QO19,"B"))*3)+((COUNTIF('Elève (5ème2)'!QM17:QO19,"C"))*2)+((COUNTIF('Elève (5ème2)'!QM17:QO19,"D"))*1))/(COUNTA(QM17:QO19)),"")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(5ème2)'!QT17:QV19,"A"))*4)+((COUNTIF('Elève (5ème2)'!QT17:QV19,"B"))*3)+((COUNTIF('Elève (5ème2)'!QT17:QV19,"C"))*2)+((COUNTIF('Elève (5ème2)'!QT17:QV19,"D"))*1))/(COUNTA(QT17:QV19)),"")</f>
        <v/>
      </c>
      <c r="QX16" s="107" t="str">
        <f t="shared" si="108"/>
        <v/>
      </c>
      <c r="QY16" s="204"/>
      <c r="QZ16" s="186"/>
      <c r="RA16" s="205"/>
      <c r="RB16" s="106" t="str">
        <f>IFERROR((((COUNTIF('Elève (5ème2)'!QY17:RA19,"A"))*4)+((COUNTIF('Elève (5ème2)'!QY17:RA19,"B"))*3)+((COUNTIF('Elève (5ème2)'!QY17:RA19,"C"))*2)+((COUNTIF('Elève (5ème2)'!QY17:RA19,"D"))*1))/(COUNTA(QY17:RA19)),"")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(5ème2)'!RD17:RF19,"A"))*4)+((COUNTIF('Elève (5ème2)'!RD17:RF19,"B"))*3)+((COUNTIF('Elève (5ème2)'!RD17:RF19,"C"))*2)+((COUNTIF('Elève (5ème2)'!RD17:RF19,"D"))*1))/(COUNTA(RD17:RF19)),"")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(5ème2)'!RK17:RM19,"A"))*4)+((COUNTIF('Elève (5ème2)'!RK17:RM19,"B"))*3)+((COUNTIF('Elève (5ème2)'!RK17:RM19,"C"))*2)+((COUNTIF('Elève (5ème2)'!RK17:RM19,"D"))*1))/(COUNTA(RK17:RM19)),"")</f>
        <v/>
      </c>
      <c r="RO16" s="107" t="str">
        <f t="shared" si="112"/>
        <v/>
      </c>
      <c r="RP16" s="204"/>
      <c r="RQ16" s="186"/>
      <c r="RR16" s="205"/>
      <c r="RS16" s="106" t="str">
        <f>IFERROR((((COUNTIF('Elève (5ème2)'!RP17:RR19,"A"))*4)+((COUNTIF('Elève (5ème2)'!RP17:RR19,"B"))*3)+((COUNTIF('Elève (5ème2)'!RP17:RR19,"C"))*2)+((COUNTIF('Elève (5ème2)'!RP17:RR19,"D"))*1))/(COUNTA(RP17:RR19)),"")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(5ème2)'!RU17:RW19,"A"))*4)+((COUNTIF('Elève (5ème2)'!RU17:RW19,"B"))*3)+((COUNTIF('Elève (5ème2)'!RU17:RW19,"C"))*2)+((COUNTIF('Elève (5ème2)'!RU17:RW19,"D"))*1))/(COUNTA(RU17:RW19)),"")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(5ème2)'!SB17:SD19,"A"))*4)+((COUNTIF('Elève (5ème2)'!SB17:SD19,"B"))*3)+((COUNTIF('Elève (5ème2)'!SB17:SD19,"C"))*2)+((COUNTIF('Elève (5ème2)'!SB17:SD19,"D"))*1))/(COUNTA(SB17:SD19)),"")</f>
        <v/>
      </c>
      <c r="SF16" s="107" t="str">
        <f t="shared" si="116"/>
        <v/>
      </c>
      <c r="SG16" s="204"/>
      <c r="SH16" s="186"/>
      <c r="SI16" s="205"/>
      <c r="SJ16" s="106" t="str">
        <f>IFERROR((((COUNTIF('Elève (5ème2)'!SG17:SI19,"A"))*4)+((COUNTIF('Elève (5ème2)'!SG17:SI19,"B"))*3)+((COUNTIF('Elève (5ème2)'!SG17:SI19,"C"))*2)+((COUNTIF('Elève (5ème2)'!SG17:SI19,"D"))*1))/(COUNTA(SG17:SI19)),"")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(5ème2)'!SL17:SN19,"A"))*4)+((COUNTIF('Elève (5ème2)'!SL17:SN19,"B"))*3)+((COUNTIF('Elève (5ème2)'!SL17:SN19,"C"))*2)+((COUNTIF('Elève (5ème2)'!SL17:SN19,"D"))*1))/(COUNTA(SL17:SN19)),"")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1" t="s">
        <v>21</v>
      </c>
      <c r="B17" s="222"/>
      <c r="C17" s="156"/>
      <c r="D17" s="157"/>
      <c r="E17" s="158"/>
      <c r="F17" s="108" t="str">
        <f>IFERROR((((COUNTIF('Elève (5ème2)'!C17:E17,"A"))*4)+((COUNTIF('Elève (5ème2)'!C17:E17,"B"))*3)+((COUNTIF('Elève (5ème2)'!C17:E17,"C"))*2)+((COUNTIF('Elève (5ème2)'!C17:E17,"D"))*1))/(COUNTA(C17:E17)),"")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(5ème2)'!H17:J17,"A"))*4)+((COUNTIF('Elève (5ème2)'!H17:J17,"B"))*3)+((COUNTIF('Elève (5ème2)'!H17:J17,"C"))*2)+((COUNTIF('Elève (5ème2)'!H17:J17,"D"))*1))/(COUNTA(H17:J17)),"")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(5ème2)'!M17:O17,"A"))*4)+((COUNTIF('Elève (5ème2)'!M17:O17,"B"))*3)+((COUNTIF('Elève (5ème2)'!M17:O17,"C"))*2)+((COUNTIF('Elève (5ème2)'!M17:O17,"D"))*1))/(COUNTA(M17:O17)),"")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(5ème2)'!T17:V17,"A"))*4)+((COUNTIF('Elève (5ème2)'!T17:V17,"B"))*3)+((COUNTIF('Elève (5ème2)'!T17:V17,"C"))*2)+((COUNTIF('Elève (5ème2)'!T17:V17,"D"))*1))/(COUNTA(T17:V17)),"")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(5ème2)'!Y17:AA17,"A"))*4)+((COUNTIF('Elève (5ème2)'!Y17:AA17,"B"))*3)+((COUNTIF('Elève (5ème2)'!Y17:AA17,"C"))*2)+((COUNTIF('Elève (5ème2)'!Y17:AA17,"D"))*1))/(COUNTA(Y17:AA17)),"")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(5ème2)'!AD17:AF17,"A"))*4)+((COUNTIF('Elève (5ème2)'!AD17:AF17,"B"))*3)+((COUNTIF('Elève (5ème2)'!AD17:AF17,"C"))*2)+((COUNTIF('Elève (5ème2)'!AD17:AF17,"D"))*1))/(COUNTA(AD17:AF17)),"")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(5ème2)'!AK17:AM17,"A"))*4)+((COUNTIF('Elève (5ème2)'!AK17:AM17,"B"))*3)+((COUNTIF('Elève (5ème2)'!AK17:AM17,"C"))*2)+((COUNTIF('Elève (5ème2)'!AK17:AM17,"D"))*1))/(COUNTA(AK17:AM17)),"")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(5ème2)'!AP17:AR17,"A"))*4)+((COUNTIF('Elève (5ème2)'!AP17:AR17,"B"))*3)+((COUNTIF('Elève (5ème2)'!AP17:AR17,"C"))*2)+((COUNTIF('Elève (5ème2)'!AP17:AR17,"D"))*1))/(COUNTA(AP17:AR17)),"")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(5ème2)'!AU17:AW17,"A"))*4)+((COUNTIF('Elève (5ème2)'!AU17:AW17,"B"))*3)+((COUNTIF('Elève (5ème2)'!AU17:AW17,"C"))*2)+((COUNTIF('Elève (5ème2)'!AU17:AW17,"D"))*1))/(COUNTA(AU17:AW17)),"")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(5ème2)'!BB17:BD17,"A"))*4)+((COUNTIF('Elève (5ème2)'!BB17:BD17,"B"))*3)+((COUNTIF('Elève (5ème2)'!BB17:BD17,"C"))*2)+((COUNTIF('Elève (5ème2)'!BB17:BD17,"D"))*1))/(COUNTA(BB17:BD17)),"")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(5ème2)'!BG17:BI17,"A"))*4)+((COUNTIF('Elève (5ème2)'!BG17:BI17,"B"))*3)+((COUNTIF('Elève (5ème2)'!BG17:BI17,"C"))*2)+((COUNTIF('Elève (5ème2)'!BG17:BI17,"D"))*1))/(COUNTA(BG17:BI17)),"")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(5ème2)'!BL17:BN17,"A"))*4)+((COUNTIF('Elève (5ème2)'!BL17:BN17,"B"))*3)+((COUNTIF('Elève (5ème2)'!BL17:BN17,"C"))*2)+((COUNTIF('Elève (5ème2)'!BL17:BN17,"D"))*1))/(COUNTA(BL17:BN17)),"")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(5ème2)'!BS17:BU17,"A"))*4)+((COUNTIF('Elève (5ème2)'!BS17:BU17,"B"))*3)+((COUNTIF('Elève (5ème2)'!BS17:BU17,"C"))*2)+((COUNTIF('Elève (5ème2)'!BS17:BU17,"D"))*1))/(COUNTA(BS17:BU17)),"")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(5ème2)'!BX17:BZ17,"A"))*4)+((COUNTIF('Elève (5ème2)'!BX17:BZ17,"B"))*3)+((COUNTIF('Elève (5ème2)'!BX17:BZ17,"C"))*2)+((COUNTIF('Elève (5ème2)'!BX17:BZ17,"D"))*1))/(COUNTA(BX17:BZ17)),"")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(5ème2)'!CC17:CE17,"A"))*4)+((COUNTIF('Elève (5ème2)'!CC17:CE17,"B"))*3)+((COUNTIF('Elève (5ème2)'!CC17:CE17,"C"))*2)+((COUNTIF('Elève (5ème2)'!CC17:CE17,"D"))*1))/(COUNTA(CC17:CE17)),"")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(5ème2)'!CJ17:CL17,"A"))*4)+((COUNTIF('Elève (5ème2)'!CJ17:CL17,"B"))*3)+((COUNTIF('Elève (5ème2)'!CJ17:CL17,"C"))*2)+((COUNTIF('Elève (5ème2)'!CJ17:CL17,"D"))*1))/(COUNTA(CJ17:CL17)),"")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(5ème2)'!CO17:CQ17,"A"))*4)+((COUNTIF('Elève (5ème2)'!CO17:CQ17,"B"))*3)+((COUNTIF('Elève (5ème2)'!CO17:CQ17,"C"))*2)+((COUNTIF('Elève (5ème2)'!CO17:CQ17,"D"))*1))/(COUNTA(CO17:CQ17)),"")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(5ème2)'!CT17:CV17,"A"))*4)+((COUNTIF('Elève (5ème2)'!CT17:CV17,"B"))*3)+((COUNTIF('Elève (5ème2)'!CT17:CV17,"C"))*2)+((COUNTIF('Elève (5ème2)'!CT17:CV17,"D"))*1))/(COUNTA(CT17:CV17)),"")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(5ème2)'!DA17:DC17,"A"))*4)+((COUNTIF('Elève (5ème2)'!DA17:DC17,"B"))*3)+((COUNTIF('Elève (5ème2)'!DA17:DC17,"C"))*2)+((COUNTIF('Elève (5ème2)'!DA17:DC17,"D"))*1))/(COUNTA(DA17:DC17)),"")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(5ème2)'!DF17:DH17,"A"))*4)+((COUNTIF('Elève (5ème2)'!DF17:DH17,"B"))*3)+((COUNTIF('Elève (5ème2)'!DF17:DH17,"C"))*2)+((COUNTIF('Elève (5ème2)'!DF17:DH17,"D"))*1))/(COUNTA(DF17:DH17)),"")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(5ème2)'!DK17:DM17,"A"))*4)+((COUNTIF('Elève (5ème2)'!DK17:DM17,"B"))*3)+((COUNTIF('Elève (5ème2)'!DK17:DM17,"C"))*2)+((COUNTIF('Elève (5ème2)'!DK17:DM17,"D"))*1))/(COUNTA(DK17:DM17)),"")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(5ème2)'!DR17:DT17,"A"))*4)+((COUNTIF('Elève (5ème2)'!DR17:DT17,"B"))*3)+((COUNTIF('Elève (5ème2)'!DR17:DT17,"C"))*2)+((COUNTIF('Elève (5ème2)'!DR17:DT17,"D"))*1))/(COUNTA(DR17:DT17)),"")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(5ème2)'!DW17:DY17,"A"))*4)+((COUNTIF('Elève (5ème2)'!DW17:DY17,"B"))*3)+((COUNTIF('Elève (5ème2)'!DW17:DY17,"C"))*2)+((COUNTIF('Elève (5ème2)'!DW17:DY17,"D"))*1))/(COUNTA(DW17:DY17)),"")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(5ème2)'!EB17:ED17,"A"))*4)+((COUNTIF('Elève (5ème2)'!EB17:ED17,"B"))*3)+((COUNTIF('Elève (5ème2)'!EB17:ED17,"C"))*2)+((COUNTIF('Elève (5ème2)'!EB17:ED17,"D"))*1))/(COUNTA(EB17:ED17)),"")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(5ème2)'!EI17:EK17,"A"))*4)+((COUNTIF('Elève (5ème2)'!EI17:EK17,"B"))*3)+((COUNTIF('Elève (5ème2)'!EI17:EK17,"C"))*2)+((COUNTIF('Elève (5ème2)'!EI17:EK17,"D"))*1))/(COUNTA(EI17:EK17)),"")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(5ème2)'!EN17:EP17,"A"))*4)+((COUNTIF('Elève (5ème2)'!EN17:EP17,"B"))*3)+((COUNTIF('Elève (5ème2)'!EN17:EP17,"C"))*2)+((COUNTIF('Elève (5ème2)'!EN17:EP17,"D"))*1))/(COUNTA(EN17:EP17)),"")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(5ème2)'!ES17:EU17,"A"))*4)+((COUNTIF('Elève (5ème2)'!ES17:EU17,"B"))*3)+((COUNTIF('Elève (5ème2)'!ES17:EU17,"C"))*2)+((COUNTIF('Elève (5ème2)'!ES17:EU17,"D"))*1))/(COUNTA(ES17:EU17)),"")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(5ème2)'!EZ17:FB17,"A"))*4)+((COUNTIF('Elève (5ème2)'!EZ17:FB17,"B"))*3)+((COUNTIF('Elève (5ème2)'!EZ17:FB17,"C"))*2)+((COUNTIF('Elève (5ème2)'!EZ17:FB17,"D"))*1))/(COUNTA(EZ17:FB17)),"")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(5ème2)'!FE17:FG17,"A"))*4)+((COUNTIF('Elève (5ème2)'!FE17:FG17,"B"))*3)+((COUNTIF('Elève (5ème2)'!FE17:FG17,"C"))*2)+((COUNTIF('Elève (5ème2)'!FE17:FG17,"D"))*1))/(COUNTA(FE17:FG17)),"")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(5ème2)'!FJ17:FL17,"A"))*4)+((COUNTIF('Elève (5ème2)'!FJ17:FL17,"B"))*3)+((COUNTIF('Elève (5ème2)'!FJ17:FL17,"C"))*2)+((COUNTIF('Elève (5ème2)'!FJ17:FL17,"D"))*1))/(COUNTA(FJ17:FL17)),"")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(5ème2)'!FQ17:FS17,"A"))*4)+((COUNTIF('Elève (5ème2)'!FQ17:FS17,"B"))*3)+((COUNTIF('Elève (5ème2)'!FQ17:FS17,"C"))*2)+((COUNTIF('Elève (5ème2)'!FQ17:FS17,"D"))*1))/(COUNTA(FQ17:FS17)),"")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(5ème2)'!FV17:FX17,"A"))*4)+((COUNTIF('Elève (5ème2)'!FV17:FX17,"B"))*3)+((COUNTIF('Elève (5ème2)'!FV17:FX17,"C"))*2)+((COUNTIF('Elève (5ème2)'!FV17:FX17,"D"))*1))/(COUNTA(FV17:FX17)),"")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(5ème2)'!GA17:GC17,"A"))*4)+((COUNTIF('Elève (5ème2)'!GA17:GC17,"B"))*3)+((COUNTIF('Elève (5ème2)'!GA17:GC17,"C"))*2)+((COUNTIF('Elève (5ème2)'!GA17:GC17,"D"))*1))/(COUNTA(GA17:GC17)),"")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(5ème2)'!GH17:GJ17,"A"))*4)+((COUNTIF('Elève (5ème2)'!GH17:GJ17,"B"))*3)+((COUNTIF('Elève (5ème2)'!GH17:GJ17,"C"))*2)+((COUNTIF('Elève (5ème2)'!GH17:GJ17,"D"))*1))/(COUNTA(GH17:GJ17)),"")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(5ème2)'!GM17:GO17,"A"))*4)+((COUNTIF('Elève (5ème2)'!GM17:GO17,"B"))*3)+((COUNTIF('Elève (5ème2)'!GM17:GO17,"C"))*2)+((COUNTIF('Elève (5ème2)'!GM17:GO17,"D"))*1))/(COUNTA(GM17:GO17)),"")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(5ème2)'!GR17:GT17,"A"))*4)+((COUNTIF('Elève (5ème2)'!GR17:GT17,"B"))*3)+((COUNTIF('Elève (5ème2)'!GR17:GT17,"C"))*2)+((COUNTIF('Elève (5ème2)'!GR17:GT17,"D"))*1))/(COUNTA(GR17:GT17)),"")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(5ème2)'!GY17:HA17,"A"))*4)+((COUNTIF('Elève (5ème2)'!GY17:HA17,"B"))*3)+((COUNTIF('Elève (5ème2)'!GY17:HA17,"C"))*2)+((COUNTIF('Elève (5ème2)'!GY17:HA17,"D"))*1))/(COUNTA(GY17:HA17)),"")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(5ème2)'!HD17:HF17,"A"))*4)+((COUNTIF('Elève (5ème2)'!HD17:HF17,"B"))*3)+((COUNTIF('Elève (5ème2)'!HD17:HF17,"C"))*2)+((COUNTIF('Elève (5ème2)'!HD17:HF17,"D"))*1))/(COUNTA(HD17:HF17)),"")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(5ème2)'!HI17:HK17,"A"))*4)+((COUNTIF('Elève (5ème2)'!HI17:HK17,"B"))*3)+((COUNTIF('Elève (5ème2)'!HI17:HK17,"C"))*2)+((COUNTIF('Elève (5ème2)'!HI17:HK17,"D"))*1))/(COUNTA(HI17:HK17)),"")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(5ème2)'!HP17:HR17,"A"))*4)+((COUNTIF('Elève (5ème2)'!HP17:HR17,"B"))*3)+((COUNTIF('Elève (5ème2)'!HP17:HR17,"C"))*2)+((COUNTIF('Elève (5ème2)'!HP17:HR17,"D"))*1))/(COUNTA(HP17:HR17)),"")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(5ème2)'!HU17:HW17,"A"))*4)+((COUNTIF('Elève (5ème2)'!HU17:HW17,"B"))*3)+((COUNTIF('Elève (5ème2)'!HU17:HW17,"C"))*2)+((COUNTIF('Elève (5ème2)'!HU17:HW17,"D"))*1))/(COUNTA(HU17:HW17)),"")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(5ème2)'!HZ17:IB17,"A"))*4)+((COUNTIF('Elève (5ème2)'!HZ17:IB17,"B"))*3)+((COUNTIF('Elève (5ème2)'!HZ17:IB17,"C"))*2)+((COUNTIF('Elève (5ème2)'!HZ17:IB17,"D"))*1))/(COUNTA(HZ17:IB17)),"")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(5ème2)'!IG17:II17,"A"))*4)+((COUNTIF('Elève (5ème2)'!IG17:II17,"B"))*3)+((COUNTIF('Elève (5ème2)'!IG17:II17,"C"))*2)+((COUNTIF('Elève (5ème2)'!IG17:II17,"D"))*1))/(COUNTA(IG17:II17)),"")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(5ème2)'!IL17:IN17,"A"))*4)+((COUNTIF('Elève (5ème2)'!IL17:IN17,"B"))*3)+((COUNTIF('Elève (5ème2)'!IL17:IN17,"C"))*2)+((COUNTIF('Elève (5ème2)'!IL17:IN17,"D"))*1))/(COUNTA(IL17:IN17)),"")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(5ème2)'!IQ17:IS17,"A"))*4)+((COUNTIF('Elève (5ème2)'!IQ17:IS17,"B"))*3)+((COUNTIF('Elève (5ème2)'!IQ17:IS17,"C"))*2)+((COUNTIF('Elève (5ème2)'!IQ17:IS17,"D"))*1))/(COUNTA(IQ17:IS17)),"")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(5ème2)'!IX17:IZ17,"A"))*4)+((COUNTIF('Elève (5ème2)'!IX17:IZ17,"B"))*3)+((COUNTIF('Elève (5ème2)'!IX17:IZ17,"C"))*2)+((COUNTIF('Elève (5ème2)'!IX17:IZ17,"D"))*1))/(COUNTA(IX17:IZ17)),"")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(5ème2)'!JC17:JE17,"A"))*4)+((COUNTIF('Elève (5ème2)'!JC17:JE17,"B"))*3)+((COUNTIF('Elève (5ème2)'!JC17:JE17,"C"))*2)+((COUNTIF('Elève (5ème2)'!JC17:JE17,"D"))*1))/(COUNTA(JC17:JE17)),"")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(5ème2)'!JH17:JJ17,"A"))*4)+((COUNTIF('Elève (5ème2)'!JH17:JJ17,"B"))*3)+((COUNTIF('Elève (5ème2)'!JH17:JJ17,"C"))*2)+((COUNTIF('Elève (5ème2)'!JH17:JJ17,"D"))*1))/(COUNTA(JH17:JJ17)),"")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(5ème2)'!JO17:JQ17,"A"))*4)+((COUNTIF('Elève (5ème2)'!JO17:JQ17,"B"))*3)+((COUNTIF('Elève (5ème2)'!JO17:JQ17,"C"))*2)+((COUNTIF('Elève (5ème2)'!JO17:JQ17,"D"))*1))/(COUNTA(JO17:JQ17)),"")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(5ème2)'!JT17:JV17,"A"))*4)+((COUNTIF('Elève (5ème2)'!JT17:JV17,"B"))*3)+((COUNTIF('Elève (5ème2)'!JT17:JV17,"C"))*2)+((COUNTIF('Elève (5ème2)'!JT17:JV17,"D"))*1))/(COUNTA(JT17:JV17)),"")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(5ème2)'!JY17:KA17,"A"))*4)+((COUNTIF('Elève (5ème2)'!JY17:KA17,"B"))*3)+((COUNTIF('Elève (5ème2)'!JY17:KA17,"C"))*2)+((COUNTIF('Elève (5ème2)'!JY17:KA17,"D"))*1))/(COUNTA(JY17:KA17)),"")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(5ème2)'!KF17:KH17,"A"))*4)+((COUNTIF('Elève (5ème2)'!KF17:KH17,"B"))*3)+((COUNTIF('Elève (5ème2)'!KF17:KH17,"C"))*2)+((COUNTIF('Elève (5ème2)'!KF17:KH17,"D"))*1))/(COUNTA(KF17:KH17)),"")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(5ème2)'!KK17:KM17,"A"))*4)+((COUNTIF('Elève (5ème2)'!KK17:KM17,"B"))*3)+((COUNTIF('Elève (5ème2)'!KK17:KM17,"C"))*2)+((COUNTIF('Elève (5ème2)'!KK17:KM17,"D"))*1))/(COUNTA(KK17:KM17)),"")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(5ème2)'!KP17:KR17,"A"))*4)+((COUNTIF('Elève (5ème2)'!KP17:KR17,"B"))*3)+((COUNTIF('Elève (5ème2)'!KP17:KR17,"C"))*2)+((COUNTIF('Elève (5ème2)'!KP17:KR17,"D"))*1))/(COUNTA(KP17:KR17)),"")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(5ème2)'!KW17:KY17,"A"))*4)+((COUNTIF('Elève (5ème2)'!KW17:KY17,"B"))*3)+((COUNTIF('Elève (5ème2)'!KW17:KY17,"C"))*2)+((COUNTIF('Elève (5ème2)'!KW17:KY17,"D"))*1))/(COUNTA(KW17:KY17)),"")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(5ème2)'!LB17:LD17,"A"))*4)+((COUNTIF('Elève (5ème2)'!LB17:LD17,"B"))*3)+((COUNTIF('Elève (5ème2)'!LB17:LD17,"C"))*2)+((COUNTIF('Elève (5ème2)'!LB17:LD17,"D"))*1))/(COUNTA(LB17:LD17)),"")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(5ème2)'!LG17:LI17,"A"))*4)+((COUNTIF('Elève (5ème2)'!LG17:LI17,"B"))*3)+((COUNTIF('Elève (5ème2)'!LG17:LI17,"C"))*2)+((COUNTIF('Elève (5ème2)'!LG17:LI17,"D"))*1))/(COUNTA(LG17:LI17)),"")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(5ème2)'!LN17:LP17,"A"))*4)+((COUNTIF('Elève (5ème2)'!LN17:LP17,"B"))*3)+((COUNTIF('Elève (5ème2)'!LN17:LP17,"C"))*2)+((COUNTIF('Elève (5ème2)'!LN17:LP17,"D"))*1))/(COUNTA(LN17:LP17)),"")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(5ème2)'!LS17:LU17,"A"))*4)+((COUNTIF('Elève (5ème2)'!LS17:LU17,"B"))*3)+((COUNTIF('Elève (5ème2)'!LS17:LU17,"C"))*2)+((COUNTIF('Elève (5ème2)'!LS17:LU17,"D"))*1))/(COUNTA(LS17:LU17)),"")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(5ème2)'!LX17:LZ17,"A"))*4)+((COUNTIF('Elève (5ème2)'!LX17:LZ17,"B"))*3)+((COUNTIF('Elève (5ème2)'!LX17:LZ17,"C"))*2)+((COUNTIF('Elève (5ème2)'!LX17:LZ17,"D"))*1))/(COUNTA(LX17:LZ17)),"")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(5ème2)'!ME17:MG17,"A"))*4)+((COUNTIF('Elève (5ème2)'!ME17:MG17,"B"))*3)+((COUNTIF('Elève (5ème2)'!ME17:MG17,"C"))*2)+((COUNTIF('Elève (5ème2)'!ME17:MG17,"D"))*1))/(COUNTA(ME17:MG17)),"")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(5ème2)'!MJ17:ML17,"A"))*4)+((COUNTIF('Elève (5ème2)'!MJ17:ML17,"B"))*3)+((COUNTIF('Elève (5ème2)'!MJ17:ML17,"C"))*2)+((COUNTIF('Elève (5ème2)'!MJ17:ML17,"D"))*1))/(COUNTA(MJ17:ML17)),"")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(5ème2)'!MO17:MQ17,"A"))*4)+((COUNTIF('Elève (5ème2)'!MO17:MQ17,"B"))*3)+((COUNTIF('Elève (5ème2)'!MO17:MQ17,"C"))*2)+((COUNTIF('Elève (5ème2)'!MO17:MQ17,"D"))*1))/(COUNTA(MO17:MQ17)),"")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(5ème2)'!MV17:MX17,"A"))*4)+((COUNTIF('Elève (5ème2)'!MV17:MX17,"B"))*3)+((COUNTIF('Elève (5ème2)'!MV17:MX17,"C"))*2)+((COUNTIF('Elève (5ème2)'!MV17:MX17,"D"))*1))/(COUNTA(MV17:MX17)),"")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(5ème2)'!NA17:NC17,"A"))*4)+((COUNTIF('Elève (5ème2)'!NA17:NC17,"B"))*3)+((COUNTIF('Elève (5ème2)'!NA17:NC17,"C"))*2)+((COUNTIF('Elève (5ème2)'!NA17:NC17,"D"))*1))/(COUNTA(NA17:NC17)),"")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(5ème2)'!NF17:NH17,"A"))*4)+((COUNTIF('Elève (5ème2)'!NF17:NH17,"B"))*3)+((COUNTIF('Elève (5ème2)'!NF17:NH17,"C"))*2)+((COUNTIF('Elève (5ème2)'!NF17:NH17,"D"))*1))/(COUNTA(NF17:NH17)),"")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(5ème2)'!NM17:NO17,"A"))*4)+((COUNTIF('Elève (5ème2)'!NM17:NO17,"B"))*3)+((COUNTIF('Elève (5ème2)'!NM17:NO17,"C"))*2)+((COUNTIF('Elève (5ème2)'!NM17:NO17,"D"))*1))/(COUNTA(NM17:NO17)),"")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(5ème2)'!NR17:NT17,"A"))*4)+((COUNTIF('Elève (5ème2)'!NR17:NT17,"B"))*3)+((COUNTIF('Elève (5ème2)'!NR17:NT17,"C"))*2)+((COUNTIF('Elève (5ème2)'!NR17:NT17,"D"))*1))/(COUNTA(NR17:NT17)),"")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(5ème2)'!NW17:NY17,"A"))*4)+((COUNTIF('Elève (5ème2)'!NW17:NY17,"B"))*3)+((COUNTIF('Elève (5ème2)'!NW17:NY17,"C"))*2)+((COUNTIF('Elève (5ème2)'!NW17:NY17,"D"))*1))/(COUNTA(NW17:NY17)),"")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(5ème2)'!OD17:OF17,"A"))*4)+((COUNTIF('Elève (5ème2)'!OD17:OF17,"B"))*3)+((COUNTIF('Elève (5ème2)'!OD17:OF17,"C"))*2)+((COUNTIF('Elève (5ème2)'!OD17:OF17,"D"))*1))/(COUNTA(OD17:OF17)),"")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(5ème2)'!OI17:OK17,"A"))*4)+((COUNTIF('Elève (5ème2)'!OI17:OK17,"B"))*3)+((COUNTIF('Elève (5ème2)'!OI17:OK17,"C"))*2)+((COUNTIF('Elève (5ème2)'!OI17:OK17,"D"))*1))/(COUNTA(OI17:OK17)),"")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(5ème2)'!ON17:OP17,"A"))*4)+((COUNTIF('Elève (5ème2)'!ON17:OP17,"B"))*3)+((COUNTIF('Elève (5ème2)'!ON17:OP17,"C"))*2)+((COUNTIF('Elève (5ème2)'!ON17:OP17,"D"))*1))/(COUNTA(ON17:OP17)),"")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(5ème2)'!OU17:OW17,"A"))*4)+((COUNTIF('Elève (5ème2)'!OU17:OW17,"B"))*3)+((COUNTIF('Elève (5ème2)'!OU17:OW17,"C"))*2)+((COUNTIF('Elève (5ème2)'!OU17:OW17,"D"))*1))/(COUNTA(OU17:OW17)),"")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(5ème2)'!OZ17:PB17,"A"))*4)+((COUNTIF('Elève (5ème2)'!OZ17:PB17,"B"))*3)+((COUNTIF('Elève (5ème2)'!OZ17:PB17,"C"))*2)+((COUNTIF('Elève (5ème2)'!OZ17:PB17,"D"))*1))/(COUNTA(OZ17:PB17)),"")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(5ème2)'!PE17:PG17,"A"))*4)+((COUNTIF('Elève (5ème2)'!PE17:PG17,"B"))*3)+((COUNTIF('Elève (5ème2)'!PE17:PG17,"C"))*2)+((COUNTIF('Elève (5ème2)'!PE17:PG17,"D"))*1))/(COUNTA(PE17:PG17)),"")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(5ème2)'!PL17:PN17,"A"))*4)+((COUNTIF('Elève (5ème2)'!PL17:PN17,"B"))*3)+((COUNTIF('Elève (5ème2)'!PL17:PN17,"C"))*2)+((COUNTIF('Elève (5ème2)'!PL17:PN17,"D"))*1))/(COUNTA(PL17:PN17)),"")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(5ème2)'!PQ17:PS17,"A"))*4)+((COUNTIF('Elève (5ème2)'!PQ17:PS17,"B"))*3)+((COUNTIF('Elève (5ème2)'!PQ17:PS17,"C"))*2)+((COUNTIF('Elève (5ème2)'!PQ17:PS17,"D"))*1))/(COUNTA(PQ17:PS17)),"")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(5ème2)'!PV17:PX17,"A"))*4)+((COUNTIF('Elève (5ème2)'!PV17:PX17,"B"))*3)+((COUNTIF('Elève (5ème2)'!PV17:PX17,"C"))*2)+((COUNTIF('Elève (5ème2)'!PV17:PX17,"D"))*1))/(COUNTA(PV17:PX17)),"")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(5ème2)'!QC17:QE17,"A"))*4)+((COUNTIF('Elève (5ème2)'!QC17:QE17,"B"))*3)+((COUNTIF('Elève (5ème2)'!QC17:QE17,"C"))*2)+((COUNTIF('Elève (5ème2)'!QC17:QE17,"D"))*1))/(COUNTA(QC17:QE17)),"")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(5ème2)'!QH17:QJ17,"A"))*4)+((COUNTIF('Elève (5ème2)'!QH17:QJ17,"B"))*3)+((COUNTIF('Elève (5ème2)'!QH17:QJ17,"C"))*2)+((COUNTIF('Elève (5ème2)'!QH17:QJ17,"D"))*1))/(COUNTA(QH17:QJ17)),"")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(5ème2)'!QM17:QO17,"A"))*4)+((COUNTIF('Elève (5ème2)'!QM17:QO17,"B"))*3)+((COUNTIF('Elève (5ème2)'!QM17:QO17,"C"))*2)+((COUNTIF('Elève (5ème2)'!QM17:QO17,"D"))*1))/(COUNTA(QM17:QO17)),"")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(5ème2)'!QT17:QV17,"A"))*4)+((COUNTIF('Elève (5ème2)'!QT17:QV17,"B"))*3)+((COUNTIF('Elève (5ème2)'!QT17:QV17,"C"))*2)+((COUNTIF('Elève (5ème2)'!QT17:QV17,"D"))*1))/(COUNTA(QT17:QV17)),"")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(5ème2)'!QY17:RA17,"A"))*4)+((COUNTIF('Elève (5ème2)'!QY17:RA17,"B"))*3)+((COUNTIF('Elève (5ème2)'!QY17:RA17,"C"))*2)+((COUNTIF('Elève (5ème2)'!QY17:RA17,"D"))*1))/(COUNTA(QY17:RA17)),"")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(5ème2)'!RD17:RF17,"A"))*4)+((COUNTIF('Elève (5ème2)'!RD17:RF17,"B"))*3)+((COUNTIF('Elève (5ème2)'!RD17:RF17,"C"))*2)+((COUNTIF('Elève (5ème2)'!RD17:RF17,"D"))*1))/(COUNTA(RD17:RF17)),"")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(5ème2)'!RK17:RM17,"A"))*4)+((COUNTIF('Elève (5ème2)'!RK17:RM17,"B"))*3)+((COUNTIF('Elève (5ème2)'!RK17:RM17,"C"))*2)+((COUNTIF('Elève (5ème2)'!RK17:RM17,"D"))*1))/(COUNTA(RK17:RM17)),"")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(5ème2)'!RP17:RR17,"A"))*4)+((COUNTIF('Elève (5ème2)'!RP17:RR17,"B"))*3)+((COUNTIF('Elève (5ème2)'!RP17:RR17,"C"))*2)+((COUNTIF('Elève (5ème2)'!RP17:RR17,"D"))*1))/(COUNTA(RP17:RR17)),"")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(5ème2)'!RU17:RW17,"A"))*4)+((COUNTIF('Elève (5ème2)'!RU17:RW17,"B"))*3)+((COUNTIF('Elève (5ème2)'!RU17:RW17,"C"))*2)+((COUNTIF('Elève (5ème2)'!RU17:RW17,"D"))*1))/(COUNTA(RU17:RW17)),"")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(5ème2)'!SB17:SD17,"A"))*4)+((COUNTIF('Elève (5ème2)'!SB17:SD17,"B"))*3)+((COUNTIF('Elève (5ème2)'!SB17:SD17,"C"))*2)+((COUNTIF('Elève (5ème2)'!SB17:SD17,"D"))*1))/(COUNTA(SB17:SD17)),"")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(5ème2)'!SG17:SI17,"A"))*4)+((COUNTIF('Elève (5ème2)'!SG17:SI17,"B"))*3)+((COUNTIF('Elève (5ème2)'!SG17:SI17,"C"))*2)+((COUNTIF('Elève (5ème2)'!SG17:SI17,"D"))*1))/(COUNTA(SG17:SI17)),"")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(5ème2)'!SL17:SN17,"A"))*4)+((COUNTIF('Elève (5ème2)'!SL17:SN17,"B"))*3)+((COUNTIF('Elève (5ème2)'!SL17:SN17,"C"))*2)+((COUNTIF('Elève (5ème2)'!SL17:SN17,"D"))*1))/(COUNTA(SL17:SN17)),"")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7" t="s">
        <v>22</v>
      </c>
      <c r="B18" s="228"/>
      <c r="C18" s="156"/>
      <c r="D18" s="157"/>
      <c r="E18" s="158"/>
      <c r="F18" s="110" t="str">
        <f>IFERROR((((COUNTIF('Elève (5ème2)'!C18:E18,"A"))*4)+((COUNTIF('Elève (5ème2)'!C18:E18,"B"))*3)+((COUNTIF('Elève (5ème2)'!C18:E18,"C"))*2)+((COUNTIF('Elève (5ème2)'!C18:E18,"D"))*1))/(COUNTA(C18:E18)),"")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(5ème2)'!H18:J18,"A"))*4)+((COUNTIF('Elève (5ème2)'!H18:J18,"B"))*3)+((COUNTIF('Elève (5ème2)'!H18:J18,"C"))*2)+((COUNTIF('Elève (5ème2)'!H18:J18,"D"))*1))/(COUNTA(H18:J18)),"")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(5ème2)'!M18:O18,"A"))*4)+((COUNTIF('Elève (5ème2)'!M18:O18,"B"))*3)+((COUNTIF('Elève (5ème2)'!M18:O18,"C"))*2)+((COUNTIF('Elève (5ème2)'!M18:O18,"D"))*1))/(COUNTA(M18:O18)),"")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(5ème2)'!T18:V18,"A"))*4)+((COUNTIF('Elève (5ème2)'!T18:V18,"B"))*3)+((COUNTIF('Elève (5ème2)'!T18:V18,"C"))*2)+((COUNTIF('Elève (5ème2)'!T18:V18,"D"))*1))/(COUNTA(T18:V18)),"")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(5ème2)'!Y18:AA18,"A"))*4)+((COUNTIF('Elève (5ème2)'!Y18:AA18,"B"))*3)+((COUNTIF('Elève (5ème2)'!Y18:AA18,"C"))*2)+((COUNTIF('Elève (5ème2)'!Y18:AA18,"D"))*1))/(COUNTA(Y18:AA18)),"")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(5ème2)'!AD18:AF18,"A"))*4)+((COUNTIF('Elève (5ème2)'!AD18:AF18,"B"))*3)+((COUNTIF('Elève (5ème2)'!AD18:AF18,"C"))*2)+((COUNTIF('Elève (5ème2)'!AD18:AF18,"D"))*1))/(COUNTA(AD18:AF18)),"")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(5ème2)'!AK18:AM18,"A"))*4)+((COUNTIF('Elève (5ème2)'!AK18:AM18,"B"))*3)+((COUNTIF('Elève (5ème2)'!AK18:AM18,"C"))*2)+((COUNTIF('Elève (5ème2)'!AK18:AM18,"D"))*1))/(COUNTA(AK18:AM18)),"")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(5ème2)'!AP18:AR18,"A"))*4)+((COUNTIF('Elève (5ème2)'!AP18:AR18,"B"))*3)+((COUNTIF('Elève (5ème2)'!AP18:AR18,"C"))*2)+((COUNTIF('Elève (5ème2)'!AP18:AR18,"D"))*1))/(COUNTA(AP18:AR18)),"")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(5ème2)'!AU18:AW18,"A"))*4)+((COUNTIF('Elève (5ème2)'!AU18:AW18,"B"))*3)+((COUNTIF('Elève (5ème2)'!AU18:AW18,"C"))*2)+((COUNTIF('Elève (5ème2)'!AU18:AW18,"D"))*1))/(COUNTA(AU18:AW18)),"")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(5ème2)'!BB18:BD18,"A"))*4)+((COUNTIF('Elève (5ème2)'!BB18:BD18,"B"))*3)+((COUNTIF('Elève (5ème2)'!BB18:BD18,"C"))*2)+((COUNTIF('Elève (5ème2)'!BB18:BD18,"D"))*1))/(COUNTA(BB18:BD18)),"")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(5ème2)'!BG18:BI18,"A"))*4)+((COUNTIF('Elève (5ème2)'!BG18:BI18,"B"))*3)+((COUNTIF('Elève (5ème2)'!BG18:BI18,"C"))*2)+((COUNTIF('Elève (5ème2)'!BG18:BI18,"D"))*1))/(COUNTA(BG18:BI18)),"")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(5ème2)'!BL18:BN18,"A"))*4)+((COUNTIF('Elève (5ème2)'!BL18:BN18,"B"))*3)+((COUNTIF('Elève (5ème2)'!BL18:BN18,"C"))*2)+((COUNTIF('Elève (5ème2)'!BL18:BN18,"D"))*1))/(COUNTA(BL18:BN18)),"")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(5ème2)'!BS18:BU18,"A"))*4)+((COUNTIF('Elève (5ème2)'!BS18:BU18,"B"))*3)+((COUNTIF('Elève (5ème2)'!BS18:BU18,"C"))*2)+((COUNTIF('Elève (5ème2)'!BS18:BU18,"D"))*1))/(COUNTA(BS18:BU18)),"")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(5ème2)'!BX18:BZ18,"A"))*4)+((COUNTIF('Elève (5ème2)'!BX18:BZ18,"B"))*3)+((COUNTIF('Elève (5ème2)'!BX18:BZ18,"C"))*2)+((COUNTIF('Elève (5ème2)'!BX18:BZ18,"D"))*1))/(COUNTA(BX18:BZ18)),"")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(5ème2)'!CC18:CE18,"A"))*4)+((COUNTIF('Elève (5ème2)'!CC18:CE18,"B"))*3)+((COUNTIF('Elève (5ème2)'!CC18:CE18,"C"))*2)+((COUNTIF('Elève (5ème2)'!CC18:CE18,"D"))*1))/(COUNTA(CC18:CE18)),"")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(5ème2)'!CJ18:CL18,"A"))*4)+((COUNTIF('Elève (5ème2)'!CJ18:CL18,"B"))*3)+((COUNTIF('Elève (5ème2)'!CJ18:CL18,"C"))*2)+((COUNTIF('Elève (5ème2)'!CJ18:CL18,"D"))*1))/(COUNTA(CJ18:CL18)),"")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(5ème2)'!CO18:CQ18,"A"))*4)+((COUNTIF('Elève (5ème2)'!CO18:CQ18,"B"))*3)+((COUNTIF('Elève (5ème2)'!CO18:CQ18,"C"))*2)+((COUNTIF('Elève (5ème2)'!CO18:CQ18,"D"))*1))/(COUNTA(CO18:CQ18)),"")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(5ème2)'!CT18:CV18,"A"))*4)+((COUNTIF('Elève (5ème2)'!CT18:CV18,"B"))*3)+((COUNTIF('Elève (5ème2)'!CT18:CV18,"C"))*2)+((COUNTIF('Elève (5ème2)'!CT18:CV18,"D"))*1))/(COUNTA(CT18:CV18)),"")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(5ème2)'!DA18:DC18,"A"))*4)+((COUNTIF('Elève (5ème2)'!DA18:DC18,"B"))*3)+((COUNTIF('Elève (5ème2)'!DA18:DC18,"C"))*2)+((COUNTIF('Elève (5ème2)'!DA18:DC18,"D"))*1))/(COUNTA(DA18:DC18)),"")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(5ème2)'!DF18:DH18,"A"))*4)+((COUNTIF('Elève (5ème2)'!DF18:DH18,"B"))*3)+((COUNTIF('Elève (5ème2)'!DF18:DH18,"C"))*2)+((COUNTIF('Elève (5ème2)'!DF18:DH18,"D"))*1))/(COUNTA(DF18:DH18)),"")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(5ème2)'!DK18:DM18,"A"))*4)+((COUNTIF('Elève (5ème2)'!DK18:DM18,"B"))*3)+((COUNTIF('Elève (5ème2)'!DK18:DM18,"C"))*2)+((COUNTIF('Elève (5ème2)'!DK18:DM18,"D"))*1))/(COUNTA(DK18:DM18)),"")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(5ème2)'!DR18:DT18,"A"))*4)+((COUNTIF('Elève (5ème2)'!DR18:DT18,"B"))*3)+((COUNTIF('Elève (5ème2)'!DR18:DT18,"C"))*2)+((COUNTIF('Elève (5ème2)'!DR18:DT18,"D"))*1))/(COUNTA(DR18:DT18)),"")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(5ème2)'!DW18:DY18,"A"))*4)+((COUNTIF('Elève (5ème2)'!DW18:DY18,"B"))*3)+((COUNTIF('Elève (5ème2)'!DW18:DY18,"C"))*2)+((COUNTIF('Elève (5ème2)'!DW18:DY18,"D"))*1))/(COUNTA(DW18:DY18)),"")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(5ème2)'!EB18:ED18,"A"))*4)+((COUNTIF('Elève (5ème2)'!EB18:ED18,"B"))*3)+((COUNTIF('Elève (5ème2)'!EB18:ED18,"C"))*2)+((COUNTIF('Elève (5ème2)'!EB18:ED18,"D"))*1))/(COUNTA(EB18:ED18)),"")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(5ème2)'!EI18:EK18,"A"))*4)+((COUNTIF('Elève (5ème2)'!EI18:EK18,"B"))*3)+((COUNTIF('Elève (5ème2)'!EI18:EK18,"C"))*2)+((COUNTIF('Elève (5ème2)'!EI18:EK18,"D"))*1))/(COUNTA(EI18:EK18)),"")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(5ème2)'!EN18:EP18,"A"))*4)+((COUNTIF('Elève (5ème2)'!EN18:EP18,"B"))*3)+((COUNTIF('Elève (5ème2)'!EN18:EP18,"C"))*2)+((COUNTIF('Elève (5ème2)'!EN18:EP18,"D"))*1))/(COUNTA(EN18:EP18)),"")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(5ème2)'!ES18:EU18,"A"))*4)+((COUNTIF('Elève (5ème2)'!ES18:EU18,"B"))*3)+((COUNTIF('Elève (5ème2)'!ES18:EU18,"C"))*2)+((COUNTIF('Elève (5ème2)'!ES18:EU18,"D"))*1))/(COUNTA(ES18:EU18)),"")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(5ème2)'!EZ18:FB18,"A"))*4)+((COUNTIF('Elève (5ème2)'!EZ18:FB18,"B"))*3)+((COUNTIF('Elève (5ème2)'!EZ18:FB18,"C"))*2)+((COUNTIF('Elève (5ème2)'!EZ18:FB18,"D"))*1))/(COUNTA(EZ18:FB18)),"")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(5ème2)'!FE18:FG18,"A"))*4)+((COUNTIF('Elève (5ème2)'!FE18:FG18,"B"))*3)+((COUNTIF('Elève (5ème2)'!FE18:FG18,"C"))*2)+((COUNTIF('Elève (5ème2)'!FE18:FG18,"D"))*1))/(COUNTA(FE18:FG18)),"")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(5ème2)'!FJ18:FL18,"A"))*4)+((COUNTIF('Elève (5ème2)'!FJ18:FL18,"B"))*3)+((COUNTIF('Elève (5ème2)'!FJ18:FL18,"C"))*2)+((COUNTIF('Elève (5ème2)'!FJ18:FL18,"D"))*1))/(COUNTA(FJ18:FL18)),"")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(5ème2)'!FQ18:FS18,"A"))*4)+((COUNTIF('Elève (5ème2)'!FQ18:FS18,"B"))*3)+((COUNTIF('Elève (5ème2)'!FQ18:FS18,"C"))*2)+((COUNTIF('Elève (5ème2)'!FQ18:FS18,"D"))*1))/(COUNTA(FQ18:FS18)),"")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(5ème2)'!FV18:FX18,"A"))*4)+((COUNTIF('Elève (5ème2)'!FV18:FX18,"B"))*3)+((COUNTIF('Elève (5ème2)'!FV18:FX18,"C"))*2)+((COUNTIF('Elève (5ème2)'!FV18:FX18,"D"))*1))/(COUNTA(FV18:FX18)),"")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(5ème2)'!GA18:GC18,"A"))*4)+((COUNTIF('Elève (5ème2)'!GA18:GC18,"B"))*3)+((COUNTIF('Elève (5ème2)'!GA18:GC18,"C"))*2)+((COUNTIF('Elève (5ème2)'!GA18:GC18,"D"))*1))/(COUNTA(GA18:GC18)),"")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(5ème2)'!GH18:GJ18,"A"))*4)+((COUNTIF('Elève (5ème2)'!GH18:GJ18,"B"))*3)+((COUNTIF('Elève (5ème2)'!GH18:GJ18,"C"))*2)+((COUNTIF('Elève (5ème2)'!GH18:GJ18,"D"))*1))/(COUNTA(GH18:GJ18)),"")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(5ème2)'!GM18:GO18,"A"))*4)+((COUNTIF('Elève (5ème2)'!GM18:GO18,"B"))*3)+((COUNTIF('Elève (5ème2)'!GM18:GO18,"C"))*2)+((COUNTIF('Elève (5ème2)'!GM18:GO18,"D"))*1))/(COUNTA(GM18:GO18)),"")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(5ème2)'!GR18:GT18,"A"))*4)+((COUNTIF('Elève (5ème2)'!GR18:GT18,"B"))*3)+((COUNTIF('Elève (5ème2)'!GR18:GT18,"C"))*2)+((COUNTIF('Elève (5ème2)'!GR18:GT18,"D"))*1))/(COUNTA(GR18:GT18)),"")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(5ème2)'!GY18:HA18,"A"))*4)+((COUNTIF('Elève (5ème2)'!GY18:HA18,"B"))*3)+((COUNTIF('Elève (5ème2)'!GY18:HA18,"C"))*2)+((COUNTIF('Elève (5ème2)'!GY18:HA18,"D"))*1))/(COUNTA(GY18:HA18)),"")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(5ème2)'!HD18:HF18,"A"))*4)+((COUNTIF('Elève (5ème2)'!HD18:HF18,"B"))*3)+((COUNTIF('Elève (5ème2)'!HD18:HF18,"C"))*2)+((COUNTIF('Elève (5ème2)'!HD18:HF18,"D"))*1))/(COUNTA(HD18:HF18)),"")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(5ème2)'!HI18:HK18,"A"))*4)+((COUNTIF('Elève (5ème2)'!HI18:HK18,"B"))*3)+((COUNTIF('Elève (5ème2)'!HI18:HK18,"C"))*2)+((COUNTIF('Elève (5ème2)'!HI18:HK18,"D"))*1))/(COUNTA(HI18:HK18)),"")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(5ème2)'!HP18:HR18,"A"))*4)+((COUNTIF('Elève (5ème2)'!HP18:HR18,"B"))*3)+((COUNTIF('Elève (5ème2)'!HP18:HR18,"C"))*2)+((COUNTIF('Elève (5ème2)'!HP18:HR18,"D"))*1))/(COUNTA(HP18:HR18)),"")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(5ème2)'!HU18:HW18,"A"))*4)+((COUNTIF('Elève (5ème2)'!HU18:HW18,"B"))*3)+((COUNTIF('Elève (5ème2)'!HU18:HW18,"C"))*2)+((COUNTIF('Elève (5ème2)'!HU18:HW18,"D"))*1))/(COUNTA(HU18:HW18)),"")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(5ème2)'!HZ18:IB18,"A"))*4)+((COUNTIF('Elève (5ème2)'!HZ18:IB18,"B"))*3)+((COUNTIF('Elève (5ème2)'!HZ18:IB18,"C"))*2)+((COUNTIF('Elève (5ème2)'!HZ18:IB18,"D"))*1))/(COUNTA(HZ18:IB18)),"")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(5ème2)'!IG18:II18,"A"))*4)+((COUNTIF('Elève (5ème2)'!IG18:II18,"B"))*3)+((COUNTIF('Elève (5ème2)'!IG18:II18,"C"))*2)+((COUNTIF('Elève (5ème2)'!IG18:II18,"D"))*1))/(COUNTA(IG18:II18)),"")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(5ème2)'!IL18:IN18,"A"))*4)+((COUNTIF('Elève (5ème2)'!IL18:IN18,"B"))*3)+((COUNTIF('Elève (5ème2)'!IL18:IN18,"C"))*2)+((COUNTIF('Elève (5ème2)'!IL18:IN18,"D"))*1))/(COUNTA(IL18:IN18)),"")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(5ème2)'!IQ18:IS18,"A"))*4)+((COUNTIF('Elève (5ème2)'!IQ18:IS18,"B"))*3)+((COUNTIF('Elève (5ème2)'!IQ18:IS18,"C"))*2)+((COUNTIF('Elève (5ème2)'!IQ18:IS18,"D"))*1))/(COUNTA(IQ18:IS18)),"")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(5ème2)'!IX18:IZ18,"A"))*4)+((COUNTIF('Elève (5ème2)'!IX18:IZ18,"B"))*3)+((COUNTIF('Elève (5ème2)'!IX18:IZ18,"C"))*2)+((COUNTIF('Elève (5ème2)'!IX18:IZ18,"D"))*1))/(COUNTA(IX18:IZ18)),"")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(5ème2)'!JC18:JE18,"A"))*4)+((COUNTIF('Elève (5ème2)'!JC18:JE18,"B"))*3)+((COUNTIF('Elève (5ème2)'!JC18:JE18,"C"))*2)+((COUNTIF('Elève (5ème2)'!JC18:JE18,"D"))*1))/(COUNTA(JC18:JE18)),"")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(5ème2)'!JH18:JJ18,"A"))*4)+((COUNTIF('Elève (5ème2)'!JH18:JJ18,"B"))*3)+((COUNTIF('Elève (5ème2)'!JH18:JJ18,"C"))*2)+((COUNTIF('Elève (5ème2)'!JH18:JJ18,"D"))*1))/(COUNTA(JH18:JJ18)),"")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(5ème2)'!JO18:JQ18,"A"))*4)+((COUNTIF('Elève (5ème2)'!JO18:JQ18,"B"))*3)+((COUNTIF('Elève (5ème2)'!JO18:JQ18,"C"))*2)+((COUNTIF('Elève (5ème2)'!JO18:JQ18,"D"))*1))/(COUNTA(JO18:JQ18)),"")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(5ème2)'!JT18:JV18,"A"))*4)+((COUNTIF('Elève (5ème2)'!JT18:JV18,"B"))*3)+((COUNTIF('Elève (5ème2)'!JT18:JV18,"C"))*2)+((COUNTIF('Elève (5ème2)'!JT18:JV18,"D"))*1))/(COUNTA(JT18:JV18)),"")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(5ème2)'!JY18:KA18,"A"))*4)+((COUNTIF('Elève (5ème2)'!JY18:KA18,"B"))*3)+((COUNTIF('Elève (5ème2)'!JY18:KA18,"C"))*2)+((COUNTIF('Elève (5ème2)'!JY18:KA18,"D"))*1))/(COUNTA(JY18:KA18)),"")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(5ème2)'!KF18:KH18,"A"))*4)+((COUNTIF('Elève (5ème2)'!KF18:KH18,"B"))*3)+((COUNTIF('Elève (5ème2)'!KF18:KH18,"C"))*2)+((COUNTIF('Elève (5ème2)'!KF18:KH18,"D"))*1))/(COUNTA(KF18:KH18)),"")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(5ème2)'!KK18:KM18,"A"))*4)+((COUNTIF('Elève (5ème2)'!KK18:KM18,"B"))*3)+((COUNTIF('Elève (5ème2)'!KK18:KM18,"C"))*2)+((COUNTIF('Elève (5ème2)'!KK18:KM18,"D"))*1))/(COUNTA(KK18:KM18)),"")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(5ème2)'!KP18:KR18,"A"))*4)+((COUNTIF('Elève (5ème2)'!KP18:KR18,"B"))*3)+((COUNTIF('Elève (5ème2)'!KP18:KR18,"C"))*2)+((COUNTIF('Elève (5ème2)'!KP18:KR18,"D"))*1))/(COUNTA(KP18:KR18)),"")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(5ème2)'!KW18:KY18,"A"))*4)+((COUNTIF('Elève (5ème2)'!KW18:KY18,"B"))*3)+((COUNTIF('Elève (5ème2)'!KW18:KY18,"C"))*2)+((COUNTIF('Elève (5ème2)'!KW18:KY18,"D"))*1))/(COUNTA(KW18:KY18)),"")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(5ème2)'!LB18:LD18,"A"))*4)+((COUNTIF('Elève (5ème2)'!LB18:LD18,"B"))*3)+((COUNTIF('Elève (5ème2)'!LB18:LD18,"C"))*2)+((COUNTIF('Elève (5ème2)'!LB18:LD18,"D"))*1))/(COUNTA(LB18:LD18)),"")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(5ème2)'!LG18:LI18,"A"))*4)+((COUNTIF('Elève (5ème2)'!LG18:LI18,"B"))*3)+((COUNTIF('Elève (5ème2)'!LG18:LI18,"C"))*2)+((COUNTIF('Elève (5ème2)'!LG18:LI18,"D"))*1))/(COUNTA(LG18:LI18)),"")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(5ème2)'!LN18:LP18,"A"))*4)+((COUNTIF('Elève (5ème2)'!LN18:LP18,"B"))*3)+((COUNTIF('Elève (5ème2)'!LN18:LP18,"C"))*2)+((COUNTIF('Elève (5ème2)'!LN18:LP18,"D"))*1))/(COUNTA(LN18:LP18)),"")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(5ème2)'!LS18:LU18,"A"))*4)+((COUNTIF('Elève (5ème2)'!LS18:LU18,"B"))*3)+((COUNTIF('Elève (5ème2)'!LS18:LU18,"C"))*2)+((COUNTIF('Elève (5ème2)'!LS18:LU18,"D"))*1))/(COUNTA(LS18:LU18)),"")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(5ème2)'!LX18:LZ18,"A"))*4)+((COUNTIF('Elève (5ème2)'!LX18:LZ18,"B"))*3)+((COUNTIF('Elève (5ème2)'!LX18:LZ18,"C"))*2)+((COUNTIF('Elève (5ème2)'!LX18:LZ18,"D"))*1))/(COUNTA(LX18:LZ18)),"")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(5ème2)'!ME18:MG18,"A"))*4)+((COUNTIF('Elève (5ème2)'!ME18:MG18,"B"))*3)+((COUNTIF('Elève (5ème2)'!ME18:MG18,"C"))*2)+((COUNTIF('Elève (5ème2)'!ME18:MG18,"D"))*1))/(COUNTA(ME18:MG18)),"")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(5ème2)'!MJ18:ML18,"A"))*4)+((COUNTIF('Elève (5ème2)'!MJ18:ML18,"B"))*3)+((COUNTIF('Elève (5ème2)'!MJ18:ML18,"C"))*2)+((COUNTIF('Elève (5ème2)'!MJ18:ML18,"D"))*1))/(COUNTA(MJ18:ML18)),"")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(5ème2)'!MO18:MQ18,"A"))*4)+((COUNTIF('Elève (5ème2)'!MO18:MQ18,"B"))*3)+((COUNTIF('Elève (5ème2)'!MO18:MQ18,"C"))*2)+((COUNTIF('Elève (5ème2)'!MO18:MQ18,"D"))*1))/(COUNTA(MO18:MQ18)),"")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(5ème2)'!MV18:MX18,"A"))*4)+((COUNTIF('Elève (5ème2)'!MV18:MX18,"B"))*3)+((COUNTIF('Elève (5ème2)'!MV18:MX18,"C"))*2)+((COUNTIF('Elève (5ème2)'!MV18:MX18,"D"))*1))/(COUNTA(MV18:MX18)),"")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(5ème2)'!NA18:NC18,"A"))*4)+((COUNTIF('Elève (5ème2)'!NA18:NC18,"B"))*3)+((COUNTIF('Elève (5ème2)'!NA18:NC18,"C"))*2)+((COUNTIF('Elève (5ème2)'!NA18:NC18,"D"))*1))/(COUNTA(NA18:NC18)),"")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(5ème2)'!NF18:NH18,"A"))*4)+((COUNTIF('Elève (5ème2)'!NF18:NH18,"B"))*3)+((COUNTIF('Elève (5ème2)'!NF18:NH18,"C"))*2)+((COUNTIF('Elève (5ème2)'!NF18:NH18,"D"))*1))/(COUNTA(NF18:NH18)),"")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(5ème2)'!NM18:NO18,"A"))*4)+((COUNTIF('Elève (5ème2)'!NM18:NO18,"B"))*3)+((COUNTIF('Elève (5ème2)'!NM18:NO18,"C"))*2)+((COUNTIF('Elève (5ème2)'!NM18:NO18,"D"))*1))/(COUNTA(NM18:NO18)),"")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(5ème2)'!NR18:NT18,"A"))*4)+((COUNTIF('Elève (5ème2)'!NR18:NT18,"B"))*3)+((COUNTIF('Elève (5ème2)'!NR18:NT18,"C"))*2)+((COUNTIF('Elève (5ème2)'!NR18:NT18,"D"))*1))/(COUNTA(NR18:NT18)),"")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(5ème2)'!NW18:NY18,"A"))*4)+((COUNTIF('Elève (5ème2)'!NW18:NY18,"B"))*3)+((COUNTIF('Elève (5ème2)'!NW18:NY18,"C"))*2)+((COUNTIF('Elève (5ème2)'!NW18:NY18,"D"))*1))/(COUNTA(NW18:NY18)),"")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(5ème2)'!OD18:OF18,"A"))*4)+((COUNTIF('Elève (5ème2)'!OD18:OF18,"B"))*3)+((COUNTIF('Elève (5ème2)'!OD18:OF18,"C"))*2)+((COUNTIF('Elève (5ème2)'!OD18:OF18,"D"))*1))/(COUNTA(OD18:OF18)),"")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(5ème2)'!OI18:OK18,"A"))*4)+((COUNTIF('Elève (5ème2)'!OI18:OK18,"B"))*3)+((COUNTIF('Elève (5ème2)'!OI18:OK18,"C"))*2)+((COUNTIF('Elève (5ème2)'!OI18:OK18,"D"))*1))/(COUNTA(OI18:OK18)),"")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(5ème2)'!ON18:OP18,"A"))*4)+((COUNTIF('Elève (5ème2)'!ON18:OP18,"B"))*3)+((COUNTIF('Elève (5ème2)'!ON18:OP18,"C"))*2)+((COUNTIF('Elève (5ème2)'!ON18:OP18,"D"))*1))/(COUNTA(ON18:OP18)),"")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(5ème2)'!OU18:OW18,"A"))*4)+((COUNTIF('Elève (5ème2)'!OU18:OW18,"B"))*3)+((COUNTIF('Elève (5ème2)'!OU18:OW18,"C"))*2)+((COUNTIF('Elève (5ème2)'!OU18:OW18,"D"))*1))/(COUNTA(OU18:OW18)),"")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(5ème2)'!OZ18:PB18,"A"))*4)+((COUNTIF('Elève (5ème2)'!OZ18:PB18,"B"))*3)+((COUNTIF('Elève (5ème2)'!OZ18:PB18,"C"))*2)+((COUNTIF('Elève (5ème2)'!OZ18:PB18,"D"))*1))/(COUNTA(OZ18:PB18)),"")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(5ème2)'!PE18:PG18,"A"))*4)+((COUNTIF('Elève (5ème2)'!PE18:PG18,"B"))*3)+((COUNTIF('Elève (5ème2)'!PE18:PG18,"C"))*2)+((COUNTIF('Elève (5ème2)'!PE18:PG18,"D"))*1))/(COUNTA(PE18:PG18)),"")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(5ème2)'!PL18:PN18,"A"))*4)+((COUNTIF('Elève (5ème2)'!PL18:PN18,"B"))*3)+((COUNTIF('Elève (5ème2)'!PL18:PN18,"C"))*2)+((COUNTIF('Elève (5ème2)'!PL18:PN18,"D"))*1))/(COUNTA(PL18:PN18)),"")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(5ème2)'!PQ18:PS18,"A"))*4)+((COUNTIF('Elève (5ème2)'!PQ18:PS18,"B"))*3)+((COUNTIF('Elève (5ème2)'!PQ18:PS18,"C"))*2)+((COUNTIF('Elève (5ème2)'!PQ18:PS18,"D"))*1))/(COUNTA(PQ18:PS18)),"")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(5ème2)'!PV18:PX18,"A"))*4)+((COUNTIF('Elève (5ème2)'!PV18:PX18,"B"))*3)+((COUNTIF('Elève (5ème2)'!PV18:PX18,"C"))*2)+((COUNTIF('Elève (5ème2)'!PV18:PX18,"D"))*1))/(COUNTA(PV18:PX18)),"")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(5ème2)'!QC18:QE18,"A"))*4)+((COUNTIF('Elève (5ème2)'!QC18:QE18,"B"))*3)+((COUNTIF('Elève (5ème2)'!QC18:QE18,"C"))*2)+((COUNTIF('Elève (5ème2)'!QC18:QE18,"D"))*1))/(COUNTA(QC18:QE18)),"")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(5ème2)'!QH18:QJ18,"A"))*4)+((COUNTIF('Elève (5ème2)'!QH18:QJ18,"B"))*3)+((COUNTIF('Elève (5ème2)'!QH18:QJ18,"C"))*2)+((COUNTIF('Elève (5ème2)'!QH18:QJ18,"D"))*1))/(COUNTA(QH18:QJ18)),"")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(5ème2)'!QM18:QO18,"A"))*4)+((COUNTIF('Elève (5ème2)'!QM18:QO18,"B"))*3)+((COUNTIF('Elève (5ème2)'!QM18:QO18,"C"))*2)+((COUNTIF('Elève (5ème2)'!QM18:QO18,"D"))*1))/(COUNTA(QM18:QO18)),"")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(5ème2)'!QT18:QV18,"A"))*4)+((COUNTIF('Elève (5ème2)'!QT18:QV18,"B"))*3)+((COUNTIF('Elève (5ème2)'!QT18:QV18,"C"))*2)+((COUNTIF('Elève (5ème2)'!QT18:QV18,"D"))*1))/(COUNTA(QT18:QV18)),"")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(5ème2)'!QY18:RA18,"A"))*4)+((COUNTIF('Elève (5ème2)'!QY18:RA18,"B"))*3)+((COUNTIF('Elève (5ème2)'!QY18:RA18,"C"))*2)+((COUNTIF('Elève (5ème2)'!QY18:RA18,"D"))*1))/(COUNTA(QY18:RA18)),"")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(5ème2)'!RD18:RF18,"A"))*4)+((COUNTIF('Elève (5ème2)'!RD18:RF18,"B"))*3)+((COUNTIF('Elève (5ème2)'!RD18:RF18,"C"))*2)+((COUNTIF('Elève (5ème2)'!RD18:RF18,"D"))*1))/(COUNTA(RD18:RF18)),"")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(5ème2)'!RK18:RM18,"A"))*4)+((COUNTIF('Elève (5ème2)'!RK18:RM18,"B"))*3)+((COUNTIF('Elève (5ème2)'!RK18:RM18,"C"))*2)+((COUNTIF('Elève (5ème2)'!RK18:RM18,"D"))*1))/(COUNTA(RK18:RM18)),"")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(5ème2)'!RP18:RR18,"A"))*4)+((COUNTIF('Elève (5ème2)'!RP18:RR18,"B"))*3)+((COUNTIF('Elève (5ème2)'!RP18:RR18,"C"))*2)+((COUNTIF('Elève (5ème2)'!RP18:RR18,"D"))*1))/(COUNTA(RP18:RR18)),"")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(5ème2)'!RU18:RW18,"A"))*4)+((COUNTIF('Elève (5ème2)'!RU18:RW18,"B"))*3)+((COUNTIF('Elève (5ème2)'!RU18:RW18,"C"))*2)+((COUNTIF('Elève (5ème2)'!RU18:RW18,"D"))*1))/(COUNTA(RU18:RW18)),"")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(5ème2)'!SB18:SD18,"A"))*4)+((COUNTIF('Elève (5ème2)'!SB18:SD18,"B"))*3)+((COUNTIF('Elève (5ème2)'!SB18:SD18,"C"))*2)+((COUNTIF('Elève (5ème2)'!SB18:SD18,"D"))*1))/(COUNTA(SB18:SD18)),"")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(5ème2)'!SG18:SI18,"A"))*4)+((COUNTIF('Elève (5ème2)'!SG18:SI18,"B"))*3)+((COUNTIF('Elève (5ème2)'!SG18:SI18,"C"))*2)+((COUNTIF('Elève (5ème2)'!SG18:SI18,"D"))*1))/(COUNTA(SG18:SI18)),"")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(5ème2)'!SL18:SN18,"A"))*4)+((COUNTIF('Elève (5ème2)'!SL18:SN18,"B"))*3)+((COUNTIF('Elève (5ème2)'!SL18:SN18,"C"))*2)+((COUNTIF('Elève (5ème2)'!SL18:SN18,"D"))*1))/(COUNTA(SL18:SN18)),"")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25" t="s">
        <v>23</v>
      </c>
      <c r="B19" s="226"/>
      <c r="C19" s="159"/>
      <c r="D19" s="160"/>
      <c r="E19" s="161"/>
      <c r="F19" s="136" t="str">
        <f>IFERROR((((COUNTIF('Elève (5ème2)'!C19:E19,"A"))*4)+((COUNTIF('Elève (5ème2)'!C19:E19,"B"))*3)+((COUNTIF('Elève (5ème2)'!C19:E19,"C"))*2)+((COUNTIF('Elève (5ème2)'!C19:E19,"D"))*1))/(COUNTA(C19:E19)),"")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(5ème2)'!H19:J19,"A"))*4)+((COUNTIF('Elève (5ème2)'!H19:J19,"B"))*3)+((COUNTIF('Elève (5ème2)'!H19:J19,"C"))*2)+((COUNTIF('Elève (5ème2)'!H19:J19,"D"))*1))/(COUNTA(H19:J19)),"")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(5ème2)'!M19:O19,"A"))*4)+((COUNTIF('Elève (5ème2)'!M19:O19,"B"))*3)+((COUNTIF('Elève (5ème2)'!M19:O19,"C"))*2)+((COUNTIF('Elève (5ème2)'!M19:O19,"D"))*1))/(COUNTA(M19:O19)),"")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(5ème2)'!T19:V19,"A"))*4)+((COUNTIF('Elève (5ème2)'!T19:V19,"B"))*3)+((COUNTIF('Elève (5ème2)'!T19:V19,"C"))*2)+((COUNTIF('Elève (5ème2)'!T19:V19,"D"))*1))/(COUNTA(T19:V19)),"")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(5ème2)'!Y19:AA19,"A"))*4)+((COUNTIF('Elève (5ème2)'!Y19:AA19,"B"))*3)+((COUNTIF('Elève (5ème2)'!Y19:AA19,"C"))*2)+((COUNTIF('Elève (5ème2)'!Y19:AA19,"D"))*1))/(COUNTA(Y19:AA19)),"")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(5ème2)'!AD19:AF19,"A"))*4)+((COUNTIF('Elève (5ème2)'!AD19:AF19,"B"))*3)+((COUNTIF('Elève (5ème2)'!AD19:AF19,"C"))*2)+((COUNTIF('Elève (5ème2)'!AD19:AF19,"D"))*1))/(COUNTA(AD19:AF19)),"")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(5ème2)'!AK19:AM19,"A"))*4)+((COUNTIF('Elève (5ème2)'!AK19:AM19,"B"))*3)+((COUNTIF('Elève (5ème2)'!AK19:AM19,"C"))*2)+((COUNTIF('Elève (5ème2)'!AK19:AM19,"D"))*1))/(COUNTA(AK19:AM19)),"")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(5ème2)'!AP19:AR19,"A"))*4)+((COUNTIF('Elève (5ème2)'!AP19:AR19,"B"))*3)+((COUNTIF('Elève (5ème2)'!AP19:AR19,"C"))*2)+((COUNTIF('Elève (5ème2)'!AP19:AR19,"D"))*1))/(COUNTA(AP19:AR19)),"")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(5ème2)'!AU19:AW19,"A"))*4)+((COUNTIF('Elève (5ème2)'!AU19:AW19,"B"))*3)+((COUNTIF('Elève (5ème2)'!AU19:AW19,"C"))*2)+((COUNTIF('Elève (5ème2)'!AU19:AW19,"D"))*1))/(COUNTA(AU19:AW19)),"")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(5ème2)'!BB19:BD19,"A"))*4)+((COUNTIF('Elève (5ème2)'!BB19:BD19,"B"))*3)+((COUNTIF('Elève (5ème2)'!BB19:BD19,"C"))*2)+((COUNTIF('Elève (5ème2)'!BB19:BD19,"D"))*1))/(COUNTA(BB19:BD19)),"")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(5ème2)'!BG19:BI19,"A"))*4)+((COUNTIF('Elève (5ème2)'!BG19:BI19,"B"))*3)+((COUNTIF('Elève (5ème2)'!BG19:BI19,"C"))*2)+((COUNTIF('Elève (5ème2)'!BG19:BI19,"D"))*1))/(COUNTA(BG19:BI19)),"")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(5ème2)'!BL19:BN19,"A"))*4)+((COUNTIF('Elève (5ème2)'!BL19:BN19,"B"))*3)+((COUNTIF('Elève (5ème2)'!BL19:BN19,"C"))*2)+((COUNTIF('Elève (5ème2)'!BL19:BN19,"D"))*1))/(COUNTA(BL19:BN19)),"")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(5ème2)'!BS19:BU19,"A"))*4)+((COUNTIF('Elève (5ème2)'!BS19:BU19,"B"))*3)+((COUNTIF('Elève (5ème2)'!BS19:BU19,"C"))*2)+((COUNTIF('Elève (5ème2)'!BS19:BU19,"D"))*1))/(COUNTA(BS19:BU19)),"")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(5ème2)'!BX19:BZ19,"A"))*4)+((COUNTIF('Elève (5ème2)'!BX19:BZ19,"B"))*3)+((COUNTIF('Elève (5ème2)'!BX19:BZ19,"C"))*2)+((COUNTIF('Elève (5ème2)'!BX19:BZ19,"D"))*1))/(COUNTA(BX19:BZ19)),"")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(5ème2)'!CC19:CE19,"A"))*4)+((COUNTIF('Elève (5ème2)'!CC19:CE19,"B"))*3)+((COUNTIF('Elève (5ème2)'!CC19:CE19,"C"))*2)+((COUNTIF('Elève (5ème2)'!CC19:CE19,"D"))*1))/(COUNTA(CC19:CE19)),"")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(5ème2)'!CJ19:CL19,"A"))*4)+((COUNTIF('Elève (5ème2)'!CJ19:CL19,"B"))*3)+((COUNTIF('Elève (5ème2)'!CJ19:CL19,"C"))*2)+((COUNTIF('Elève (5ème2)'!CJ19:CL19,"D"))*1))/(COUNTA(CJ19:CL19)),"")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(5ème2)'!CO19:CQ19,"A"))*4)+((COUNTIF('Elève (5ème2)'!CO19:CQ19,"B"))*3)+((COUNTIF('Elève (5ème2)'!CO19:CQ19,"C"))*2)+((COUNTIF('Elève (5ème2)'!CO19:CQ19,"D"))*1))/(COUNTA(CO19:CQ19)),"")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(5ème2)'!CT19:CV19,"A"))*4)+((COUNTIF('Elève (5ème2)'!CT19:CV19,"B"))*3)+((COUNTIF('Elève (5ème2)'!CT19:CV19,"C"))*2)+((COUNTIF('Elève (5ème2)'!CT19:CV19,"D"))*1))/(COUNTA(CT19:CV19)),"")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(5ème2)'!DA19:DC19,"A"))*4)+((COUNTIF('Elève (5ème2)'!DA19:DC19,"B"))*3)+((COUNTIF('Elève (5ème2)'!DA19:DC19,"C"))*2)+((COUNTIF('Elève (5ème2)'!DA19:DC19,"D"))*1))/(COUNTA(DA19:DC19)),"")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(5ème2)'!DF19:DH19,"A"))*4)+((COUNTIF('Elève (5ème2)'!DF19:DH19,"B"))*3)+((COUNTIF('Elève (5ème2)'!DF19:DH19,"C"))*2)+((COUNTIF('Elève (5ème2)'!DF19:DH19,"D"))*1))/(COUNTA(DF19:DH19)),"")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(5ème2)'!DK19:DM19,"A"))*4)+((COUNTIF('Elève (5ème2)'!DK19:DM19,"B"))*3)+((COUNTIF('Elève (5ème2)'!DK19:DM19,"C"))*2)+((COUNTIF('Elève (5ème2)'!DK19:DM19,"D"))*1))/(COUNTA(DK19:DM19)),"")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(5ème2)'!DR19:DT19,"A"))*4)+((COUNTIF('Elève (5ème2)'!DR19:DT19,"B"))*3)+((COUNTIF('Elève (5ème2)'!DR19:DT19,"C"))*2)+((COUNTIF('Elève (5ème2)'!DR19:DT19,"D"))*1))/(COUNTA(DR19:DT19)),"")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(5ème2)'!DW19:DY19,"A"))*4)+((COUNTIF('Elève (5ème2)'!DW19:DY19,"B"))*3)+((COUNTIF('Elève (5ème2)'!DW19:DY19,"C"))*2)+((COUNTIF('Elève (5ème2)'!DW19:DY19,"D"))*1))/(COUNTA(DW19:DY19)),"")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(5ème2)'!EB19:ED19,"A"))*4)+((COUNTIF('Elève (5ème2)'!EB19:ED19,"B"))*3)+((COUNTIF('Elève (5ème2)'!EB19:ED19,"C"))*2)+((COUNTIF('Elève (5ème2)'!EB19:ED19,"D"))*1))/(COUNTA(EB19:ED19)),"")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(5ème2)'!EI19:EK19,"A"))*4)+((COUNTIF('Elève (5ème2)'!EI19:EK19,"B"))*3)+((COUNTIF('Elève (5ème2)'!EI19:EK19,"C"))*2)+((COUNTIF('Elève (5ème2)'!EI19:EK19,"D"))*1))/(COUNTA(EI19:EK19)),"")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(5ème2)'!EN19:EP19,"A"))*4)+((COUNTIF('Elève (5ème2)'!EN19:EP19,"B"))*3)+((COUNTIF('Elève (5ème2)'!EN19:EP19,"C"))*2)+((COUNTIF('Elève (5ème2)'!EN19:EP19,"D"))*1))/(COUNTA(EN19:EP19)),"")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(5ème2)'!ES19:EU19,"A"))*4)+((COUNTIF('Elève (5ème2)'!ES19:EU19,"B"))*3)+((COUNTIF('Elève (5ème2)'!ES19:EU19,"C"))*2)+((COUNTIF('Elève (5ème2)'!ES19:EU19,"D"))*1))/(COUNTA(ES19:EU19)),"")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(5ème2)'!EZ19:FB19,"A"))*4)+((COUNTIF('Elève (5ème2)'!EZ19:FB19,"B"))*3)+((COUNTIF('Elève (5ème2)'!EZ19:FB19,"C"))*2)+((COUNTIF('Elève (5ème2)'!EZ19:FB19,"D"))*1))/(COUNTA(EZ19:FB19)),"")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(5ème2)'!FE19:FG19,"A"))*4)+((COUNTIF('Elève (5ème2)'!FE19:FG19,"B"))*3)+((COUNTIF('Elève (5ème2)'!FE19:FG19,"C"))*2)+((COUNTIF('Elève (5ème2)'!FE19:FG19,"D"))*1))/(COUNTA(FE19:FG19)),"")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(5ème2)'!FJ19:FL19,"A"))*4)+((COUNTIF('Elève (5ème2)'!FJ19:FL19,"B"))*3)+((COUNTIF('Elève (5ème2)'!FJ19:FL19,"C"))*2)+((COUNTIF('Elève (5ème2)'!FJ19:FL19,"D"))*1))/(COUNTA(FJ19:FL19)),"")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(5ème2)'!FQ19:FS19,"A"))*4)+((COUNTIF('Elève (5ème2)'!FQ19:FS19,"B"))*3)+((COUNTIF('Elève (5ème2)'!FQ19:FS19,"C"))*2)+((COUNTIF('Elève (5ème2)'!FQ19:FS19,"D"))*1))/(COUNTA(FQ19:FS19)),"")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(5ème2)'!FV19:FX19,"A"))*4)+((COUNTIF('Elève (5ème2)'!FV19:FX19,"B"))*3)+((COUNTIF('Elève (5ème2)'!FV19:FX19,"C"))*2)+((COUNTIF('Elève (5ème2)'!FV19:FX19,"D"))*1))/(COUNTA(FV19:FX19)),"")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(5ème2)'!GA19:GC19,"A"))*4)+((COUNTIF('Elève (5ème2)'!GA19:GC19,"B"))*3)+((COUNTIF('Elève (5ème2)'!GA19:GC19,"C"))*2)+((COUNTIF('Elève (5ème2)'!GA19:GC19,"D"))*1))/(COUNTA(GA19:GC19)),"")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(5ème2)'!GH19:GJ19,"A"))*4)+((COUNTIF('Elève (5ème2)'!GH19:GJ19,"B"))*3)+((COUNTIF('Elève (5ème2)'!GH19:GJ19,"C"))*2)+((COUNTIF('Elève (5ème2)'!GH19:GJ19,"D"))*1))/(COUNTA(GH19:GJ19)),"")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(5ème2)'!GM19:GO19,"A"))*4)+((COUNTIF('Elève (5ème2)'!GM19:GO19,"B"))*3)+((COUNTIF('Elève (5ème2)'!GM19:GO19,"C"))*2)+((COUNTIF('Elève (5ème2)'!GM19:GO19,"D"))*1))/(COUNTA(GM19:GO19)),"")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(5ème2)'!GR19:GT19,"A"))*4)+((COUNTIF('Elève (5ème2)'!GR19:GT19,"B"))*3)+((COUNTIF('Elève (5ème2)'!GR19:GT19,"C"))*2)+((COUNTIF('Elève (5ème2)'!GR19:GT19,"D"))*1))/(COUNTA(GR19:GT19)),"")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(5ème2)'!GY19:HA19,"A"))*4)+((COUNTIF('Elève (5ème2)'!GY19:HA19,"B"))*3)+((COUNTIF('Elève (5ème2)'!GY19:HA19,"C"))*2)+((COUNTIF('Elève (5ème2)'!GY19:HA19,"D"))*1))/(COUNTA(GY19:HA19)),"")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(5ème2)'!HD19:HF19,"A"))*4)+((COUNTIF('Elève (5ème2)'!HD19:HF19,"B"))*3)+((COUNTIF('Elève (5ème2)'!HD19:HF19,"C"))*2)+((COUNTIF('Elève (5ème2)'!HD19:HF19,"D"))*1))/(COUNTA(HD19:HF19)),"")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(5ème2)'!HI19:HK19,"A"))*4)+((COUNTIF('Elève (5ème2)'!HI19:HK19,"B"))*3)+((COUNTIF('Elève (5ème2)'!HI19:HK19,"C"))*2)+((COUNTIF('Elève (5ème2)'!HI19:HK19,"D"))*1))/(COUNTA(HI19:HK19)),"")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(5ème2)'!HP19:HR19,"A"))*4)+((COUNTIF('Elève (5ème2)'!HP19:HR19,"B"))*3)+((COUNTIF('Elève (5ème2)'!HP19:HR19,"C"))*2)+((COUNTIF('Elève (5ème2)'!HP19:HR19,"D"))*1))/(COUNTA(HP19:HR19)),"")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(5ème2)'!HU19:HW19,"A"))*4)+((COUNTIF('Elève (5ème2)'!HU19:HW19,"B"))*3)+((COUNTIF('Elève (5ème2)'!HU19:HW19,"C"))*2)+((COUNTIF('Elève (5ème2)'!HU19:HW19,"D"))*1))/(COUNTA(HU19:HW19)),"")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(5ème2)'!HZ19:IB19,"A"))*4)+((COUNTIF('Elève (5ème2)'!HZ19:IB19,"B"))*3)+((COUNTIF('Elève (5ème2)'!HZ19:IB19,"C"))*2)+((COUNTIF('Elève (5ème2)'!HZ19:IB19,"D"))*1))/(COUNTA(HZ19:IB19)),"")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(5ème2)'!IG19:II19,"A"))*4)+((COUNTIF('Elève (5ème2)'!IG19:II19,"B"))*3)+((COUNTIF('Elève (5ème2)'!IG19:II19,"C"))*2)+((COUNTIF('Elève (5ème2)'!IG19:II19,"D"))*1))/(COUNTA(IG19:II19)),"")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(5ème2)'!IL19:IN19,"A"))*4)+((COUNTIF('Elève (5ème2)'!IL19:IN19,"B"))*3)+((COUNTIF('Elève (5ème2)'!IL19:IN19,"C"))*2)+((COUNTIF('Elève (5ème2)'!IL19:IN19,"D"))*1))/(COUNTA(IL19:IN19)),"")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(5ème2)'!IQ19:IS19,"A"))*4)+((COUNTIF('Elève (5ème2)'!IQ19:IS19,"B"))*3)+((COUNTIF('Elève (5ème2)'!IQ19:IS19,"C"))*2)+((COUNTIF('Elève (5ème2)'!IQ19:IS19,"D"))*1))/(COUNTA(IQ19:IS19)),"")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(5ème2)'!IX19:IZ19,"A"))*4)+((COUNTIF('Elève (5ème2)'!IX19:IZ19,"B"))*3)+((COUNTIF('Elève (5ème2)'!IX19:IZ19,"C"))*2)+((COUNTIF('Elève (5ème2)'!IX19:IZ19,"D"))*1))/(COUNTA(IX19:IZ19)),"")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(5ème2)'!JC19:JE19,"A"))*4)+((COUNTIF('Elève (5ème2)'!JC19:JE19,"B"))*3)+((COUNTIF('Elève (5ème2)'!JC19:JE19,"C"))*2)+((COUNTIF('Elève (5ème2)'!JC19:JE19,"D"))*1))/(COUNTA(JC19:JE19)),"")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(5ème2)'!JH19:JJ19,"A"))*4)+((COUNTIF('Elève (5ème2)'!JH19:JJ19,"B"))*3)+((COUNTIF('Elève (5ème2)'!JH19:JJ19,"C"))*2)+((COUNTIF('Elève (5ème2)'!JH19:JJ19,"D"))*1))/(COUNTA(JH19:JJ19)),"")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(5ème2)'!JO19:JQ19,"A"))*4)+((COUNTIF('Elève (5ème2)'!JO19:JQ19,"B"))*3)+((COUNTIF('Elève (5ème2)'!JO19:JQ19,"C"))*2)+((COUNTIF('Elève (5ème2)'!JO19:JQ19,"D"))*1))/(COUNTA(JO19:JQ19)),"")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(5ème2)'!JT19:JV19,"A"))*4)+((COUNTIF('Elève (5ème2)'!JT19:JV19,"B"))*3)+((COUNTIF('Elève (5ème2)'!JT19:JV19,"C"))*2)+((COUNTIF('Elève (5ème2)'!JT19:JV19,"D"))*1))/(COUNTA(JT19:JV19)),"")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(5ème2)'!JY19:KA19,"A"))*4)+((COUNTIF('Elève (5ème2)'!JY19:KA19,"B"))*3)+((COUNTIF('Elève (5ème2)'!JY19:KA19,"C"))*2)+((COUNTIF('Elève (5ème2)'!JY19:KA19,"D"))*1))/(COUNTA(JY19:KA19)),"")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(5ème2)'!KF19:KH19,"A"))*4)+((COUNTIF('Elève (5ème2)'!KF19:KH19,"B"))*3)+((COUNTIF('Elève (5ème2)'!KF19:KH19,"C"))*2)+((COUNTIF('Elève (5ème2)'!KF19:KH19,"D"))*1))/(COUNTA(KF19:KH19)),"")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(5ème2)'!KK19:KM19,"A"))*4)+((COUNTIF('Elève (5ème2)'!KK19:KM19,"B"))*3)+((COUNTIF('Elève (5ème2)'!KK19:KM19,"C"))*2)+((COUNTIF('Elève (5ème2)'!KK19:KM19,"D"))*1))/(COUNTA(KK19:KM19)),"")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(5ème2)'!KP19:KR19,"A"))*4)+((COUNTIF('Elève (5ème2)'!KP19:KR19,"B"))*3)+((COUNTIF('Elève (5ème2)'!KP19:KR19,"C"))*2)+((COUNTIF('Elève (5ème2)'!KP19:KR19,"D"))*1))/(COUNTA(KP19:KR19)),"")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(5ème2)'!KW19:KY19,"A"))*4)+((COUNTIF('Elève (5ème2)'!KW19:KY19,"B"))*3)+((COUNTIF('Elève (5ème2)'!KW19:KY19,"C"))*2)+((COUNTIF('Elève (5ème2)'!KW19:KY19,"D"))*1))/(COUNTA(KW19:KY19)),"")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(5ème2)'!LB19:LD19,"A"))*4)+((COUNTIF('Elève (5ème2)'!LB19:LD19,"B"))*3)+((COUNTIF('Elève (5ème2)'!LB19:LD19,"C"))*2)+((COUNTIF('Elève (5ème2)'!LB19:LD19,"D"))*1))/(COUNTA(LB19:LD19)),"")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(5ème2)'!LG19:LI19,"A"))*4)+((COUNTIF('Elève (5ème2)'!LG19:LI19,"B"))*3)+((COUNTIF('Elève (5ème2)'!LG19:LI19,"C"))*2)+((COUNTIF('Elève (5ème2)'!LG19:LI19,"D"))*1))/(COUNTA(LG19:LI19)),"")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(5ème2)'!LN19:LP19,"A"))*4)+((COUNTIF('Elève (5ème2)'!LN19:LP19,"B"))*3)+((COUNTIF('Elève (5ème2)'!LN19:LP19,"C"))*2)+((COUNTIF('Elève (5ème2)'!LN19:LP19,"D"))*1))/(COUNTA(LN19:LP19)),"")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(5ème2)'!LS19:LU19,"A"))*4)+((COUNTIF('Elève (5ème2)'!LS19:LU19,"B"))*3)+((COUNTIF('Elève (5ème2)'!LS19:LU19,"C"))*2)+((COUNTIF('Elève (5ème2)'!LS19:LU19,"D"))*1))/(COUNTA(LS19:LU19)),"")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(5ème2)'!LX19:LZ19,"A"))*4)+((COUNTIF('Elève (5ème2)'!LX19:LZ19,"B"))*3)+((COUNTIF('Elève (5ème2)'!LX19:LZ19,"C"))*2)+((COUNTIF('Elève (5ème2)'!LX19:LZ19,"D"))*1))/(COUNTA(LX19:LZ19)),"")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(5ème2)'!ME19:MG19,"A"))*4)+((COUNTIF('Elève (5ème2)'!ME19:MG19,"B"))*3)+((COUNTIF('Elève (5ème2)'!ME19:MG19,"C"))*2)+((COUNTIF('Elève (5ème2)'!ME19:MG19,"D"))*1))/(COUNTA(ME19:MG19)),"")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(5ème2)'!MJ19:ML19,"A"))*4)+((COUNTIF('Elève (5ème2)'!MJ19:ML19,"B"))*3)+((COUNTIF('Elève (5ème2)'!MJ19:ML19,"C"))*2)+((COUNTIF('Elève (5ème2)'!MJ19:ML19,"D"))*1))/(COUNTA(MJ19:ML19)),"")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(5ème2)'!MO19:MQ19,"A"))*4)+((COUNTIF('Elève (5ème2)'!MO19:MQ19,"B"))*3)+((COUNTIF('Elève (5ème2)'!MO19:MQ19,"C"))*2)+((COUNTIF('Elève (5ème2)'!MO19:MQ19,"D"))*1))/(COUNTA(MO19:MQ19)),"")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(5ème2)'!MV19:MX19,"A"))*4)+((COUNTIF('Elève (5ème2)'!MV19:MX19,"B"))*3)+((COUNTIF('Elève (5ème2)'!MV19:MX19,"C"))*2)+((COUNTIF('Elève (5ème2)'!MV19:MX19,"D"))*1))/(COUNTA(MV19:MX19)),"")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(5ème2)'!NA19:NC19,"A"))*4)+((COUNTIF('Elève (5ème2)'!NA19:NC19,"B"))*3)+((COUNTIF('Elève (5ème2)'!NA19:NC19,"C"))*2)+((COUNTIF('Elève (5ème2)'!NA19:NC19,"D"))*1))/(COUNTA(NA19:NC19)),"")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(5ème2)'!NF19:NH19,"A"))*4)+((COUNTIF('Elève (5ème2)'!NF19:NH19,"B"))*3)+((COUNTIF('Elève (5ème2)'!NF19:NH19,"C"))*2)+((COUNTIF('Elève (5ème2)'!NF19:NH19,"D"))*1))/(COUNTA(NF19:NH19)),"")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(5ème2)'!NM19:NO19,"A"))*4)+((COUNTIF('Elève (5ème2)'!NM19:NO19,"B"))*3)+((COUNTIF('Elève (5ème2)'!NM19:NO19,"C"))*2)+((COUNTIF('Elève (5ème2)'!NM19:NO19,"D"))*1))/(COUNTA(NM19:NO19)),"")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(5ème2)'!NR19:NT19,"A"))*4)+((COUNTIF('Elève (5ème2)'!NR19:NT19,"B"))*3)+((COUNTIF('Elève (5ème2)'!NR19:NT19,"C"))*2)+((COUNTIF('Elève (5ème2)'!NR19:NT19,"D"))*1))/(COUNTA(NR19:NT19)),"")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(5ème2)'!NW19:NY19,"A"))*4)+((COUNTIF('Elève (5ème2)'!NW19:NY19,"B"))*3)+((COUNTIF('Elève (5ème2)'!NW19:NY19,"C"))*2)+((COUNTIF('Elève (5ème2)'!NW19:NY19,"D"))*1))/(COUNTA(NW19:NY19)),"")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(5ème2)'!OD19:OF19,"A"))*4)+((COUNTIF('Elève (5ème2)'!OD19:OF19,"B"))*3)+((COUNTIF('Elève (5ème2)'!OD19:OF19,"C"))*2)+((COUNTIF('Elève (5ème2)'!OD19:OF19,"D"))*1))/(COUNTA(OD19:OF19)),"")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(5ème2)'!OI19:OK19,"A"))*4)+((COUNTIF('Elève (5ème2)'!OI19:OK19,"B"))*3)+((COUNTIF('Elève (5ème2)'!OI19:OK19,"C"))*2)+((COUNTIF('Elève (5ème2)'!OI19:OK19,"D"))*1))/(COUNTA(OI19:OK19)),"")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(5ème2)'!ON19:OP19,"A"))*4)+((COUNTIF('Elève (5ème2)'!ON19:OP19,"B"))*3)+((COUNTIF('Elève (5ème2)'!ON19:OP19,"C"))*2)+((COUNTIF('Elève (5ème2)'!ON19:OP19,"D"))*1))/(COUNTA(ON19:OP19)),"")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(5ème2)'!OU19:OW19,"A"))*4)+((COUNTIF('Elève (5ème2)'!OU19:OW19,"B"))*3)+((COUNTIF('Elève (5ème2)'!OU19:OW19,"C"))*2)+((COUNTIF('Elève (5ème2)'!OU19:OW19,"D"))*1))/(COUNTA(OU19:OW19)),"")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(5ème2)'!OZ19:PB19,"A"))*4)+((COUNTIF('Elève (5ème2)'!OZ19:PB19,"B"))*3)+((COUNTIF('Elève (5ème2)'!OZ19:PB19,"C"))*2)+((COUNTIF('Elève (5ème2)'!OZ19:PB19,"D"))*1))/(COUNTA(OZ19:PB19)),"")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(5ème2)'!PE19:PG19,"A"))*4)+((COUNTIF('Elève (5ème2)'!PE19:PG19,"B"))*3)+((COUNTIF('Elève (5ème2)'!PE19:PG19,"C"))*2)+((COUNTIF('Elève (5ème2)'!PE19:PG19,"D"))*1))/(COUNTA(PE19:PG19)),"")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(5ème2)'!PL19:PN19,"A"))*4)+((COUNTIF('Elève (5ème2)'!PL19:PN19,"B"))*3)+((COUNTIF('Elève (5ème2)'!PL19:PN19,"C"))*2)+((COUNTIF('Elève (5ème2)'!PL19:PN19,"D"))*1))/(COUNTA(PL19:PN19)),"")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(5ème2)'!PQ19:PS19,"A"))*4)+((COUNTIF('Elève (5ème2)'!PQ19:PS19,"B"))*3)+((COUNTIF('Elève (5ème2)'!PQ19:PS19,"C"))*2)+((COUNTIF('Elève (5ème2)'!PQ19:PS19,"D"))*1))/(COUNTA(PQ19:PS19)),"")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(5ème2)'!PV19:PX19,"A"))*4)+((COUNTIF('Elève (5ème2)'!PV19:PX19,"B"))*3)+((COUNTIF('Elève (5ème2)'!PV19:PX19,"C"))*2)+((COUNTIF('Elève (5ème2)'!PV19:PX19,"D"))*1))/(COUNTA(PV19:PX19)),"")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(5ème2)'!QC19:QE19,"A"))*4)+((COUNTIF('Elève (5ème2)'!QC19:QE19,"B"))*3)+((COUNTIF('Elève (5ème2)'!QC19:QE19,"C"))*2)+((COUNTIF('Elève (5ème2)'!QC19:QE19,"D"))*1))/(COUNTA(QC19:QE19)),"")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(5ème2)'!QH19:QJ19,"A"))*4)+((COUNTIF('Elève (5ème2)'!QH19:QJ19,"B"))*3)+((COUNTIF('Elève (5ème2)'!QH19:QJ19,"C"))*2)+((COUNTIF('Elève (5ème2)'!QH19:QJ19,"D"))*1))/(COUNTA(QH19:QJ19)),"")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(5ème2)'!QM19:QO19,"A"))*4)+((COUNTIF('Elève (5ème2)'!QM19:QO19,"B"))*3)+((COUNTIF('Elève (5ème2)'!QM19:QO19,"C"))*2)+((COUNTIF('Elève (5ème2)'!QM19:QO19,"D"))*1))/(COUNTA(QM19:QO19)),"")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(5ème2)'!QT19:QV19,"A"))*4)+((COUNTIF('Elève (5ème2)'!QT19:QV19,"B"))*3)+((COUNTIF('Elève (5ème2)'!QT19:QV19,"C"))*2)+((COUNTIF('Elève (5ème2)'!QT19:QV19,"D"))*1))/(COUNTA(QT19:QV19)),"")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(5ème2)'!QY19:RA19,"A"))*4)+((COUNTIF('Elève (5ème2)'!QY19:RA19,"B"))*3)+((COUNTIF('Elève (5ème2)'!QY19:RA19,"C"))*2)+((COUNTIF('Elève (5ème2)'!QY19:RA19,"D"))*1))/(COUNTA(QY19:RA19)),"")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(5ème2)'!RD19:RF19,"A"))*4)+((COUNTIF('Elève (5ème2)'!RD19:RF19,"B"))*3)+((COUNTIF('Elève (5ème2)'!RD19:RF19,"C"))*2)+((COUNTIF('Elève (5ème2)'!RD19:RF19,"D"))*1))/(COUNTA(RD19:RF19)),"")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(5ème2)'!RK19:RM19,"A"))*4)+((COUNTIF('Elève (5ème2)'!RK19:RM19,"B"))*3)+((COUNTIF('Elève (5ème2)'!RK19:RM19,"C"))*2)+((COUNTIF('Elève (5ème2)'!RK19:RM19,"D"))*1))/(COUNTA(RK19:RM19)),"")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(5ème2)'!RP19:RR19,"A"))*4)+((COUNTIF('Elève (5ème2)'!RP19:RR19,"B"))*3)+((COUNTIF('Elève (5ème2)'!RP19:RR19,"C"))*2)+((COUNTIF('Elève (5ème2)'!RP19:RR19,"D"))*1))/(COUNTA(RP19:RR19)),"")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(5ème2)'!RU19:RW19,"A"))*4)+((COUNTIF('Elève (5ème2)'!RU19:RW19,"B"))*3)+((COUNTIF('Elève (5ème2)'!RU19:RW19,"C"))*2)+((COUNTIF('Elève (5ème2)'!RU19:RW19,"D"))*1))/(COUNTA(RU19:RW19)),"")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(5ème2)'!SB19:SD19,"A"))*4)+((COUNTIF('Elève (5ème2)'!SB19:SD19,"B"))*3)+((COUNTIF('Elève (5ème2)'!SB19:SD19,"C"))*2)+((COUNTIF('Elève (5ème2)'!SB19:SD19,"D"))*1))/(COUNTA(SB19:SD19)),"")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(5ème2)'!SG19:SI19,"A"))*4)+((COUNTIF('Elève (5ème2)'!SG19:SI19,"B"))*3)+((COUNTIF('Elève (5ème2)'!SG19:SI19,"C"))*2)+((COUNTIF('Elève (5ème2)'!SG19:SI19,"D"))*1))/(COUNTA(SG19:SI19)),"")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(5ème2)'!SL19:SN19,"A"))*4)+((COUNTIF('Elève (5ème2)'!SL19:SN19,"B"))*3)+((COUNTIF('Elève (5ème2)'!SL19:SN19,"C"))*2)+((COUNTIF('Elève (5ème2)'!SL19:SN19,"D"))*1))/(COUNTA(SL19:SN19)),"")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(5ème2)'!C21:E21,"A"))*4)+((COUNTIF('Elève (5ème2)'!C21:E21,"B"))*3)+((COUNTIF('Elève (5ème2)'!C21:E21,"C"))*2)+((COUNTIF('Elève (5ème2)'!C21:E21,"D"))*1))/(COUNTA(C21:E21)),"")</f>
        <v/>
      </c>
      <c r="G20" s="107" t="str">
        <f t="shared" si="0"/>
        <v/>
      </c>
      <c r="H20" s="204"/>
      <c r="I20" s="186"/>
      <c r="J20" s="205"/>
      <c r="K20" s="129" t="str">
        <f>IFERROR((((COUNTIF('Elève (5ème2)'!H21:J21,"A"))*4)+((COUNTIF('Elève (5ème2)'!H21:J21,"B"))*3)+((COUNTIF('Elève (5ème2)'!H21:J21,"C"))*2)+((COUNTIF('Elève (5ème2)'!H21:J21,"D"))*1))/(COUNTA(H21:J21)),"")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(5ème2)'!M21:O21,"A"))*4)+((COUNTIF('Elève (5ème2)'!M21:O21,"B"))*3)+((COUNTIF('Elève (5ème2)'!M21:O21,"C"))*2)+((COUNTIF('Elève (5ème2)'!M21:O21,"D"))*1))/(COUNTA(M21:O21)),"")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(5ème2)'!T21:V21,"A"))*4)+((COUNTIF('Elève (5ème2)'!T21:V21,"B"))*3)+((COUNTIF('Elève (5ème2)'!T21:V21,"C"))*2)+((COUNTIF('Elève (5ème2)'!T21:V21,"D"))*1))/(COUNTA(T21:V21)),"")</f>
        <v/>
      </c>
      <c r="X20" s="107" t="str">
        <f t="shared" si="4"/>
        <v/>
      </c>
      <c r="Y20" s="204"/>
      <c r="Z20" s="186"/>
      <c r="AA20" s="205"/>
      <c r="AB20" s="129" t="str">
        <f>IFERROR((((COUNTIF('Elève (5ème2)'!Y21:AA21,"A"))*4)+((COUNTIF('Elève (5ème2)'!Y21:AA21,"B"))*3)+((COUNTIF('Elève (5ème2)'!Y21:AA21,"C"))*2)+((COUNTIF('Elève (5ème2)'!Y21:AA21,"D"))*1))/(COUNTA(Y21:AA21)),"")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(5ème2)'!AD21:AF21,"A"))*4)+((COUNTIF('Elève (5ème2)'!AD21:AF21,"B"))*3)+((COUNTIF('Elève (5ème2)'!AD21:AF21,"C"))*2)+((COUNTIF('Elève (5ème2)'!AD21:AF21,"D"))*1))/(COUNTA(AD21:AF21)),"")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(5ème2)'!AK21:AM21,"A"))*4)+((COUNTIF('Elève (5ème2)'!AK21:AM21,"B"))*3)+((COUNTIF('Elève (5ème2)'!AK21:AM21,"C"))*2)+((COUNTIF('Elève (5ème2)'!AK21:AM21,"D"))*1))/(COUNTA(AK21:AM21)),"")</f>
        <v/>
      </c>
      <c r="AO20" s="107" t="str">
        <f t="shared" si="8"/>
        <v/>
      </c>
      <c r="AP20" s="204"/>
      <c r="AQ20" s="186"/>
      <c r="AR20" s="205"/>
      <c r="AS20" s="129" t="str">
        <f>IFERROR((((COUNTIF('Elève (5ème2)'!AP21:AR21,"A"))*4)+((COUNTIF('Elève (5ème2)'!AP21:AR21,"B"))*3)+((COUNTIF('Elève (5ème2)'!AP21:AR21,"C"))*2)+((COUNTIF('Elève (5ème2)'!AP21:AR21,"D"))*1))/(COUNTA(AP21:AR21)),"")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(5ème2)'!AU21:AW21,"A"))*4)+((COUNTIF('Elève (5ème2)'!AU21:AW21,"B"))*3)+((COUNTIF('Elève (5ème2)'!AU21:AW21,"C"))*2)+((COUNTIF('Elève (5ème2)'!AU21:AW21,"D"))*1))/(COUNTA(AU21:AW21)),"")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(5ème2)'!BB21:BD21,"A"))*4)+((COUNTIF('Elève (5ème2)'!BB21:BD21,"B"))*3)+((COUNTIF('Elève (5ème2)'!BB21:BD21,"C"))*2)+((COUNTIF('Elève (5ème2)'!BB21:BD21,"D"))*1))/(COUNTA(BB21:BD21)),"")</f>
        <v/>
      </c>
      <c r="BF20" s="107" t="str">
        <f t="shared" si="12"/>
        <v/>
      </c>
      <c r="BG20" s="204"/>
      <c r="BH20" s="186"/>
      <c r="BI20" s="205"/>
      <c r="BJ20" s="129" t="str">
        <f>IFERROR((((COUNTIF('Elève (5ème2)'!BG21:BI21,"A"))*4)+((COUNTIF('Elève (5ème2)'!BG21:BI21,"B"))*3)+((COUNTIF('Elève (5ème2)'!BG21:BI21,"C"))*2)+((COUNTIF('Elève (5ème2)'!BG21:BI21,"D"))*1))/(COUNTA(BG21:BI21)),"")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(5ème2)'!BL21:BN21,"A"))*4)+((COUNTIF('Elève (5ème2)'!BL21:BN21,"B"))*3)+((COUNTIF('Elève (5ème2)'!BL21:BN21,"C"))*2)+((COUNTIF('Elève (5ème2)'!BL21:BN21,"D"))*1))/(COUNTA(BL21:BN21)),"")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(5ème2)'!BS21:BU21,"A"))*4)+((COUNTIF('Elève (5ème2)'!BS21:BU21,"B"))*3)+((COUNTIF('Elève (5ème2)'!BS21:BU21,"C"))*2)+((COUNTIF('Elève (5ème2)'!BS21:BU21,"D"))*1))/(COUNTA(BS21:BU21)),"")</f>
        <v/>
      </c>
      <c r="BW20" s="107" t="str">
        <f t="shared" si="16"/>
        <v/>
      </c>
      <c r="BX20" s="204"/>
      <c r="BY20" s="186"/>
      <c r="BZ20" s="205"/>
      <c r="CA20" s="129" t="str">
        <f>IFERROR((((COUNTIF('Elève (5ème2)'!BX21:BZ21,"A"))*4)+((COUNTIF('Elève (5ème2)'!BX21:BZ21,"B"))*3)+((COUNTIF('Elève (5ème2)'!BX21:BZ21,"C"))*2)+((COUNTIF('Elève (5ème2)'!BX21:BZ21,"D"))*1))/(COUNTA(BX21:BZ21)),"")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(5ème2)'!CC21:CE21,"A"))*4)+((COUNTIF('Elève (5ème2)'!CC21:CE21,"B"))*3)+((COUNTIF('Elève (5ème2)'!CC21:CE21,"C"))*2)+((COUNTIF('Elève (5ème2)'!CC21:CE21,"D"))*1))/(COUNTA(CC21:CE21)),"")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(5ème2)'!CJ21:CL21,"A"))*4)+((COUNTIF('Elève (5ème2)'!CJ21:CL21,"B"))*3)+((COUNTIF('Elève (5ème2)'!CJ21:CL21,"C"))*2)+((COUNTIF('Elève (5ème2)'!CJ21:CL21,"D"))*1))/(COUNTA(CJ21:CL21)),"")</f>
        <v/>
      </c>
      <c r="CN20" s="107" t="str">
        <f t="shared" si="20"/>
        <v/>
      </c>
      <c r="CO20" s="204"/>
      <c r="CP20" s="186"/>
      <c r="CQ20" s="205"/>
      <c r="CR20" s="129" t="str">
        <f>IFERROR((((COUNTIF('Elève (5ème2)'!CO21:CQ21,"A"))*4)+((COUNTIF('Elève (5ème2)'!CO21:CQ21,"B"))*3)+((COUNTIF('Elève (5ème2)'!CO21:CQ21,"C"))*2)+((COUNTIF('Elève (5ème2)'!CO21:CQ21,"D"))*1))/(COUNTA(CO21:CQ21)),"")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(5ème2)'!CT21:CV21,"A"))*4)+((COUNTIF('Elève (5ème2)'!CT21:CV21,"B"))*3)+((COUNTIF('Elève (5ème2)'!CT21:CV21,"C"))*2)+((COUNTIF('Elève (5ème2)'!CT21:CV21,"D"))*1))/(COUNTA(CT21:CV21)),"")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(5ème2)'!DA21:DC21,"A"))*4)+((COUNTIF('Elève (5ème2)'!DA21:DC21,"B"))*3)+((COUNTIF('Elève (5ème2)'!DA21:DC21,"C"))*2)+((COUNTIF('Elève (5ème2)'!DA21:DC21,"D"))*1))/(COUNTA(DA21:DC21)),"")</f>
        <v/>
      </c>
      <c r="DE20" s="107" t="str">
        <f t="shared" si="24"/>
        <v/>
      </c>
      <c r="DF20" s="204"/>
      <c r="DG20" s="186"/>
      <c r="DH20" s="205"/>
      <c r="DI20" s="129" t="str">
        <f>IFERROR((((COUNTIF('Elève (5ème2)'!DF21:DH21,"A"))*4)+((COUNTIF('Elève (5ème2)'!DF21:DH21,"B"))*3)+((COUNTIF('Elève (5ème2)'!DF21:DH21,"C"))*2)+((COUNTIF('Elève (5ème2)'!DF21:DH21,"D"))*1))/(COUNTA(DF21:DH21)),"")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(5ème2)'!DK21:DM21,"A"))*4)+((COUNTIF('Elève (5ème2)'!DK21:DM21,"B"))*3)+((COUNTIF('Elève (5ème2)'!DK21:DM21,"C"))*2)+((COUNTIF('Elève (5ème2)'!DK21:DM21,"D"))*1))/(COUNTA(DK21:DM21)),"")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(5ème2)'!DR21:DT21,"A"))*4)+((COUNTIF('Elève (5ème2)'!DR21:DT21,"B"))*3)+((COUNTIF('Elève (5ème2)'!DR21:DT21,"C"))*2)+((COUNTIF('Elève (5ème2)'!DR21:DT21,"D"))*1))/(COUNTA(DR21:DT21)),"")</f>
        <v/>
      </c>
      <c r="DV20" s="107" t="str">
        <f t="shared" si="28"/>
        <v/>
      </c>
      <c r="DW20" s="204"/>
      <c r="DX20" s="186"/>
      <c r="DY20" s="205"/>
      <c r="DZ20" s="129" t="str">
        <f>IFERROR((((COUNTIF('Elève (5ème2)'!DW21:DY21,"A"))*4)+((COUNTIF('Elève (5ème2)'!DW21:DY21,"B"))*3)+((COUNTIF('Elève (5ème2)'!DW21:DY21,"C"))*2)+((COUNTIF('Elève (5ème2)'!DW21:DY21,"D"))*1))/(COUNTA(DW21:DY21)),"")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(5ème2)'!EB21:ED21,"A"))*4)+((COUNTIF('Elève (5ème2)'!EB21:ED21,"B"))*3)+((COUNTIF('Elève (5ème2)'!EB21:ED21,"C"))*2)+((COUNTIF('Elève (5ème2)'!EB21:ED21,"D"))*1))/(COUNTA(EB21:ED21)),"")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(5ème2)'!EI21:EK21,"A"))*4)+((COUNTIF('Elève (5ème2)'!EI21:EK21,"B"))*3)+((COUNTIF('Elève (5ème2)'!EI21:EK21,"C"))*2)+((COUNTIF('Elève (5ème2)'!EI21:EK21,"D"))*1))/(COUNTA(EI21:EK21)),"")</f>
        <v/>
      </c>
      <c r="EM20" s="107" t="str">
        <f t="shared" si="32"/>
        <v/>
      </c>
      <c r="EN20" s="204"/>
      <c r="EO20" s="186"/>
      <c r="EP20" s="205"/>
      <c r="EQ20" s="129" t="str">
        <f>IFERROR((((COUNTIF('Elève (5ème2)'!EN21:EP21,"A"))*4)+((COUNTIF('Elève (5ème2)'!EN21:EP21,"B"))*3)+((COUNTIF('Elève (5ème2)'!EN21:EP21,"C"))*2)+((COUNTIF('Elève (5ème2)'!EN21:EP21,"D"))*1))/(COUNTA(EN21:EP21)),"")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(5ème2)'!ES21:EU21,"A"))*4)+((COUNTIF('Elève (5ème2)'!ES21:EU21,"B"))*3)+((COUNTIF('Elève (5ème2)'!ES21:EU21,"C"))*2)+((COUNTIF('Elève (5ème2)'!ES21:EU21,"D"))*1))/(COUNTA(ES21:EU21)),"")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(5ème2)'!EZ21:FB21,"A"))*4)+((COUNTIF('Elève (5ème2)'!EZ21:FB21,"B"))*3)+((COUNTIF('Elève (5ème2)'!EZ21:FB21,"C"))*2)+((COUNTIF('Elève (5ème2)'!EZ21:FB21,"D"))*1))/(COUNTA(EZ21:FB21)),"")</f>
        <v/>
      </c>
      <c r="FD20" s="107" t="str">
        <f t="shared" si="36"/>
        <v/>
      </c>
      <c r="FE20" s="204"/>
      <c r="FF20" s="186"/>
      <c r="FG20" s="205"/>
      <c r="FH20" s="129" t="str">
        <f>IFERROR((((COUNTIF('Elève (5ème2)'!FE21:FG21,"A"))*4)+((COUNTIF('Elève (5ème2)'!FE21:FG21,"B"))*3)+((COUNTIF('Elève (5ème2)'!FE21:FG21,"C"))*2)+((COUNTIF('Elève (5ème2)'!FE21:FG21,"D"))*1))/(COUNTA(FE21:FG21)),"")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(5ème2)'!FJ21:FL21,"A"))*4)+((COUNTIF('Elève (5ème2)'!FJ21:FL21,"B"))*3)+((COUNTIF('Elève (5ème2)'!FJ21:FL21,"C"))*2)+((COUNTIF('Elève (5ème2)'!FJ21:FL21,"D"))*1))/(COUNTA(FJ21:FL21)),"")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(5ème2)'!FQ21:FS21,"A"))*4)+((COUNTIF('Elève (5ème2)'!FQ21:FS21,"B"))*3)+((COUNTIF('Elève (5ème2)'!FQ21:FS21,"C"))*2)+((COUNTIF('Elève (5ème2)'!FQ21:FS21,"D"))*1))/(COUNTA(FQ21:FS21)),"")</f>
        <v/>
      </c>
      <c r="FU20" s="107" t="str">
        <f t="shared" si="40"/>
        <v/>
      </c>
      <c r="FV20" s="204"/>
      <c r="FW20" s="186"/>
      <c r="FX20" s="205"/>
      <c r="FY20" s="129" t="str">
        <f>IFERROR((((COUNTIF('Elève (5ème2)'!FV21:FX21,"A"))*4)+((COUNTIF('Elève (5ème2)'!FV21:FX21,"B"))*3)+((COUNTIF('Elève (5ème2)'!FV21:FX21,"C"))*2)+((COUNTIF('Elève (5ème2)'!FV21:FX21,"D"))*1))/(COUNTA(FV21:FX21)),"")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(5ème2)'!GA21:GC21,"A"))*4)+((COUNTIF('Elève (5ème2)'!GA21:GC21,"B"))*3)+((COUNTIF('Elève (5ème2)'!GA21:GC21,"C"))*2)+((COUNTIF('Elève (5ème2)'!GA21:GC21,"D"))*1))/(COUNTA(GA21:GC21)),"")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(5ème2)'!GH21:GJ21,"A"))*4)+((COUNTIF('Elève (5ème2)'!GH21:GJ21,"B"))*3)+((COUNTIF('Elève (5ème2)'!GH21:GJ21,"C"))*2)+((COUNTIF('Elève (5ème2)'!GH21:GJ21,"D"))*1))/(COUNTA(GH21:GJ21)),"")</f>
        <v/>
      </c>
      <c r="GL20" s="107" t="str">
        <f t="shared" si="44"/>
        <v/>
      </c>
      <c r="GM20" s="204"/>
      <c r="GN20" s="186"/>
      <c r="GO20" s="205"/>
      <c r="GP20" s="129" t="str">
        <f>IFERROR((((COUNTIF('Elève (5ème2)'!GM21:GO21,"A"))*4)+((COUNTIF('Elève (5ème2)'!GM21:GO21,"B"))*3)+((COUNTIF('Elève (5ème2)'!GM21:GO21,"C"))*2)+((COUNTIF('Elève (5ème2)'!GM21:GO21,"D"))*1))/(COUNTA(GM21:GO21)),"")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(5ème2)'!GR21:GT21,"A"))*4)+((COUNTIF('Elève (5ème2)'!GR21:GT21,"B"))*3)+((COUNTIF('Elève (5ème2)'!GR21:GT21,"C"))*2)+((COUNTIF('Elève (5ème2)'!GR21:GT21,"D"))*1))/(COUNTA(GR21:GT21)),"")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(5ème2)'!GY21:HA21,"A"))*4)+((COUNTIF('Elève (5ème2)'!GY21:HA21,"B"))*3)+((COUNTIF('Elève (5ème2)'!GY21:HA21,"C"))*2)+((COUNTIF('Elève (5ème2)'!GY21:HA21,"D"))*1))/(COUNTA(GY21:HA21)),"")</f>
        <v/>
      </c>
      <c r="HC20" s="107" t="str">
        <f t="shared" si="48"/>
        <v/>
      </c>
      <c r="HD20" s="204"/>
      <c r="HE20" s="186"/>
      <c r="HF20" s="205"/>
      <c r="HG20" s="129" t="str">
        <f>IFERROR((((COUNTIF('Elève (5ème2)'!HD21:HF21,"A"))*4)+((COUNTIF('Elève (5ème2)'!HD21:HF21,"B"))*3)+((COUNTIF('Elève (5ème2)'!HD21:HF21,"C"))*2)+((COUNTIF('Elève (5ème2)'!HD21:HF21,"D"))*1))/(COUNTA(HD21:HF21)),"")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(5ème2)'!HI21:HK21,"A"))*4)+((COUNTIF('Elève (5ème2)'!HI21:HK21,"B"))*3)+((COUNTIF('Elève (5ème2)'!HI21:HK21,"C"))*2)+((COUNTIF('Elève (5ème2)'!HI21:HK21,"D"))*1))/(COUNTA(HI21:HK21)),"")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(5ème2)'!HP21:HR21,"A"))*4)+((COUNTIF('Elève (5ème2)'!HP21:HR21,"B"))*3)+((COUNTIF('Elève (5ème2)'!HP21:HR21,"C"))*2)+((COUNTIF('Elève (5ème2)'!HP21:HR21,"D"))*1))/(COUNTA(HP21:HR21)),"")</f>
        <v/>
      </c>
      <c r="HT20" s="107" t="str">
        <f t="shared" si="52"/>
        <v/>
      </c>
      <c r="HU20" s="204"/>
      <c r="HV20" s="186"/>
      <c r="HW20" s="205"/>
      <c r="HX20" s="129" t="str">
        <f>IFERROR((((COUNTIF('Elève (5ème2)'!HU21:HW21,"A"))*4)+((COUNTIF('Elève (5ème2)'!HU21:HW21,"B"))*3)+((COUNTIF('Elève (5ème2)'!HU21:HW21,"C"))*2)+((COUNTIF('Elève (5ème2)'!HU21:HW21,"D"))*1))/(COUNTA(HU21:HW21)),"")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(5ème2)'!HZ21:IB21,"A"))*4)+((COUNTIF('Elève (5ème2)'!HZ21:IB21,"B"))*3)+((COUNTIF('Elève (5ème2)'!HZ21:IB21,"C"))*2)+((COUNTIF('Elève (5ème2)'!HZ21:IB21,"D"))*1))/(COUNTA(HZ21:IB21)),"")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(5ème2)'!IG21:II21,"A"))*4)+((COUNTIF('Elève (5ème2)'!IG21:II21,"B"))*3)+((COUNTIF('Elève (5ème2)'!IG21:II21,"C"))*2)+((COUNTIF('Elève (5ème2)'!IG21:II21,"D"))*1))/(COUNTA(IG21:II21)),"")</f>
        <v/>
      </c>
      <c r="IK20" s="107" t="str">
        <f t="shared" si="56"/>
        <v/>
      </c>
      <c r="IL20" s="204"/>
      <c r="IM20" s="186"/>
      <c r="IN20" s="205"/>
      <c r="IO20" s="129" t="str">
        <f>IFERROR((((COUNTIF('Elève (5ème2)'!IL21:IN21,"A"))*4)+((COUNTIF('Elève (5ème2)'!IL21:IN21,"B"))*3)+((COUNTIF('Elève (5ème2)'!IL21:IN21,"C"))*2)+((COUNTIF('Elève (5ème2)'!IL21:IN21,"D"))*1))/(COUNTA(IL21:IN21)),"")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(5ème2)'!IQ21:IS21,"A"))*4)+((COUNTIF('Elève (5ème2)'!IQ21:IS21,"B"))*3)+((COUNTIF('Elève (5ème2)'!IQ21:IS21,"C"))*2)+((COUNTIF('Elève (5ème2)'!IQ21:IS21,"D"))*1))/(COUNTA(IQ21:IS21)),"")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(5ème2)'!IX21:IZ21,"A"))*4)+((COUNTIF('Elève (5ème2)'!IX21:IZ21,"B"))*3)+((COUNTIF('Elève (5ème2)'!IX21:IZ21,"C"))*2)+((COUNTIF('Elève (5ème2)'!IX21:IZ21,"D"))*1))/(COUNTA(IX21:IZ21)),"")</f>
        <v/>
      </c>
      <c r="JB20" s="107" t="str">
        <f t="shared" si="60"/>
        <v/>
      </c>
      <c r="JC20" s="204"/>
      <c r="JD20" s="186"/>
      <c r="JE20" s="205"/>
      <c r="JF20" s="129" t="str">
        <f>IFERROR((((COUNTIF('Elève (5ème2)'!JC21:JE21,"A"))*4)+((COUNTIF('Elève (5ème2)'!JC21:JE21,"B"))*3)+((COUNTIF('Elève (5ème2)'!JC21:JE21,"C"))*2)+((COUNTIF('Elève (5ème2)'!JC21:JE21,"D"))*1))/(COUNTA(JC21:JE21)),"")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(5ème2)'!JH21:JJ21,"A"))*4)+((COUNTIF('Elève (5ème2)'!JH21:JJ21,"B"))*3)+((COUNTIF('Elève (5ème2)'!JH21:JJ21,"C"))*2)+((COUNTIF('Elève (5ème2)'!JH21:JJ21,"D"))*1))/(COUNTA(JH21:JJ21)),"")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(5ème2)'!JO21:JQ21,"A"))*4)+((COUNTIF('Elève (5ème2)'!JO21:JQ21,"B"))*3)+((COUNTIF('Elève (5ème2)'!JO21:JQ21,"C"))*2)+((COUNTIF('Elève (5ème2)'!JO21:JQ21,"D"))*1))/(COUNTA(JO21:JQ21)),"")</f>
        <v/>
      </c>
      <c r="JS20" s="107" t="str">
        <f t="shared" si="64"/>
        <v/>
      </c>
      <c r="JT20" s="204"/>
      <c r="JU20" s="186"/>
      <c r="JV20" s="205"/>
      <c r="JW20" s="129" t="str">
        <f>IFERROR((((COUNTIF('Elève (5ème2)'!JT21:JV21,"A"))*4)+((COUNTIF('Elève (5ème2)'!JT21:JV21,"B"))*3)+((COUNTIF('Elève (5ème2)'!JT21:JV21,"C"))*2)+((COUNTIF('Elève (5ème2)'!JT21:JV21,"D"))*1))/(COUNTA(JT21:JV21)),"")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(5ème2)'!JY21:KA21,"A"))*4)+((COUNTIF('Elève (5ème2)'!JY21:KA21,"B"))*3)+((COUNTIF('Elève (5ème2)'!JY21:KA21,"C"))*2)+((COUNTIF('Elève (5ème2)'!JY21:KA21,"D"))*1))/(COUNTA(JY21:KA21)),"")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(5ème2)'!KF21:KH21,"A"))*4)+((COUNTIF('Elève (5ème2)'!KF21:KH21,"B"))*3)+((COUNTIF('Elève (5ème2)'!KF21:KH21,"C"))*2)+((COUNTIF('Elève (5ème2)'!KF21:KH21,"D"))*1))/(COUNTA(KF21:KH21)),"")</f>
        <v/>
      </c>
      <c r="KJ20" s="107" t="str">
        <f t="shared" si="68"/>
        <v/>
      </c>
      <c r="KK20" s="204"/>
      <c r="KL20" s="186"/>
      <c r="KM20" s="205"/>
      <c r="KN20" s="129" t="str">
        <f>IFERROR((((COUNTIF('Elève (5ème2)'!KK21:KM21,"A"))*4)+((COUNTIF('Elève (5ème2)'!KK21:KM21,"B"))*3)+((COUNTIF('Elève (5ème2)'!KK21:KM21,"C"))*2)+((COUNTIF('Elève (5ème2)'!KK21:KM21,"D"))*1))/(COUNTA(KK21:KM21)),"")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(5ème2)'!KP21:KR21,"A"))*4)+((COUNTIF('Elève (5ème2)'!KP21:KR21,"B"))*3)+((COUNTIF('Elève (5ème2)'!KP21:KR21,"C"))*2)+((COUNTIF('Elève (5ème2)'!KP21:KR21,"D"))*1))/(COUNTA(KP21:KR21)),"")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(5ème2)'!KW21:KY21,"A"))*4)+((COUNTIF('Elève (5ème2)'!KW21:KY21,"B"))*3)+((COUNTIF('Elève (5ème2)'!KW21:KY21,"C"))*2)+((COUNTIF('Elève (5ème2)'!KW21:KY21,"D"))*1))/(COUNTA(KW21:KY21)),"")</f>
        <v/>
      </c>
      <c r="LA20" s="107" t="str">
        <f t="shared" si="72"/>
        <v/>
      </c>
      <c r="LB20" s="204"/>
      <c r="LC20" s="186"/>
      <c r="LD20" s="205"/>
      <c r="LE20" s="129" t="str">
        <f>IFERROR((((COUNTIF('Elève (5ème2)'!LB21:LD21,"A"))*4)+((COUNTIF('Elève (5ème2)'!LB21:LD21,"B"))*3)+((COUNTIF('Elève (5ème2)'!LB21:LD21,"C"))*2)+((COUNTIF('Elève (5ème2)'!LB21:LD21,"D"))*1))/(COUNTA(LB21:LD21)),"")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(5ème2)'!LG21:LI21,"A"))*4)+((COUNTIF('Elève (5ème2)'!LG21:LI21,"B"))*3)+((COUNTIF('Elève (5ème2)'!LG21:LI21,"C"))*2)+((COUNTIF('Elève (5ème2)'!LG21:LI21,"D"))*1))/(COUNTA(LG21:LI21)),"")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(5ème2)'!LN21:LP21,"A"))*4)+((COUNTIF('Elève (5ème2)'!LN21:LP21,"B"))*3)+((COUNTIF('Elève (5ème2)'!LN21:LP21,"C"))*2)+((COUNTIF('Elève (5ème2)'!LN21:LP21,"D"))*1))/(COUNTA(LN21:LP21)),"")</f>
        <v/>
      </c>
      <c r="LR20" s="107" t="str">
        <f t="shared" si="76"/>
        <v/>
      </c>
      <c r="LS20" s="204"/>
      <c r="LT20" s="186"/>
      <c r="LU20" s="205"/>
      <c r="LV20" s="129" t="str">
        <f>IFERROR((((COUNTIF('Elève (5ème2)'!LS21:LU21,"A"))*4)+((COUNTIF('Elève (5ème2)'!LS21:LU21,"B"))*3)+((COUNTIF('Elève (5ème2)'!LS21:LU21,"C"))*2)+((COUNTIF('Elève (5ème2)'!LS21:LU21,"D"))*1))/(COUNTA(LS21:LU21)),"")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(5ème2)'!LX21:LZ21,"A"))*4)+((COUNTIF('Elève (5ème2)'!LX21:LZ21,"B"))*3)+((COUNTIF('Elève (5ème2)'!LX21:LZ21,"C"))*2)+((COUNTIF('Elève (5ème2)'!LX21:LZ21,"D"))*1))/(COUNTA(LX21:LZ21)),"")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(5ème2)'!ME21:MG21,"A"))*4)+((COUNTIF('Elève (5ème2)'!ME21:MG21,"B"))*3)+((COUNTIF('Elève (5ème2)'!ME21:MG21,"C"))*2)+((COUNTIF('Elève (5ème2)'!ME21:MG21,"D"))*1))/(COUNTA(ME21:MG21)),"")</f>
        <v/>
      </c>
      <c r="MI20" s="107" t="str">
        <f t="shared" si="80"/>
        <v/>
      </c>
      <c r="MJ20" s="204"/>
      <c r="MK20" s="186"/>
      <c r="ML20" s="205"/>
      <c r="MM20" s="129" t="str">
        <f>IFERROR((((COUNTIF('Elève (5ème2)'!MJ21:ML21,"A"))*4)+((COUNTIF('Elève (5ème2)'!MJ21:ML21,"B"))*3)+((COUNTIF('Elève (5ème2)'!MJ21:ML21,"C"))*2)+((COUNTIF('Elève (5ème2)'!MJ21:ML21,"D"))*1))/(COUNTA(MJ21:ML21)),"")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(5ème2)'!MO21:MQ21,"A"))*4)+((COUNTIF('Elève (5ème2)'!MO21:MQ21,"B"))*3)+((COUNTIF('Elève (5ème2)'!MO21:MQ21,"C"))*2)+((COUNTIF('Elève (5ème2)'!MO21:MQ21,"D"))*1))/(COUNTA(MO21:MQ21)),"")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(5ème2)'!MV21:MX21,"A"))*4)+((COUNTIF('Elève (5ème2)'!MV21:MX21,"B"))*3)+((COUNTIF('Elève (5ème2)'!MV21:MX21,"C"))*2)+((COUNTIF('Elève (5ème2)'!MV21:MX21,"D"))*1))/(COUNTA(MV21:MX21)),"")</f>
        <v/>
      </c>
      <c r="MZ20" s="107" t="str">
        <f t="shared" si="84"/>
        <v/>
      </c>
      <c r="NA20" s="204"/>
      <c r="NB20" s="186"/>
      <c r="NC20" s="205"/>
      <c r="ND20" s="129" t="str">
        <f>IFERROR((((COUNTIF('Elève (5ème2)'!NA21:NC21,"A"))*4)+((COUNTIF('Elève (5ème2)'!NA21:NC21,"B"))*3)+((COUNTIF('Elève (5ème2)'!NA21:NC21,"C"))*2)+((COUNTIF('Elève (5ème2)'!NA21:NC21,"D"))*1))/(COUNTA(NA21:NC21)),"")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(5ème2)'!NF21:NH21,"A"))*4)+((COUNTIF('Elève (5ème2)'!NF21:NH21,"B"))*3)+((COUNTIF('Elève (5ème2)'!NF21:NH21,"C"))*2)+((COUNTIF('Elève (5ème2)'!NF21:NH21,"D"))*1))/(COUNTA(NF21:NH21)),"")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(5ème2)'!NM21:NO21,"A"))*4)+((COUNTIF('Elève (5ème2)'!NM21:NO21,"B"))*3)+((COUNTIF('Elève (5ème2)'!NM21:NO21,"C"))*2)+((COUNTIF('Elève (5ème2)'!NM21:NO21,"D"))*1))/(COUNTA(NM21:NO21)),"")</f>
        <v/>
      </c>
      <c r="NQ20" s="107" t="str">
        <f t="shared" si="88"/>
        <v/>
      </c>
      <c r="NR20" s="204"/>
      <c r="NS20" s="186"/>
      <c r="NT20" s="205"/>
      <c r="NU20" s="129" t="str">
        <f>IFERROR((((COUNTIF('Elève (5ème2)'!NR21:NT21,"A"))*4)+((COUNTIF('Elève (5ème2)'!NR21:NT21,"B"))*3)+((COUNTIF('Elève (5ème2)'!NR21:NT21,"C"))*2)+((COUNTIF('Elève (5ème2)'!NR21:NT21,"D"))*1))/(COUNTA(NR21:NT21)),"")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(5ème2)'!NW21:NY21,"A"))*4)+((COUNTIF('Elève (5ème2)'!NW21:NY21,"B"))*3)+((COUNTIF('Elève (5ème2)'!NW21:NY21,"C"))*2)+((COUNTIF('Elève (5ème2)'!NW21:NY21,"D"))*1))/(COUNTA(NW21:NY21)),"")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(5ème2)'!OD21:OF21,"A"))*4)+((COUNTIF('Elève (5ème2)'!OD21:OF21,"B"))*3)+((COUNTIF('Elève (5ème2)'!OD21:OF21,"C"))*2)+((COUNTIF('Elève (5ème2)'!OD21:OF21,"D"))*1))/(COUNTA(OD21:OF21)),"")</f>
        <v/>
      </c>
      <c r="OH20" s="107" t="str">
        <f t="shared" si="92"/>
        <v/>
      </c>
      <c r="OI20" s="204"/>
      <c r="OJ20" s="186"/>
      <c r="OK20" s="205"/>
      <c r="OL20" s="129" t="str">
        <f>IFERROR((((COUNTIF('Elève (5ème2)'!OI21:OK21,"A"))*4)+((COUNTIF('Elève (5ème2)'!OI21:OK21,"B"))*3)+((COUNTIF('Elève (5ème2)'!OI21:OK21,"C"))*2)+((COUNTIF('Elève (5ème2)'!OI21:OK21,"D"))*1))/(COUNTA(OI21:OK21)),"")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(5ème2)'!ON21:OP21,"A"))*4)+((COUNTIF('Elève (5ème2)'!ON21:OP21,"B"))*3)+((COUNTIF('Elève (5ème2)'!ON21:OP21,"C"))*2)+((COUNTIF('Elève (5ème2)'!ON21:OP21,"D"))*1))/(COUNTA(ON21:OP21)),"")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(5ème2)'!OU21:OW21,"A"))*4)+((COUNTIF('Elève (5ème2)'!OU21:OW21,"B"))*3)+((COUNTIF('Elève (5ème2)'!OU21:OW21,"C"))*2)+((COUNTIF('Elève (5ème2)'!OU21:OW21,"D"))*1))/(COUNTA(OU21:OW21)),"")</f>
        <v/>
      </c>
      <c r="OY20" s="107" t="str">
        <f t="shared" si="96"/>
        <v/>
      </c>
      <c r="OZ20" s="204"/>
      <c r="PA20" s="186"/>
      <c r="PB20" s="205"/>
      <c r="PC20" s="129" t="str">
        <f>IFERROR((((COUNTIF('Elève (5ème2)'!OZ21:PB21,"A"))*4)+((COUNTIF('Elève (5ème2)'!OZ21:PB21,"B"))*3)+((COUNTIF('Elève (5ème2)'!OZ21:PB21,"C"))*2)+((COUNTIF('Elève (5ème2)'!OZ21:PB21,"D"))*1))/(COUNTA(OZ21:PB21)),"")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(5ème2)'!PE21:PG21,"A"))*4)+((COUNTIF('Elève (5ème2)'!PE21:PG21,"B"))*3)+((COUNTIF('Elève (5ème2)'!PE21:PG21,"C"))*2)+((COUNTIF('Elève (5ème2)'!PE21:PG21,"D"))*1))/(COUNTA(PE21:PG21)),"")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(5ème2)'!PL21:PN21,"A"))*4)+((COUNTIF('Elève (5ème2)'!PL21:PN21,"B"))*3)+((COUNTIF('Elève (5ème2)'!PL21:PN21,"C"))*2)+((COUNTIF('Elève (5ème2)'!PL21:PN21,"D"))*1))/(COUNTA(PL21:PN21)),"")</f>
        <v/>
      </c>
      <c r="PP20" s="107" t="str">
        <f t="shared" si="100"/>
        <v/>
      </c>
      <c r="PQ20" s="204"/>
      <c r="PR20" s="186"/>
      <c r="PS20" s="205"/>
      <c r="PT20" s="129" t="str">
        <f>IFERROR((((COUNTIF('Elève (5ème2)'!PQ21:PS21,"A"))*4)+((COUNTIF('Elève (5ème2)'!PQ21:PS21,"B"))*3)+((COUNTIF('Elève (5ème2)'!PQ21:PS21,"C"))*2)+((COUNTIF('Elève (5ème2)'!PQ21:PS21,"D"))*1))/(COUNTA(PQ21:PS21)),"")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(5ème2)'!PV21:PX21,"A"))*4)+((COUNTIF('Elève (5ème2)'!PV21:PX21,"B"))*3)+((COUNTIF('Elève (5ème2)'!PV21:PX21,"C"))*2)+((COUNTIF('Elève (5ème2)'!PV21:PX21,"D"))*1))/(COUNTA(PV21:PX21)),"")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(5ème2)'!QC21:QE21,"A"))*4)+((COUNTIF('Elève (5ème2)'!QC21:QE21,"B"))*3)+((COUNTIF('Elève (5ème2)'!QC21:QE21,"C"))*2)+((COUNTIF('Elève (5ème2)'!QC21:QE21,"D"))*1))/(COUNTA(QC21:QE21)),"")</f>
        <v/>
      </c>
      <c r="QG20" s="107" t="str">
        <f t="shared" si="104"/>
        <v/>
      </c>
      <c r="QH20" s="204"/>
      <c r="QI20" s="186"/>
      <c r="QJ20" s="205"/>
      <c r="QK20" s="129" t="str">
        <f>IFERROR((((COUNTIF('Elève (5ème2)'!QH21:QJ21,"A"))*4)+((COUNTIF('Elève (5ème2)'!QH21:QJ21,"B"))*3)+((COUNTIF('Elève (5ème2)'!QH21:QJ21,"C"))*2)+((COUNTIF('Elève (5ème2)'!QH21:QJ21,"D"))*1))/(COUNTA(QH21:QJ21)),"")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(5ème2)'!QM21:QO21,"A"))*4)+((COUNTIF('Elève (5ème2)'!QM21:QO21,"B"))*3)+((COUNTIF('Elève (5ème2)'!QM21:QO21,"C"))*2)+((COUNTIF('Elève (5ème2)'!QM21:QO21,"D"))*1))/(COUNTA(QM21:QO21)),"")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(5ème2)'!QT21:QV21,"A"))*4)+((COUNTIF('Elève (5ème2)'!QT21:QV21,"B"))*3)+((COUNTIF('Elève (5ème2)'!QT21:QV21,"C"))*2)+((COUNTIF('Elève (5ème2)'!QT21:QV21,"D"))*1))/(COUNTA(QT21:QV21)),"")</f>
        <v/>
      </c>
      <c r="QX20" s="107" t="str">
        <f t="shared" si="108"/>
        <v/>
      </c>
      <c r="QY20" s="204"/>
      <c r="QZ20" s="186"/>
      <c r="RA20" s="205"/>
      <c r="RB20" s="129" t="str">
        <f>IFERROR((((COUNTIF('Elève (5ème2)'!QY21:RA21,"A"))*4)+((COUNTIF('Elève (5ème2)'!QY21:RA21,"B"))*3)+((COUNTIF('Elève (5ème2)'!QY21:RA21,"C"))*2)+((COUNTIF('Elève (5ème2)'!QY21:RA21,"D"))*1))/(COUNTA(QY21:RA21)),"")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(5ème2)'!RD21:RF21,"A"))*4)+((COUNTIF('Elève (5ème2)'!RD21:RF21,"B"))*3)+((COUNTIF('Elève (5ème2)'!RD21:RF21,"C"))*2)+((COUNTIF('Elève (5ème2)'!RD21:RF21,"D"))*1))/(COUNTA(RD21:RF21)),"")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(5ème2)'!RK21:RM21,"A"))*4)+((COUNTIF('Elève (5ème2)'!RK21:RM21,"B"))*3)+((COUNTIF('Elève (5ème2)'!RK21:RM21,"C"))*2)+((COUNTIF('Elève (5ème2)'!RK21:RM21,"D"))*1))/(COUNTA(RK21:RM21)),"")</f>
        <v/>
      </c>
      <c r="RO20" s="107" t="str">
        <f t="shared" si="112"/>
        <v/>
      </c>
      <c r="RP20" s="204"/>
      <c r="RQ20" s="186"/>
      <c r="RR20" s="205"/>
      <c r="RS20" s="129" t="str">
        <f>IFERROR((((COUNTIF('Elève (5ème2)'!RP21:RR21,"A"))*4)+((COUNTIF('Elève (5ème2)'!RP21:RR21,"B"))*3)+((COUNTIF('Elève (5ème2)'!RP21:RR21,"C"))*2)+((COUNTIF('Elève (5ème2)'!RP21:RR21,"D"))*1))/(COUNTA(RP21:RR21)),"")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(5ème2)'!RU21:RW21,"A"))*4)+((COUNTIF('Elève (5ème2)'!RU21:RW21,"B"))*3)+((COUNTIF('Elève (5ème2)'!RU21:RW21,"C"))*2)+((COUNTIF('Elève (5ème2)'!RU21:RW21,"D"))*1))/(COUNTA(RU21:RW21)),"")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(5ème2)'!SB21:SD21,"A"))*4)+((COUNTIF('Elève (5ème2)'!SB21:SD21,"B"))*3)+((COUNTIF('Elève (5ème2)'!SB21:SD21,"C"))*2)+((COUNTIF('Elève (5ème2)'!SB21:SD21,"D"))*1))/(COUNTA(SB21:SD21)),"")</f>
        <v/>
      </c>
      <c r="SF20" s="107" t="str">
        <f t="shared" si="116"/>
        <v/>
      </c>
      <c r="SG20" s="204"/>
      <c r="SH20" s="186"/>
      <c r="SI20" s="205"/>
      <c r="SJ20" s="129" t="str">
        <f>IFERROR((((COUNTIF('Elève (5ème2)'!SG21:SI21,"A"))*4)+((COUNTIF('Elève (5ème2)'!SG21:SI21,"B"))*3)+((COUNTIF('Elève (5ème2)'!SG21:SI21,"C"))*2)+((COUNTIF('Elève (5ème2)'!SG21:SI21,"D"))*1))/(COUNTA(SG21:SI21)),"")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(5ème2)'!SL21:SN21,"A"))*4)+((COUNTIF('Elève (5ème2)'!SL21:SN21,"B"))*3)+((COUNTIF('Elève (5ème2)'!SL21:SN21,"C"))*2)+((COUNTIF('Elève (5ème2)'!SL21:SN21,"D"))*1))/(COUNTA(SL21:SN21)),"")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9" t="s">
        <v>25</v>
      </c>
      <c r="B21" s="230"/>
      <c r="C21" s="164"/>
      <c r="D21" s="165"/>
      <c r="E21" s="163"/>
      <c r="F21" s="114" t="str">
        <f>IFERROR((((COUNTIF('Elève (5ème2)'!C21:E21,"A"))*4)+((COUNTIF('Elève (5ème2)'!C21:E21,"B"))*3)+((COUNTIF('Elève (5ème2)'!C21:E21,"C"))*2)+((COUNTIF('Elève (5ème2)'!C21:E21,"D"))*1))/(COUNTA(C21:E21)),"")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(5ème2)'!H21:J21,"A"))*4)+((COUNTIF('Elève (5ème2)'!H21:J21,"B"))*3)+((COUNTIF('Elève (5ème2)'!H21:J21,"C"))*2)+((COUNTIF('Elève (5ème2)'!H21:J21,"D"))*1))/(COUNTA(H21:J21)),"")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(5ème2)'!M21:O21,"A"))*4)+((COUNTIF('Elève (5ème2)'!M21:O21,"B"))*3)+((COUNTIF('Elève (5ème2)'!M21:O21,"C"))*2)+((COUNTIF('Elève (5ème2)'!M21:O21,"D"))*1))/(COUNTA(M21:O21)),"")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(5ème2)'!T21:V21,"A"))*4)+((COUNTIF('Elève (5ème2)'!T21:V21,"B"))*3)+((COUNTIF('Elève (5ème2)'!T21:V21,"C"))*2)+((COUNTIF('Elève (5ème2)'!T21:V21,"D"))*1))/(COUNTA(T21:V21)),"")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(5ème2)'!Y21:AA21,"A"))*4)+((COUNTIF('Elève (5ème2)'!Y21:AA21,"B"))*3)+((COUNTIF('Elève (5ème2)'!Y21:AA21,"C"))*2)+((COUNTIF('Elève (5ème2)'!Y21:AA21,"D"))*1))/(COUNTA(Y21:AA21)),"")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(5ème2)'!AD21:AF21,"A"))*4)+((COUNTIF('Elève (5ème2)'!AD21:AF21,"B"))*3)+((COUNTIF('Elève (5ème2)'!AD21:AF21,"C"))*2)+((COUNTIF('Elève (5ème2)'!AD21:AF21,"D"))*1))/(COUNTA(AD21:AF21)),"")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(5ème2)'!AK21:AM21,"A"))*4)+((COUNTIF('Elève (5ème2)'!AK21:AM21,"B"))*3)+((COUNTIF('Elève (5ème2)'!AK21:AM21,"C"))*2)+((COUNTIF('Elève (5ème2)'!AK21:AM21,"D"))*1))/(COUNTA(AK21:AM21)),"")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(5ème2)'!AP21:AR21,"A"))*4)+((COUNTIF('Elève (5ème2)'!AP21:AR21,"B"))*3)+((COUNTIF('Elève (5ème2)'!AP21:AR21,"C"))*2)+((COUNTIF('Elève (5ème2)'!AP21:AR21,"D"))*1))/(COUNTA(AP21:AR21)),"")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(5ème2)'!AU21:AW21,"A"))*4)+((COUNTIF('Elève (5ème2)'!AU21:AW21,"B"))*3)+((COUNTIF('Elève (5ème2)'!AU21:AW21,"C"))*2)+((COUNTIF('Elève (5ème2)'!AU21:AW21,"D"))*1))/(COUNTA(AU21:AW21)),"")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(5ème2)'!BB21:BD21,"A"))*4)+((COUNTIF('Elève (5ème2)'!BB21:BD21,"B"))*3)+((COUNTIF('Elève (5ème2)'!BB21:BD21,"C"))*2)+((COUNTIF('Elève (5ème2)'!BB21:BD21,"D"))*1))/(COUNTA(BB21:BD21)),"")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(5ème2)'!BG21:BI21,"A"))*4)+((COUNTIF('Elève (5ème2)'!BG21:BI21,"B"))*3)+((COUNTIF('Elève (5ème2)'!BG21:BI21,"C"))*2)+((COUNTIF('Elève (5ème2)'!BG21:BI21,"D"))*1))/(COUNTA(BG21:BI21)),"")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(5ème2)'!BL21:BN21,"A"))*4)+((COUNTIF('Elève (5ème2)'!BL21:BN21,"B"))*3)+((COUNTIF('Elève (5ème2)'!BL21:BN21,"C"))*2)+((COUNTIF('Elève (5ème2)'!BL21:BN21,"D"))*1))/(COUNTA(BL21:BN21)),"")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(5ème2)'!BS21:BU21,"A"))*4)+((COUNTIF('Elève (5ème2)'!BS21:BU21,"B"))*3)+((COUNTIF('Elève (5ème2)'!BS21:BU21,"C"))*2)+((COUNTIF('Elève (5ème2)'!BS21:BU21,"D"))*1))/(COUNTA(BS21:BU21)),"")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(5ème2)'!BX21:BZ21,"A"))*4)+((COUNTIF('Elève (5ème2)'!BX21:BZ21,"B"))*3)+((COUNTIF('Elève (5ème2)'!BX21:BZ21,"C"))*2)+((COUNTIF('Elève (5ème2)'!BX21:BZ21,"D"))*1))/(COUNTA(BX21:BZ21)),"")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(5ème2)'!CC21:CE21,"A"))*4)+((COUNTIF('Elève (5ème2)'!CC21:CE21,"B"))*3)+((COUNTIF('Elève (5ème2)'!CC21:CE21,"C"))*2)+((COUNTIF('Elève (5ème2)'!CC21:CE21,"D"))*1))/(COUNTA(CC21:CE21)),"")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(5ème2)'!CJ21:CL21,"A"))*4)+((COUNTIF('Elève (5ème2)'!CJ21:CL21,"B"))*3)+((COUNTIF('Elève (5ème2)'!CJ21:CL21,"C"))*2)+((COUNTIF('Elève (5ème2)'!CJ21:CL21,"D"))*1))/(COUNTA(CJ21:CL21)),"")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(5ème2)'!CO21:CQ21,"A"))*4)+((COUNTIF('Elève (5ème2)'!CO21:CQ21,"B"))*3)+((COUNTIF('Elève (5ème2)'!CO21:CQ21,"C"))*2)+((COUNTIF('Elève (5ème2)'!CO21:CQ21,"D"))*1))/(COUNTA(CO21:CQ21)),"")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(5ème2)'!CT21:CV21,"A"))*4)+((COUNTIF('Elève (5ème2)'!CT21:CV21,"B"))*3)+((COUNTIF('Elève (5ème2)'!CT21:CV21,"C"))*2)+((COUNTIF('Elève (5ème2)'!CT21:CV21,"D"))*1))/(COUNTA(CT21:CV21)),"")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(5ème2)'!DA21:DC21,"A"))*4)+((COUNTIF('Elève (5ème2)'!DA21:DC21,"B"))*3)+((COUNTIF('Elève (5ème2)'!DA21:DC21,"C"))*2)+((COUNTIF('Elève (5ème2)'!DA21:DC21,"D"))*1))/(COUNTA(DA21:DC21)),"")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(5ème2)'!DF21:DH21,"A"))*4)+((COUNTIF('Elève (5ème2)'!DF21:DH21,"B"))*3)+((COUNTIF('Elève (5ème2)'!DF21:DH21,"C"))*2)+((COUNTIF('Elève (5ème2)'!DF21:DH21,"D"))*1))/(COUNTA(DF21:DH21)),"")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(5ème2)'!DK21:DM21,"A"))*4)+((COUNTIF('Elève (5ème2)'!DK21:DM21,"B"))*3)+((COUNTIF('Elève (5ème2)'!DK21:DM21,"C"))*2)+((COUNTIF('Elève (5ème2)'!DK21:DM21,"D"))*1))/(COUNTA(DK21:DM21)),"")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(5ème2)'!DR21:DT21,"A"))*4)+((COUNTIF('Elève (5ème2)'!DR21:DT21,"B"))*3)+((COUNTIF('Elève (5ème2)'!DR21:DT21,"C"))*2)+((COUNTIF('Elève (5ème2)'!DR21:DT21,"D"))*1))/(COUNTA(DR21:DT21)),"")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(5ème2)'!DW21:DY21,"A"))*4)+((COUNTIF('Elève (5ème2)'!DW21:DY21,"B"))*3)+((COUNTIF('Elève (5ème2)'!DW21:DY21,"C"))*2)+((COUNTIF('Elève (5ème2)'!DW21:DY21,"D"))*1))/(COUNTA(DW21:DY21)),"")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(5ème2)'!EB21:ED21,"A"))*4)+((COUNTIF('Elève (5ème2)'!EB21:ED21,"B"))*3)+((COUNTIF('Elève (5ème2)'!EB21:ED21,"C"))*2)+((COUNTIF('Elève (5ème2)'!EB21:ED21,"D"))*1))/(COUNTA(EB21:ED21)),"")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(5ème2)'!EI21:EK21,"A"))*4)+((COUNTIF('Elève (5ème2)'!EI21:EK21,"B"))*3)+((COUNTIF('Elève (5ème2)'!EI21:EK21,"C"))*2)+((COUNTIF('Elève (5ème2)'!EI21:EK21,"D"))*1))/(COUNTA(EI21:EK21)),"")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(5ème2)'!EN21:EP21,"A"))*4)+((COUNTIF('Elève (5ème2)'!EN21:EP21,"B"))*3)+((COUNTIF('Elève (5ème2)'!EN21:EP21,"C"))*2)+((COUNTIF('Elève (5ème2)'!EN21:EP21,"D"))*1))/(COUNTA(EN21:EP21)),"")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(5ème2)'!ES21:EU21,"A"))*4)+((COUNTIF('Elève (5ème2)'!ES21:EU21,"B"))*3)+((COUNTIF('Elève (5ème2)'!ES21:EU21,"C"))*2)+((COUNTIF('Elève (5ème2)'!ES21:EU21,"D"))*1))/(COUNTA(ES21:EU21)),"")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(5ème2)'!EZ21:FB21,"A"))*4)+((COUNTIF('Elève (5ème2)'!EZ21:FB21,"B"))*3)+((COUNTIF('Elève (5ème2)'!EZ21:FB21,"C"))*2)+((COUNTIF('Elève (5ème2)'!EZ21:FB21,"D"))*1))/(COUNTA(EZ21:FB21)),"")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(5ème2)'!FE21:FG21,"A"))*4)+((COUNTIF('Elève (5ème2)'!FE21:FG21,"B"))*3)+((COUNTIF('Elève (5ème2)'!FE21:FG21,"C"))*2)+((COUNTIF('Elève (5ème2)'!FE21:FG21,"D"))*1))/(COUNTA(FE21:FG21)),"")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(5ème2)'!FJ21:FL21,"A"))*4)+((COUNTIF('Elève (5ème2)'!FJ21:FL21,"B"))*3)+((COUNTIF('Elève (5ème2)'!FJ21:FL21,"C"))*2)+((COUNTIF('Elève (5ème2)'!FJ21:FL21,"D"))*1))/(COUNTA(FJ21:FL21)),"")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(5ème2)'!FQ21:FS21,"A"))*4)+((COUNTIF('Elève (5ème2)'!FQ21:FS21,"B"))*3)+((COUNTIF('Elève (5ème2)'!FQ21:FS21,"C"))*2)+((COUNTIF('Elève (5ème2)'!FQ21:FS21,"D"))*1))/(COUNTA(FQ21:FS21)),"")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(5ème2)'!FV21:FX21,"A"))*4)+((COUNTIF('Elève (5ème2)'!FV21:FX21,"B"))*3)+((COUNTIF('Elève (5ème2)'!FV21:FX21,"C"))*2)+((COUNTIF('Elève (5ème2)'!FV21:FX21,"D"))*1))/(COUNTA(FV21:FX21)),"")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(5ème2)'!GA21:GC21,"A"))*4)+((COUNTIF('Elève (5ème2)'!GA21:GC21,"B"))*3)+((COUNTIF('Elève (5ème2)'!GA21:GC21,"C"))*2)+((COUNTIF('Elève (5ème2)'!GA21:GC21,"D"))*1))/(COUNTA(GA21:GC21)),"")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(5ème2)'!GH21:GJ21,"A"))*4)+((COUNTIF('Elève (5ème2)'!GH21:GJ21,"B"))*3)+((COUNTIF('Elève (5ème2)'!GH21:GJ21,"C"))*2)+((COUNTIF('Elève (5ème2)'!GH21:GJ21,"D"))*1))/(COUNTA(GH21:GJ21)),"")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(5ème2)'!GM21:GO21,"A"))*4)+((COUNTIF('Elève (5ème2)'!GM21:GO21,"B"))*3)+((COUNTIF('Elève (5ème2)'!GM21:GO21,"C"))*2)+((COUNTIF('Elève (5ème2)'!GM21:GO21,"D"))*1))/(COUNTA(GM21:GO21)),"")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(5ème2)'!GR21:GT21,"A"))*4)+((COUNTIF('Elève (5ème2)'!GR21:GT21,"B"))*3)+((COUNTIF('Elève (5ème2)'!GR21:GT21,"C"))*2)+((COUNTIF('Elève (5ème2)'!GR21:GT21,"D"))*1))/(COUNTA(GR21:GT21)),"")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(5ème2)'!GY21:HA21,"A"))*4)+((COUNTIF('Elève (5ème2)'!GY21:HA21,"B"))*3)+((COUNTIF('Elève (5ème2)'!GY21:HA21,"C"))*2)+((COUNTIF('Elève (5ème2)'!GY21:HA21,"D"))*1))/(COUNTA(GY21:HA21)),"")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(5ème2)'!HD21:HF21,"A"))*4)+((COUNTIF('Elève (5ème2)'!HD21:HF21,"B"))*3)+((COUNTIF('Elève (5ème2)'!HD21:HF21,"C"))*2)+((COUNTIF('Elève (5ème2)'!HD21:HF21,"D"))*1))/(COUNTA(HD21:HF21)),"")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(5ème2)'!HI21:HK21,"A"))*4)+((COUNTIF('Elève (5ème2)'!HI21:HK21,"B"))*3)+((COUNTIF('Elève (5ème2)'!HI21:HK21,"C"))*2)+((COUNTIF('Elève (5ème2)'!HI21:HK21,"D"))*1))/(COUNTA(HI21:HK21)),"")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(5ème2)'!HP21:HR21,"A"))*4)+((COUNTIF('Elève (5ème2)'!HP21:HR21,"B"))*3)+((COUNTIF('Elève (5ème2)'!HP21:HR21,"C"))*2)+((COUNTIF('Elève (5ème2)'!HP21:HR21,"D"))*1))/(COUNTA(HP21:HR21)),"")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(5ème2)'!HU21:HW21,"A"))*4)+((COUNTIF('Elève (5ème2)'!HU21:HW21,"B"))*3)+((COUNTIF('Elève (5ème2)'!HU21:HW21,"C"))*2)+((COUNTIF('Elève (5ème2)'!HU21:HW21,"D"))*1))/(COUNTA(HU21:HW21)),"")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(5ème2)'!HZ21:IB21,"A"))*4)+((COUNTIF('Elève (5ème2)'!HZ21:IB21,"B"))*3)+((COUNTIF('Elève (5ème2)'!HZ21:IB21,"C"))*2)+((COUNTIF('Elève (5ème2)'!HZ21:IB21,"D"))*1))/(COUNTA(HZ21:IB21)),"")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(5ème2)'!IG21:II21,"A"))*4)+((COUNTIF('Elève (5ème2)'!IG21:II21,"B"))*3)+((COUNTIF('Elève (5ème2)'!IG21:II21,"C"))*2)+((COUNTIF('Elève (5ème2)'!IG21:II21,"D"))*1))/(COUNTA(IG21:II21)),"")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(5ème2)'!IL21:IN21,"A"))*4)+((COUNTIF('Elève (5ème2)'!IL21:IN21,"B"))*3)+((COUNTIF('Elève (5ème2)'!IL21:IN21,"C"))*2)+((COUNTIF('Elève (5ème2)'!IL21:IN21,"D"))*1))/(COUNTA(IL21:IN21)),"")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(5ème2)'!IQ21:IS21,"A"))*4)+((COUNTIF('Elève (5ème2)'!IQ21:IS21,"B"))*3)+((COUNTIF('Elève (5ème2)'!IQ21:IS21,"C"))*2)+((COUNTIF('Elève (5ème2)'!IQ21:IS21,"D"))*1))/(COUNTA(IQ21:IS21)),"")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(5ème2)'!IX21:IZ21,"A"))*4)+((COUNTIF('Elève (5ème2)'!IX21:IZ21,"B"))*3)+((COUNTIF('Elève (5ème2)'!IX21:IZ21,"C"))*2)+((COUNTIF('Elève (5ème2)'!IX21:IZ21,"D"))*1))/(COUNTA(IX21:IZ21)),"")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(5ème2)'!JC21:JE21,"A"))*4)+((COUNTIF('Elève (5ème2)'!JC21:JE21,"B"))*3)+((COUNTIF('Elève (5ème2)'!JC21:JE21,"C"))*2)+((COUNTIF('Elève (5ème2)'!JC21:JE21,"D"))*1))/(COUNTA(JC21:JE21)),"")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(5ème2)'!JH21:JJ21,"A"))*4)+((COUNTIF('Elève (5ème2)'!JH21:JJ21,"B"))*3)+((COUNTIF('Elève (5ème2)'!JH21:JJ21,"C"))*2)+((COUNTIF('Elève (5ème2)'!JH21:JJ21,"D"))*1))/(COUNTA(JH21:JJ21)),"")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(5ème2)'!JO21:JQ21,"A"))*4)+((COUNTIF('Elève (5ème2)'!JO21:JQ21,"B"))*3)+((COUNTIF('Elève (5ème2)'!JO21:JQ21,"C"))*2)+((COUNTIF('Elève (5ème2)'!JO21:JQ21,"D"))*1))/(COUNTA(JO21:JQ21)),"")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(5ème2)'!JT21:JV21,"A"))*4)+((COUNTIF('Elève (5ème2)'!JT21:JV21,"B"))*3)+((COUNTIF('Elève (5ème2)'!JT21:JV21,"C"))*2)+((COUNTIF('Elève (5ème2)'!JT21:JV21,"D"))*1))/(COUNTA(JT21:JV21)),"")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(5ème2)'!JY21:KA21,"A"))*4)+((COUNTIF('Elève (5ème2)'!JY21:KA21,"B"))*3)+((COUNTIF('Elève (5ème2)'!JY21:KA21,"C"))*2)+((COUNTIF('Elève (5ème2)'!JY21:KA21,"D"))*1))/(COUNTA(JY21:KA21)),"")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(5ème2)'!KF21:KH21,"A"))*4)+((COUNTIF('Elève (5ème2)'!KF21:KH21,"B"))*3)+((COUNTIF('Elève (5ème2)'!KF21:KH21,"C"))*2)+((COUNTIF('Elève (5ème2)'!KF21:KH21,"D"))*1))/(COUNTA(KF21:KH21)),"")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(5ème2)'!KK21:KM21,"A"))*4)+((COUNTIF('Elève (5ème2)'!KK21:KM21,"B"))*3)+((COUNTIF('Elève (5ème2)'!KK21:KM21,"C"))*2)+((COUNTIF('Elève (5ème2)'!KK21:KM21,"D"))*1))/(COUNTA(KK21:KM21)),"")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(5ème2)'!KP21:KR21,"A"))*4)+((COUNTIF('Elève (5ème2)'!KP21:KR21,"B"))*3)+((COUNTIF('Elève (5ème2)'!KP21:KR21,"C"))*2)+((COUNTIF('Elève (5ème2)'!KP21:KR21,"D"))*1))/(COUNTA(KP21:KR21)),"")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(5ème2)'!KW21:KY21,"A"))*4)+((COUNTIF('Elève (5ème2)'!KW21:KY21,"B"))*3)+((COUNTIF('Elève (5ème2)'!KW21:KY21,"C"))*2)+((COUNTIF('Elève (5ème2)'!KW21:KY21,"D"))*1))/(COUNTA(KW21:KY21)),"")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(5ème2)'!LB21:LD21,"A"))*4)+((COUNTIF('Elève (5ème2)'!LB21:LD21,"B"))*3)+((COUNTIF('Elève (5ème2)'!LB21:LD21,"C"))*2)+((COUNTIF('Elève (5ème2)'!LB21:LD21,"D"))*1))/(COUNTA(LB21:LD21)),"")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(5ème2)'!LG21:LI21,"A"))*4)+((COUNTIF('Elève (5ème2)'!LG21:LI21,"B"))*3)+((COUNTIF('Elève (5ème2)'!LG21:LI21,"C"))*2)+((COUNTIF('Elève (5ème2)'!LG21:LI21,"D"))*1))/(COUNTA(LG21:LI21)),"")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(5ème2)'!LN21:LP21,"A"))*4)+((COUNTIF('Elève (5ème2)'!LN21:LP21,"B"))*3)+((COUNTIF('Elève (5ème2)'!LN21:LP21,"C"))*2)+((COUNTIF('Elève (5ème2)'!LN21:LP21,"D"))*1))/(COUNTA(LN21:LP21)),"")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(5ème2)'!LS21:LU21,"A"))*4)+((COUNTIF('Elève (5ème2)'!LS21:LU21,"B"))*3)+((COUNTIF('Elève (5ème2)'!LS21:LU21,"C"))*2)+((COUNTIF('Elève (5ème2)'!LS21:LU21,"D"))*1))/(COUNTA(LS21:LU21)),"")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(5ème2)'!LX21:LZ21,"A"))*4)+((COUNTIF('Elève (5ème2)'!LX21:LZ21,"B"))*3)+((COUNTIF('Elève (5ème2)'!LX21:LZ21,"C"))*2)+((COUNTIF('Elève (5ème2)'!LX21:LZ21,"D"))*1))/(COUNTA(LX21:LZ21)),"")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(5ème2)'!ME21:MG21,"A"))*4)+((COUNTIF('Elève (5ème2)'!ME21:MG21,"B"))*3)+((COUNTIF('Elève (5ème2)'!ME21:MG21,"C"))*2)+((COUNTIF('Elève (5ème2)'!ME21:MG21,"D"))*1))/(COUNTA(ME21:MG21)),"")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(5ème2)'!MJ21:ML21,"A"))*4)+((COUNTIF('Elève (5ème2)'!MJ21:ML21,"B"))*3)+((COUNTIF('Elève (5ème2)'!MJ21:ML21,"C"))*2)+((COUNTIF('Elève (5ème2)'!MJ21:ML21,"D"))*1))/(COUNTA(MJ21:ML21)),"")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(5ème2)'!MO21:MQ21,"A"))*4)+((COUNTIF('Elève (5ème2)'!MO21:MQ21,"B"))*3)+((COUNTIF('Elève (5ème2)'!MO21:MQ21,"C"))*2)+((COUNTIF('Elève (5ème2)'!MO21:MQ21,"D"))*1))/(COUNTA(MO21:MQ21)),"")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(5ème2)'!MV21:MX21,"A"))*4)+((COUNTIF('Elève (5ème2)'!MV21:MX21,"B"))*3)+((COUNTIF('Elève (5ème2)'!MV21:MX21,"C"))*2)+((COUNTIF('Elève (5ème2)'!MV21:MX21,"D"))*1))/(COUNTA(MV21:MX21)),"")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(5ème2)'!NA21:NC21,"A"))*4)+((COUNTIF('Elève (5ème2)'!NA21:NC21,"B"))*3)+((COUNTIF('Elève (5ème2)'!NA21:NC21,"C"))*2)+((COUNTIF('Elève (5ème2)'!NA21:NC21,"D"))*1))/(COUNTA(NA21:NC21)),"")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(5ème2)'!NF21:NH21,"A"))*4)+((COUNTIF('Elève (5ème2)'!NF21:NH21,"B"))*3)+((COUNTIF('Elève (5ème2)'!NF21:NH21,"C"))*2)+((COUNTIF('Elève (5ème2)'!NF21:NH21,"D"))*1))/(COUNTA(NF21:NH21)),"")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(5ème2)'!NM21:NO21,"A"))*4)+((COUNTIF('Elève (5ème2)'!NM21:NO21,"B"))*3)+((COUNTIF('Elève (5ème2)'!NM21:NO21,"C"))*2)+((COUNTIF('Elève (5ème2)'!NM21:NO21,"D"))*1))/(COUNTA(NM21:NO21)),"")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(5ème2)'!NR21:NT21,"A"))*4)+((COUNTIF('Elève (5ème2)'!NR21:NT21,"B"))*3)+((COUNTIF('Elève (5ème2)'!NR21:NT21,"C"))*2)+((COUNTIF('Elève (5ème2)'!NR21:NT21,"D"))*1))/(COUNTA(NR21:NT21)),"")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(5ème2)'!NW21:NY21,"A"))*4)+((COUNTIF('Elève (5ème2)'!NW21:NY21,"B"))*3)+((COUNTIF('Elève (5ème2)'!NW21:NY21,"C"))*2)+((COUNTIF('Elève (5ème2)'!NW21:NY21,"D"))*1))/(COUNTA(NW21:NY21)),"")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(5ème2)'!OD21:OF21,"A"))*4)+((COUNTIF('Elève (5ème2)'!OD21:OF21,"B"))*3)+((COUNTIF('Elève (5ème2)'!OD21:OF21,"C"))*2)+((COUNTIF('Elève (5ème2)'!OD21:OF21,"D"))*1))/(COUNTA(OD21:OF21)),"")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(5ème2)'!OI21:OK21,"A"))*4)+((COUNTIF('Elève (5ème2)'!OI21:OK21,"B"))*3)+((COUNTIF('Elève (5ème2)'!OI21:OK21,"C"))*2)+((COUNTIF('Elève (5ème2)'!OI21:OK21,"D"))*1))/(COUNTA(OI21:OK21)),"")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(5ème2)'!ON21:OP21,"A"))*4)+((COUNTIF('Elève (5ème2)'!ON21:OP21,"B"))*3)+((COUNTIF('Elève (5ème2)'!ON21:OP21,"C"))*2)+((COUNTIF('Elève (5ème2)'!ON21:OP21,"D"))*1))/(COUNTA(ON21:OP21)),"")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(5ème2)'!OU21:OW21,"A"))*4)+((COUNTIF('Elève (5ème2)'!OU21:OW21,"B"))*3)+((COUNTIF('Elève (5ème2)'!OU21:OW21,"C"))*2)+((COUNTIF('Elève (5ème2)'!OU21:OW21,"D"))*1))/(COUNTA(OU21:OW21)),"")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(5ème2)'!OZ21:PB21,"A"))*4)+((COUNTIF('Elève (5ème2)'!OZ21:PB21,"B"))*3)+((COUNTIF('Elève (5ème2)'!OZ21:PB21,"C"))*2)+((COUNTIF('Elève (5ème2)'!OZ21:PB21,"D"))*1))/(COUNTA(OZ21:PB21)),"")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(5ème2)'!PE21:PG21,"A"))*4)+((COUNTIF('Elève (5ème2)'!PE21:PG21,"B"))*3)+((COUNTIF('Elève (5ème2)'!PE21:PG21,"C"))*2)+((COUNTIF('Elève (5ème2)'!PE21:PG21,"D"))*1))/(COUNTA(PE21:PG21)),"")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(5ème2)'!PL21:PN21,"A"))*4)+((COUNTIF('Elève (5ème2)'!PL21:PN21,"B"))*3)+((COUNTIF('Elève (5ème2)'!PL21:PN21,"C"))*2)+((COUNTIF('Elève (5ème2)'!PL21:PN21,"D"))*1))/(COUNTA(PL21:PN21)),"")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(5ème2)'!PQ21:PS21,"A"))*4)+((COUNTIF('Elève (5ème2)'!PQ21:PS21,"B"))*3)+((COUNTIF('Elève (5ème2)'!PQ21:PS21,"C"))*2)+((COUNTIF('Elève (5ème2)'!PQ21:PS21,"D"))*1))/(COUNTA(PQ21:PS21)),"")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(5ème2)'!PV21:PX21,"A"))*4)+((COUNTIF('Elève (5ème2)'!PV21:PX21,"B"))*3)+((COUNTIF('Elève (5ème2)'!PV21:PX21,"C"))*2)+((COUNTIF('Elève (5ème2)'!PV21:PX21,"D"))*1))/(COUNTA(PV21:PX21)),"")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(5ème2)'!QC21:QE21,"A"))*4)+((COUNTIF('Elève (5ème2)'!QC21:QE21,"B"))*3)+((COUNTIF('Elève (5ème2)'!QC21:QE21,"C"))*2)+((COUNTIF('Elève (5ème2)'!QC21:QE21,"D"))*1))/(COUNTA(QC21:QE21)),"")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(5ème2)'!QH21:QJ21,"A"))*4)+((COUNTIF('Elève (5ème2)'!QH21:QJ21,"B"))*3)+((COUNTIF('Elève (5ème2)'!QH21:QJ21,"C"))*2)+((COUNTIF('Elève (5ème2)'!QH21:QJ21,"D"))*1))/(COUNTA(QH21:QJ21)),"")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(5ème2)'!QM21:QO21,"A"))*4)+((COUNTIF('Elève (5ème2)'!QM21:QO21,"B"))*3)+((COUNTIF('Elève (5ème2)'!QM21:QO21,"C"))*2)+((COUNTIF('Elève (5ème2)'!QM21:QO21,"D"))*1))/(COUNTA(QM21:QO21)),"")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(5ème2)'!QT21:QV21,"A"))*4)+((COUNTIF('Elève (5ème2)'!QT21:QV21,"B"))*3)+((COUNTIF('Elève (5ème2)'!QT21:QV21,"C"))*2)+((COUNTIF('Elève (5ème2)'!QT21:QV21,"D"))*1))/(COUNTA(QT21:QV21)),"")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(5ème2)'!QY21:RA21,"A"))*4)+((COUNTIF('Elève (5ème2)'!QY21:RA21,"B"))*3)+((COUNTIF('Elève (5ème2)'!QY21:RA21,"C"))*2)+((COUNTIF('Elève (5ème2)'!QY21:RA21,"D"))*1))/(COUNTA(QY21:RA21)),"")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(5ème2)'!RD21:RF21,"A"))*4)+((COUNTIF('Elève (5ème2)'!RD21:RF21,"B"))*3)+((COUNTIF('Elève (5ème2)'!RD21:RF21,"C"))*2)+((COUNTIF('Elève (5ème2)'!RD21:RF21,"D"))*1))/(COUNTA(RD21:RF21)),"")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(5ème2)'!RK21:RM21,"A"))*4)+((COUNTIF('Elève (5ème2)'!RK21:RM21,"B"))*3)+((COUNTIF('Elève (5ème2)'!RK21:RM21,"C"))*2)+((COUNTIF('Elève (5ème2)'!RK21:RM21,"D"))*1))/(COUNTA(RK21:RM21)),"")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(5ème2)'!RP21:RR21,"A"))*4)+((COUNTIF('Elève (5ème2)'!RP21:RR21,"B"))*3)+((COUNTIF('Elève (5ème2)'!RP21:RR21,"C"))*2)+((COUNTIF('Elève (5ème2)'!RP21:RR21,"D"))*1))/(COUNTA(RP21:RR21)),"")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(5ème2)'!RU21:RW21,"A"))*4)+((COUNTIF('Elève (5ème2)'!RU21:RW21,"B"))*3)+((COUNTIF('Elève (5ème2)'!RU21:RW21,"C"))*2)+((COUNTIF('Elève (5ème2)'!RU21:RW21,"D"))*1))/(COUNTA(RU21:RW21)),"")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(5ème2)'!SB21:SD21,"A"))*4)+((COUNTIF('Elève (5ème2)'!SB21:SD21,"B"))*3)+((COUNTIF('Elève (5ème2)'!SB21:SD21,"C"))*2)+((COUNTIF('Elève (5ème2)'!SB21:SD21,"D"))*1))/(COUNTA(SB21:SD21)),"")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(5ème2)'!SG21:SI21,"A"))*4)+((COUNTIF('Elève (5ème2)'!SG21:SI21,"B"))*3)+((COUNTIF('Elève (5ème2)'!SG21:SI21,"C"))*2)+((COUNTIF('Elève (5ème2)'!SG21:SI21,"D"))*1))/(COUNTA(SG21:SI21)),"")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(5ème2)'!SL21:SN21,"A"))*4)+((COUNTIF('Elève (5ème2)'!SL21:SN21,"B"))*3)+((COUNTIF('Elève (5ème2)'!SL21:SN21,"C"))*2)+((COUNTIF('Elève (5ème2)'!SL21:SN21,"D"))*1))/(COUNTA(SL21:SN21)),"")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31" t="s">
        <v>26</v>
      </c>
      <c r="B22" s="232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TO184wGgXXP7z+kIBTf0mzbOamlY1/JOQd724yKTrX2B0zKTWGCrXcYN55OD2avtdadQbjyaYd1TdQ/1IN3f+A==" saltValue="UGmKoOLcuazQHBjVz/kfuw==" spinCount="100000" sheet="1" insertColumns="0" deleteColumns="0" selectLockedCells="1"/>
  <dataConsolidate/>
  <mergeCells count="15">
    <mergeCell ref="A9:B9"/>
    <mergeCell ref="A1:B1"/>
    <mergeCell ref="A5:B5"/>
    <mergeCell ref="A6:B6"/>
    <mergeCell ref="A7:B7"/>
    <mergeCell ref="A8:B8"/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215</v>
      </c>
      <c r="B1" s="206" t="s">
        <v>0</v>
      </c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7"/>
      <c r="AC1" s="38" t="s">
        <v>40</v>
      </c>
    </row>
    <row r="2" spans="1:29" ht="24.95" customHeight="1" thickTop="1" x14ac:dyDescent="0.25">
      <c r="A2" s="208" t="s">
        <v>1</v>
      </c>
      <c r="B2" s="210" t="s">
        <v>2</v>
      </c>
      <c r="C2" s="210"/>
      <c r="D2" s="210"/>
      <c r="E2" s="211"/>
      <c r="F2" s="212" t="s">
        <v>3</v>
      </c>
      <c r="G2" s="213"/>
      <c r="H2" s="213"/>
      <c r="I2" s="214"/>
      <c r="J2" s="212" t="s">
        <v>4</v>
      </c>
      <c r="K2" s="213"/>
      <c r="L2" s="213"/>
      <c r="M2" s="214"/>
      <c r="N2" s="212" t="s">
        <v>5</v>
      </c>
      <c r="O2" s="213"/>
      <c r="P2" s="213"/>
      <c r="Q2" s="214"/>
      <c r="R2" s="212" t="s">
        <v>6</v>
      </c>
      <c r="S2" s="213"/>
      <c r="T2" s="213"/>
      <c r="U2" s="214"/>
      <c r="V2" s="215" t="s">
        <v>38</v>
      </c>
      <c r="W2" s="216"/>
      <c r="X2" s="217"/>
      <c r="Y2" s="218" t="s">
        <v>36</v>
      </c>
      <c r="Z2" s="219"/>
      <c r="AA2" s="220"/>
      <c r="AC2" s="47" t="s">
        <v>63</v>
      </c>
    </row>
    <row r="3" spans="1:29" ht="24.95" customHeight="1" thickBot="1" x14ac:dyDescent="0.3">
      <c r="A3" s="209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46</v>
      </c>
    </row>
    <row r="4" spans="1:29" ht="15.75" customHeight="1" thickTop="1" x14ac:dyDescent="0.25">
      <c r="A4" s="44" t="str">
        <f ca="1">CELL("contenu",INDIRECT(ADDRESS(ROW()-2,5,1,,CELL("contenu",$AC$3))))</f>
        <v>ANDRE Gabrielle</v>
      </c>
      <c r="B4" s="1" t="str">
        <f ca="1">CELL("contenu",INDIRECT(ADDRESS(ref!$K$3,ref!E3,1,,CELL("contenu",$AC$2))))</f>
        <v>C</v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>C</v>
      </c>
      <c r="F4" s="5" t="str">
        <f ca="1">CELL("contenu",INDIRECT(ADDRESS(ref!$K$4,ref!E3,1,,CELL("contenu",$AC$2))))</f>
        <v>B</v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>B</v>
      </c>
      <c r="J4" s="5" t="str">
        <f ca="1">CELL("contenu",INDIRECT(ADDRESS(ref!$K$5,ref!E3,1,,CELL("contenu",$AC$2))))</f>
        <v>B</v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>B</v>
      </c>
      <c r="N4" s="5" t="str">
        <f ca="1">CELL("contenu",INDIRECT(ADDRESS(ref!$K$6,ref!E3,1,,CELL("contenu",$AC$2))))</f>
        <v>A</v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>A</v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>
        <f ca="1">CELL("contenu",INDIRECT(ADDRESS(ref!$K$8,ref!E3,1,,CELL("contenu",$AC$2))))</f>
        <v>15.625</v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>B</v>
      </c>
      <c r="Z4" s="3" t="str">
        <f ca="1">CELL("contenu",INDIRECT(ADDRESS(ref!$K$10,ref!H3,1,,CELL("contenu",$AC$2))))</f>
        <v>B</v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CELL("contenu",INDIRECT(ADDRESS(ROW()-2,5,1,,CELL("contenu",$AC$3))))</f>
        <v>AOUSTIN Jeanne</v>
      </c>
      <c r="B5" s="1" t="str">
        <f ca="1">CELL("contenu",INDIRECT(ADDRESS(ref!$K$3,ref!E4,1,,CELL("contenu",$AC$2))))</f>
        <v>B</v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>B</v>
      </c>
      <c r="F5" s="5" t="str">
        <f ca="1">CELL("contenu",INDIRECT(ADDRESS(ref!$K$4,ref!E4,1,,CELL("contenu",$AC$2))))</f>
        <v>A</v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>A</v>
      </c>
      <c r="J5" s="5" t="str">
        <f ca="1">CELL("contenu",INDIRECT(ADDRESS(ref!$K$5,ref!E4,1,,CELL("contenu",$AC$2))))</f>
        <v>A</v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>A</v>
      </c>
      <c r="N5" s="5" t="str">
        <f ca="1">CELL("contenu",INDIRECT(ADDRESS(ref!$K$6,ref!E4,1,,CELL("contenu",$AC$2))))</f>
        <v>A</v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>A</v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>
        <f ca="1">CELL("contenu",INDIRECT(ADDRESS(ref!$K$8,ref!E4,1,,CELL("contenu",$AC$2))))</f>
        <v>18.75</v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>A</v>
      </c>
      <c r="Z5" s="3" t="str">
        <f ca="1">CELL("contenu",INDIRECT(ADDRESS(ref!$K$10,ref!H4,1,,CELL("contenu",$AC$2))))</f>
        <v>A</v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BAHNES Sawsane</v>
      </c>
      <c r="B6" s="1" t="str">
        <f ca="1">CELL("contenu",INDIRECT(ADDRESS(ref!$K$3,ref!E5,1,,CELL("contenu",$AC$2))))</f>
        <v>B</v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>B</v>
      </c>
      <c r="F6" s="5" t="str">
        <f ca="1">CELL("contenu",INDIRECT(ADDRESS(ref!$K$4,ref!E5,1,,CELL("contenu",$AC$2))))</f>
        <v>A</v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>A</v>
      </c>
      <c r="J6" s="5" t="str">
        <f ca="1">CELL("contenu",INDIRECT(ADDRESS(ref!$K$5,ref!E5,1,,CELL("contenu",$AC$2))))</f>
        <v>A</v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>A</v>
      </c>
      <c r="N6" s="5" t="str">
        <f ca="1">CELL("contenu",INDIRECT(ADDRESS(ref!$K$6,ref!E5,1,,CELL("contenu",$AC$2))))</f>
        <v>A</v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>A</v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>
        <f ca="1">CELL("contenu",INDIRECT(ADDRESS(ref!$K$8,ref!E5,1,,CELL("contenu",$AC$2))))</f>
        <v>18.75</v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>A</v>
      </c>
      <c r="Z6" s="3" t="str">
        <f ca="1">CELL("contenu",INDIRECT(ADDRESS(ref!$K$10,ref!H5,1,,CELL("contenu",$AC$2))))</f>
        <v>A</v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BARCAT Eliette</v>
      </c>
      <c r="B7" s="1" t="str">
        <f ca="1">CELL("contenu",INDIRECT(ADDRESS(ref!$K$3,ref!E6,1,,CELL("contenu",$AC$2))))</f>
        <v>B</v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>B</v>
      </c>
      <c r="F7" s="5" t="str">
        <f ca="1">CELL("contenu",INDIRECT(ADDRESS(ref!$K$4,ref!E6,1,,CELL("contenu",$AC$2))))</f>
        <v>A</v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>A</v>
      </c>
      <c r="J7" s="5" t="str">
        <f ca="1">CELL("contenu",INDIRECT(ADDRESS(ref!$K$5,ref!E6,1,,CELL("contenu",$AC$2))))</f>
        <v>B</v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>B</v>
      </c>
      <c r="N7" s="5" t="str">
        <f ca="1">CELL("contenu",INDIRECT(ADDRESS(ref!$K$6,ref!E6,1,,CELL("contenu",$AC$2))))</f>
        <v>A</v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>A</v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>
        <f ca="1">CELL("contenu",INDIRECT(ADDRESS(ref!$K$8,ref!E6,1,,CELL("contenu",$AC$2))))</f>
        <v>18.125</v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>A</v>
      </c>
      <c r="Z7" s="3" t="str">
        <f ca="1">CELL("contenu",INDIRECT(ADDRESS(ref!$K$10,ref!H6,1,,CELL("contenu",$AC$2))))</f>
        <v>A</v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BERTHIER Leeloo</v>
      </c>
      <c r="B8" s="1" t="str">
        <f ca="1">CELL("contenu",INDIRECT(ADDRESS(ref!$K$3,ref!E7,1,,CELL("contenu",$AC$2))))</f>
        <v>C</v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>C</v>
      </c>
      <c r="F8" s="5" t="str">
        <f ca="1">CELL("contenu",INDIRECT(ADDRESS(ref!$K$4,ref!E7,1,,CELL("contenu",$AC$2))))</f>
        <v>B</v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>B</v>
      </c>
      <c r="J8" s="5" t="str">
        <f ca="1">CELL("contenu",INDIRECT(ADDRESS(ref!$K$5,ref!E7,1,,CELL("contenu",$AC$2))))</f>
        <v>A</v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>A</v>
      </c>
      <c r="N8" s="5" t="str">
        <f ca="1">CELL("contenu",INDIRECT(ADDRESS(ref!$K$6,ref!E7,1,,CELL("contenu",$AC$2))))</f>
        <v>B</v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>B</v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>
        <f ca="1">CELL("contenu",INDIRECT(ADDRESS(ref!$K$8,ref!E7,1,,CELL("contenu",$AC$2))))</f>
        <v>14.375</v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>B</v>
      </c>
      <c r="Z8" s="3" t="str">
        <f ca="1">CELL("contenu",INDIRECT(ADDRESS(ref!$K$10,ref!H7,1,,CELL("contenu",$AC$2))))</f>
        <v>B</v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BERTRAND--BEYNEIX Hugo</v>
      </c>
      <c r="B9" s="1" t="str">
        <f ca="1">CELL("contenu",INDIRECT(ADDRESS(ref!$K$3,ref!E8,1,,CELL("contenu",$AC$2))))</f>
        <v>B</v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>B</v>
      </c>
      <c r="F9" s="5" t="str">
        <f ca="1">CELL("contenu",INDIRECT(ADDRESS(ref!$K$4,ref!E8,1,,CELL("contenu",$AC$2))))</f>
        <v>A</v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>A</v>
      </c>
      <c r="J9" s="5" t="str">
        <f ca="1">CELL("contenu",INDIRECT(ADDRESS(ref!$K$5,ref!E8,1,,CELL("contenu",$AC$2))))</f>
        <v>B</v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>B</v>
      </c>
      <c r="N9" s="5" t="str">
        <f ca="1">CELL("contenu",INDIRECT(ADDRESS(ref!$K$6,ref!E8,1,,CELL("contenu",$AC$2))))</f>
        <v>A</v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>A</v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>
        <f ca="1">CELL("contenu",INDIRECT(ADDRESS(ref!$K$8,ref!E8,1,,CELL("contenu",$AC$2))))</f>
        <v>18.125</v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>A</v>
      </c>
      <c r="Z9" s="3" t="str">
        <f ca="1">CELL("contenu",INDIRECT(ADDRESS(ref!$K$10,ref!H8,1,,CELL("contenu",$AC$2))))</f>
        <v>A</v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BOSC--FERTE Adam</v>
      </c>
      <c r="B10" s="1" t="str">
        <f ca="1">CELL("contenu",INDIRECT(ADDRESS(ref!$K$3,ref!E9,1,,CELL("contenu",$AC$2))))</f>
        <v>B</v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>B</v>
      </c>
      <c r="F10" s="5" t="str">
        <f ca="1">CELL("contenu",INDIRECT(ADDRESS(ref!$K$4,ref!E9,1,,CELL("contenu",$AC$2))))</f>
        <v>B</v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>B</v>
      </c>
      <c r="J10" s="5" t="str">
        <f ca="1">CELL("contenu",INDIRECT(ADDRESS(ref!$K$5,ref!E9,1,,CELL("contenu",$AC$2))))</f>
        <v>B</v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>B</v>
      </c>
      <c r="N10" s="5" t="str">
        <f ca="1">CELL("contenu",INDIRECT(ADDRESS(ref!$K$6,ref!E9,1,,CELL("contenu",$AC$2))))</f>
        <v>A</v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>A</v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>
        <f ca="1">CELL("contenu",INDIRECT(ADDRESS(ref!$K$8,ref!E9,1,,CELL("contenu",$AC$2))))</f>
        <v>17.5</v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>B</v>
      </c>
      <c r="Z10" s="3" t="str">
        <f ca="1">CELL("contenu",INDIRECT(ADDRESS(ref!$K$10,ref!H9,1,,CELL("contenu",$AC$2))))</f>
        <v>A</v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DAUMAIN Arthur</v>
      </c>
      <c r="B11" s="1" t="str">
        <f ca="1">CELL("contenu",INDIRECT(ADDRESS(ref!$K$3,ref!E10,1,,CELL("contenu",$AC$2))))</f>
        <v>B</v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>B</v>
      </c>
      <c r="F11" s="5" t="str">
        <f ca="1">CELL("contenu",INDIRECT(ADDRESS(ref!$K$4,ref!E10,1,,CELL("contenu",$AC$2))))</f>
        <v>A</v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>A</v>
      </c>
      <c r="J11" s="5" t="str">
        <f ca="1">CELL("contenu",INDIRECT(ADDRESS(ref!$K$5,ref!E10,1,,CELL("contenu",$AC$2))))</f>
        <v>B</v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>B</v>
      </c>
      <c r="N11" s="5" t="str">
        <f ca="1">CELL("contenu",INDIRECT(ADDRESS(ref!$K$6,ref!E10,1,,CELL("contenu",$AC$2))))</f>
        <v>A</v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>A</v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>
        <f ca="1">CELL("contenu",INDIRECT(ADDRESS(ref!$K$8,ref!E10,1,,CELL("contenu",$AC$2))))</f>
        <v>18.125</v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>A</v>
      </c>
      <c r="Z11" s="3" t="str">
        <f ca="1">CELL("contenu",INDIRECT(ADDRESS(ref!$K$10,ref!H10,1,,CELL("contenu",$AC$2))))</f>
        <v>A</v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DE LA HOUGUE Violette</v>
      </c>
      <c r="B12" s="1" t="str">
        <f ca="1">CELL("contenu",INDIRECT(ADDRESS(ref!$K$3,ref!E11,1,,CELL("contenu",$AC$2))))</f>
        <v>B</v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>B</v>
      </c>
      <c r="F12" s="5" t="str">
        <f ca="1">CELL("contenu",INDIRECT(ADDRESS(ref!$K$4,ref!E11,1,,CELL("contenu",$AC$2))))</f>
        <v>B</v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>B</v>
      </c>
      <c r="J12" s="5" t="str">
        <f ca="1">CELL("contenu",INDIRECT(ADDRESS(ref!$K$5,ref!E11,1,,CELL("contenu",$AC$2))))</f>
        <v>A</v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>A</v>
      </c>
      <c r="N12" s="5" t="str">
        <f ca="1">CELL("contenu",INDIRECT(ADDRESS(ref!$K$6,ref!E11,1,,CELL("contenu",$AC$2))))</f>
        <v>A</v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>A</v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>
        <f ca="1">CELL("contenu",INDIRECT(ADDRESS(ref!$K$8,ref!E11,1,,CELL("contenu",$AC$2))))</f>
        <v>18.125</v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>B</v>
      </c>
      <c r="Z12" s="3" t="str">
        <f ca="1">CELL("contenu",INDIRECT(ADDRESS(ref!$K$10,ref!H11,1,,CELL("contenu",$AC$2))))</f>
        <v>A</v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FRUGIER Andrea</v>
      </c>
      <c r="B13" s="1" t="str">
        <f ca="1">CELL("contenu",INDIRECT(ADDRESS(ref!$K$3,ref!E12,1,,CELL("contenu",$AC$2))))</f>
        <v>B</v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>B</v>
      </c>
      <c r="F13" s="5" t="str">
        <f ca="1">CELL("contenu",INDIRECT(ADDRESS(ref!$K$4,ref!E12,1,,CELL("contenu",$AC$2))))</f>
        <v>B</v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>B</v>
      </c>
      <c r="J13" s="5" t="str">
        <f ca="1">CELL("contenu",INDIRECT(ADDRESS(ref!$K$5,ref!E12,1,,CELL("contenu",$AC$2))))</f>
        <v>A</v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>A</v>
      </c>
      <c r="N13" s="5" t="str">
        <f ca="1">CELL("contenu",INDIRECT(ADDRESS(ref!$K$6,ref!E12,1,,CELL("contenu",$AC$2))))</f>
        <v>A</v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>A</v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>
        <f ca="1">CELL("contenu",INDIRECT(ADDRESS(ref!$K$8,ref!E12,1,,CELL("contenu",$AC$2))))</f>
        <v>18.125</v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>B</v>
      </c>
      <c r="Z13" s="3" t="str">
        <f ca="1">CELL("contenu",INDIRECT(ADDRESS(ref!$K$10,ref!H12,1,,CELL("contenu",$AC$2))))</f>
        <v>A</v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GILLES Leopold</v>
      </c>
      <c r="B14" s="1" t="str">
        <f ca="1">CELL("contenu",INDIRECT(ADDRESS(ref!$K$3,ref!E13,1,,CELL("contenu",$AC$2))))</f>
        <v>C</v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>C</v>
      </c>
      <c r="F14" s="5" t="str">
        <f ca="1">CELL("contenu",INDIRECT(ADDRESS(ref!$K$4,ref!E13,1,,CELL("contenu",$AC$2))))</f>
        <v>B</v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>B</v>
      </c>
      <c r="J14" s="5" t="str">
        <f ca="1">CELL("contenu",INDIRECT(ADDRESS(ref!$K$5,ref!E13,1,,CELL("contenu",$AC$2))))</f>
        <v>A</v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>A</v>
      </c>
      <c r="N14" s="5" t="str">
        <f ca="1">CELL("contenu",INDIRECT(ADDRESS(ref!$K$6,ref!E13,1,,CELL("contenu",$AC$2))))</f>
        <v>B</v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>B</v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>
        <f ca="1">CELL("contenu",INDIRECT(ADDRESS(ref!$K$8,ref!E13,1,,CELL("contenu",$AC$2))))</f>
        <v>14.375</v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>B</v>
      </c>
      <c r="Z14" s="3" t="str">
        <f ca="1">CELL("contenu",INDIRECT(ADDRESS(ref!$K$10,ref!H13,1,,CELL("contenu",$AC$2))))</f>
        <v>B</v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HERON LANGLOIS Valentin</v>
      </c>
      <c r="B15" s="1" t="str">
        <f ca="1">CELL("contenu",INDIRECT(ADDRESS(ref!$K$3,ref!E14,1,,CELL("contenu",$AC$2))))</f>
        <v>B</v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>B</v>
      </c>
      <c r="F15" s="5" t="str">
        <f ca="1">CELL("contenu",INDIRECT(ADDRESS(ref!$K$4,ref!E14,1,,CELL("contenu",$AC$2))))</f>
        <v>A</v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>A</v>
      </c>
      <c r="J15" s="5" t="str">
        <f ca="1">CELL("contenu",INDIRECT(ADDRESS(ref!$K$5,ref!E14,1,,CELL("contenu",$AC$2))))</f>
        <v>A</v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>A</v>
      </c>
      <c r="N15" s="5" t="str">
        <f ca="1">CELL("contenu",INDIRECT(ADDRESS(ref!$K$6,ref!E14,1,,CELL("contenu",$AC$2))))</f>
        <v>B</v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>B</v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>
        <f ca="1">CELL("contenu",INDIRECT(ADDRESS(ref!$K$8,ref!E14,1,,CELL("contenu",$AC$2))))</f>
        <v>16.875</v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>A</v>
      </c>
      <c r="Z15" s="3" t="str">
        <f ca="1">CELL("contenu",INDIRECT(ADDRESS(ref!$K$10,ref!H14,1,,CELL("contenu",$AC$2))))</f>
        <v>A</v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JABOULEY Adelaide</v>
      </c>
      <c r="B16" s="1" t="str">
        <f ca="1">CELL("contenu",INDIRECT(ADDRESS(ref!$K$3,ref!E15,1,,CELL("contenu",$AC$2))))</f>
        <v>B</v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>B</v>
      </c>
      <c r="F16" s="5" t="str">
        <f ca="1">CELL("contenu",INDIRECT(ADDRESS(ref!$K$4,ref!E15,1,,CELL("contenu",$AC$2))))</f>
        <v>A</v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>A</v>
      </c>
      <c r="J16" s="5" t="str">
        <f ca="1">CELL("contenu",INDIRECT(ADDRESS(ref!$K$5,ref!E15,1,,CELL("contenu",$AC$2))))</f>
        <v>A</v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>A</v>
      </c>
      <c r="N16" s="5" t="str">
        <f ca="1">CELL("contenu",INDIRECT(ADDRESS(ref!$K$6,ref!E15,1,,CELL("contenu",$AC$2))))</f>
        <v>A</v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>A</v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>
        <f ca="1">CELL("contenu",INDIRECT(ADDRESS(ref!$K$8,ref!E15,1,,CELL("contenu",$AC$2))))</f>
        <v>18.75</v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>A</v>
      </c>
      <c r="Z16" s="3" t="str">
        <f ca="1">CELL("contenu",INDIRECT(ADDRESS(ref!$K$10,ref!H15,1,,CELL("contenu",$AC$2))))</f>
        <v>A</v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LE CLEZIO Olivia</v>
      </c>
      <c r="B17" s="1" t="str">
        <f ca="1">CELL("contenu",INDIRECT(ADDRESS(ref!$K$3,ref!E16,1,,CELL("contenu",$AC$2))))</f>
        <v>C</v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>C</v>
      </c>
      <c r="F17" s="5" t="str">
        <f ca="1">CELL("contenu",INDIRECT(ADDRESS(ref!$K$4,ref!E16,1,,CELL("contenu",$AC$2))))</f>
        <v>B</v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>B</v>
      </c>
      <c r="J17" s="5" t="str">
        <f ca="1">CELL("contenu",INDIRECT(ADDRESS(ref!$K$5,ref!E16,1,,CELL("contenu",$AC$2))))</f>
        <v>C</v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>C</v>
      </c>
      <c r="N17" s="5" t="str">
        <f ca="1">CELL("contenu",INDIRECT(ADDRESS(ref!$K$6,ref!E16,1,,CELL("contenu",$AC$2))))</f>
        <v>A</v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>A</v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>
        <f ca="1">CELL("contenu",INDIRECT(ADDRESS(ref!$K$8,ref!E16,1,,CELL("contenu",$AC$2))))</f>
        <v>15</v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>B</v>
      </c>
      <c r="Z17" s="3" t="str">
        <f ca="1">CELL("contenu",INDIRECT(ADDRESS(ref!$K$10,ref!H16,1,,CELL("contenu",$AC$2))))</f>
        <v>B</v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LECONTE Ziyed</v>
      </c>
      <c r="B18" s="1" t="str">
        <f ca="1">CELL("contenu",INDIRECT(ADDRESS(ref!$K$3,ref!E17,1,,CELL("contenu",$AC$2))))</f>
        <v>C</v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>C</v>
      </c>
      <c r="F18" s="5" t="str">
        <f ca="1">CELL("contenu",INDIRECT(ADDRESS(ref!$K$4,ref!E17,1,,CELL("contenu",$AC$2))))</f>
        <v>B</v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>B</v>
      </c>
      <c r="J18" s="5" t="str">
        <f ca="1">CELL("contenu",INDIRECT(ADDRESS(ref!$K$5,ref!E17,1,,CELL("contenu",$AC$2))))</f>
        <v>B</v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>B</v>
      </c>
      <c r="N18" s="5" t="str">
        <f ca="1">CELL("contenu",INDIRECT(ADDRESS(ref!$K$6,ref!E17,1,,CELL("contenu",$AC$2))))</f>
        <v>D</v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>D</v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>
        <f ca="1">CELL("contenu",INDIRECT(ADDRESS(ref!$K$8,ref!E17,1,,CELL("contenu",$AC$2))))</f>
        <v>10</v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>B</v>
      </c>
      <c r="Z18" s="3" t="str">
        <f ca="1">CELL("contenu",INDIRECT(ADDRESS(ref!$K$10,ref!H17,1,,CELL("contenu",$AC$2))))</f>
        <v>B</v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LEGAL Oriane</v>
      </c>
      <c r="B19" s="1" t="str">
        <f ca="1">CELL("contenu",INDIRECT(ADDRESS(ref!$K$3,ref!E18,1,,CELL("contenu",$AC$2))))</f>
        <v>B</v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>B</v>
      </c>
      <c r="F19" s="5" t="str">
        <f ca="1">CELL("contenu",INDIRECT(ADDRESS(ref!$K$4,ref!E18,1,,CELL("contenu",$AC$2))))</f>
        <v>A</v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>A</v>
      </c>
      <c r="J19" s="5" t="str">
        <f ca="1">CELL("contenu",INDIRECT(ADDRESS(ref!$K$5,ref!E18,1,,CELL("contenu",$AC$2))))</f>
        <v>A</v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>A</v>
      </c>
      <c r="N19" s="5" t="str">
        <f ca="1">CELL("contenu",INDIRECT(ADDRESS(ref!$K$6,ref!E18,1,,CELL("contenu",$AC$2))))</f>
        <v>A</v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>A</v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>
        <f ca="1">CELL("contenu",INDIRECT(ADDRESS(ref!$K$8,ref!E18,1,,CELL("contenu",$AC$2))))</f>
        <v>18.75</v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>A</v>
      </c>
      <c r="Z19" s="3" t="str">
        <f ca="1">CELL("contenu",INDIRECT(ADDRESS(ref!$K$10,ref!H18,1,,CELL("contenu",$AC$2))))</f>
        <v>A</v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LERE Alicia</v>
      </c>
      <c r="B20" s="1" t="str">
        <f ca="1">CELL("contenu",INDIRECT(ADDRESS(ref!$K$3,ref!E19,1,,CELL("contenu",$AC$2))))</f>
        <v>C</v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>C</v>
      </c>
      <c r="F20" s="5" t="str">
        <f ca="1">CELL("contenu",INDIRECT(ADDRESS(ref!$K$4,ref!E19,1,,CELL("contenu",$AC$2))))</f>
        <v>B</v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>B</v>
      </c>
      <c r="J20" s="5" t="str">
        <f ca="1">CELL("contenu",INDIRECT(ADDRESS(ref!$K$5,ref!E19,1,,CELL("contenu",$AC$2))))</f>
        <v>B</v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>B</v>
      </c>
      <c r="N20" s="5" t="str">
        <f ca="1">CELL("contenu",INDIRECT(ADDRESS(ref!$K$6,ref!E19,1,,CELL("contenu",$AC$2))))</f>
        <v>A</v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>A</v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>
        <f ca="1">CELL("contenu",INDIRECT(ADDRESS(ref!$K$8,ref!E19,1,,CELL("contenu",$AC$2))))</f>
        <v>15.625</v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>B</v>
      </c>
      <c r="Z20" s="3" t="str">
        <f ca="1">CELL("contenu",INDIRECT(ADDRESS(ref!$K$10,ref!H19,1,,CELL("contenu",$AC$2))))</f>
        <v>B</v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LESNE Melchior</v>
      </c>
      <c r="B21" s="1" t="str">
        <f ca="1">CELL("contenu",INDIRECT(ADDRESS(ref!$K$3,ref!E20,1,,CELL("contenu",$AC$2))))</f>
        <v>B</v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>B</v>
      </c>
      <c r="F21" s="5" t="str">
        <f ca="1">CELL("contenu",INDIRECT(ADDRESS(ref!$K$4,ref!E20,1,,CELL("contenu",$AC$2))))</f>
        <v>A</v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>A</v>
      </c>
      <c r="J21" s="5" t="str">
        <f ca="1">CELL("contenu",INDIRECT(ADDRESS(ref!$K$5,ref!E20,1,,CELL("contenu",$AC$2))))</f>
        <v>A</v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>A</v>
      </c>
      <c r="N21" s="5" t="str">
        <f ca="1">CELL("contenu",INDIRECT(ADDRESS(ref!$K$6,ref!E20,1,,CELL("contenu",$AC$2))))</f>
        <v>B</v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>B</v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>
        <f ca="1">CELL("contenu",INDIRECT(ADDRESS(ref!$K$8,ref!E20,1,,CELL("contenu",$AC$2))))</f>
        <v>16.875</v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>A</v>
      </c>
      <c r="Z21" s="3" t="str">
        <f ca="1">CELL("contenu",INDIRECT(ADDRESS(ref!$K$10,ref!H20,1,,CELL("contenu",$AC$2))))</f>
        <v>A</v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LORIOUX Paul</v>
      </c>
      <c r="B22" s="1" t="str">
        <f ca="1">CELL("contenu",INDIRECT(ADDRESS(ref!$K$3,ref!E21,1,,CELL("contenu",$AC$2))))</f>
        <v>C</v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>C</v>
      </c>
      <c r="F22" s="5" t="str">
        <f ca="1">CELL("contenu",INDIRECT(ADDRESS(ref!$K$4,ref!E21,1,,CELL("contenu",$AC$2))))</f>
        <v>C</v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>C</v>
      </c>
      <c r="J22" s="5" t="str">
        <f ca="1">CELL("contenu",INDIRECT(ADDRESS(ref!$K$5,ref!E21,1,,CELL("contenu",$AC$2))))</f>
        <v>B</v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>B</v>
      </c>
      <c r="N22" s="5" t="str">
        <f ca="1">CELL("contenu",INDIRECT(ADDRESS(ref!$K$6,ref!E21,1,,CELL("contenu",$AC$2))))</f>
        <v>A</v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>A</v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>
        <f ca="1">CELL("contenu",INDIRECT(ADDRESS(ref!$K$8,ref!E21,1,,CELL("contenu",$AC$2))))</f>
        <v>14.375</v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>C</v>
      </c>
      <c r="Z22" s="3" t="str">
        <f ca="1">CELL("contenu",INDIRECT(ADDRESS(ref!$K$10,ref!H21,1,,CELL("contenu",$AC$2))))</f>
        <v>C</v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MAQUET Aurore</v>
      </c>
      <c r="B23" s="1" t="str">
        <f ca="1">CELL("contenu",INDIRECT(ADDRESS(ref!$K$3,ref!E22,1,,CELL("contenu",$AC$2))))</f>
        <v>B</v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>B</v>
      </c>
      <c r="F23" s="5" t="str">
        <f ca="1">CELL("contenu",INDIRECT(ADDRESS(ref!$K$4,ref!E22,1,,CELL("contenu",$AC$2))))</f>
        <v>B</v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>B</v>
      </c>
      <c r="J23" s="5" t="str">
        <f ca="1">CELL("contenu",INDIRECT(ADDRESS(ref!$K$5,ref!E22,1,,CELL("contenu",$AC$2))))</f>
        <v>A</v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>A</v>
      </c>
      <c r="N23" s="5" t="str">
        <f ca="1">CELL("contenu",INDIRECT(ADDRESS(ref!$K$6,ref!E22,1,,CELL("contenu",$AC$2))))</f>
        <v>B</v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>B</v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>
        <f ca="1">CELL("contenu",INDIRECT(ADDRESS(ref!$K$8,ref!E22,1,,CELL("contenu",$AC$2))))</f>
        <v>15.625</v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>B</v>
      </c>
      <c r="Z23" s="3" t="str">
        <f ca="1">CELL("contenu",INDIRECT(ADDRESS(ref!$K$10,ref!H22,1,,CELL("contenu",$AC$2))))</f>
        <v>B</v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MENNECART Heloise</v>
      </c>
      <c r="B24" s="1" t="str">
        <f ca="1">CELL("contenu",INDIRECT(ADDRESS(ref!$K$3,ref!E23,1,,CELL("contenu",$AC$2))))</f>
        <v>B</v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>B</v>
      </c>
      <c r="F24" s="5" t="str">
        <f ca="1">CELL("contenu",INDIRECT(ADDRESS(ref!$K$4,ref!E23,1,,CELL("contenu",$AC$2))))</f>
        <v>B</v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>B</v>
      </c>
      <c r="J24" s="5" t="str">
        <f ca="1">CELL("contenu",INDIRECT(ADDRESS(ref!$K$5,ref!E23,1,,CELL("contenu",$AC$2))))</f>
        <v>B</v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>B</v>
      </c>
      <c r="N24" s="5" t="str">
        <f ca="1">CELL("contenu",INDIRECT(ADDRESS(ref!$K$6,ref!E23,1,,CELL("contenu",$AC$2))))</f>
        <v>B</v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>B</v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>
        <f ca="1">CELL("contenu",INDIRECT(ADDRESS(ref!$K$8,ref!E23,1,,CELL("contenu",$AC$2))))</f>
        <v>15.625</v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>A</v>
      </c>
      <c r="Z24" s="3" t="str">
        <f ca="1">CELL("contenu",INDIRECT(ADDRESS(ref!$K$10,ref!H23,1,,CELL("contenu",$AC$2))))</f>
        <v>B</v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MULLIGAN Anais</v>
      </c>
      <c r="B25" s="1" t="str">
        <f ca="1">CELL("contenu",INDIRECT(ADDRESS(ref!$K$3,ref!E24,1,,CELL("contenu",$AC$2))))</f>
        <v>B</v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>B</v>
      </c>
      <c r="F25" s="5" t="str">
        <f ca="1">CELL("contenu",INDIRECT(ADDRESS(ref!$K$4,ref!E24,1,,CELL("contenu",$AC$2))))</f>
        <v>A</v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>A</v>
      </c>
      <c r="J25" s="5" t="str">
        <f ca="1">CELL("contenu",INDIRECT(ADDRESS(ref!$K$5,ref!E24,1,,CELL("contenu",$AC$2))))</f>
        <v>A</v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>A</v>
      </c>
      <c r="N25" s="5" t="str">
        <f ca="1">CELL("contenu",INDIRECT(ADDRESS(ref!$K$6,ref!E24,1,,CELL("contenu",$AC$2))))</f>
        <v>A</v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>A</v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>
        <f ca="1">CELL("contenu",INDIRECT(ADDRESS(ref!$K$8,ref!E24,1,,CELL("contenu",$AC$2))))</f>
        <v>18.75</v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>A</v>
      </c>
      <c r="Z25" s="3" t="str">
        <f ca="1">CELL("contenu",INDIRECT(ADDRESS(ref!$K$10,ref!H24,1,,CELL("contenu",$AC$2))))</f>
        <v>A</v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PERROUIN Appoline</v>
      </c>
      <c r="B26" s="1" t="str">
        <f ca="1">CELL("contenu",INDIRECT(ADDRESS(ref!$K$3,ref!E25,1,,CELL("contenu",$AC$2))))</f>
        <v>B</v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>B</v>
      </c>
      <c r="F26" s="5" t="str">
        <f ca="1">CELL("contenu",INDIRECT(ADDRESS(ref!$K$4,ref!E25,1,,CELL("contenu",$AC$2))))</f>
        <v>A</v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>A</v>
      </c>
      <c r="J26" s="5" t="str">
        <f ca="1">CELL("contenu",INDIRECT(ADDRESS(ref!$K$5,ref!E25,1,,CELL("contenu",$AC$2))))</f>
        <v>A</v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>A</v>
      </c>
      <c r="N26" s="5" t="str">
        <f ca="1">CELL("contenu",INDIRECT(ADDRESS(ref!$K$6,ref!E25,1,,CELL("contenu",$AC$2))))</f>
        <v>A</v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>A</v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>
        <f ca="1">CELL("contenu",INDIRECT(ADDRESS(ref!$K$8,ref!E25,1,,CELL("contenu",$AC$2))))</f>
        <v>18.75</v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>A</v>
      </c>
      <c r="Z26" s="3" t="str">
        <f ca="1">CELL("contenu",INDIRECT(ADDRESS(ref!$K$10,ref!H25,1,,CELL("contenu",$AC$2))))</f>
        <v>A</v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ROSALES--MURCIANO Matias</v>
      </c>
      <c r="B27" s="1" t="str">
        <f ca="1">CELL("contenu",INDIRECT(ADDRESS(ref!$K$3,ref!E26,1,,CELL("contenu",$AC$2))))</f>
        <v>C</v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>C</v>
      </c>
      <c r="F27" s="5" t="str">
        <f ca="1">CELL("contenu",INDIRECT(ADDRESS(ref!$K$4,ref!E26,1,,CELL("contenu",$AC$2))))</f>
        <v>B</v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>B</v>
      </c>
      <c r="J27" s="5" t="str">
        <f ca="1">CELL("contenu",INDIRECT(ADDRESS(ref!$K$5,ref!E26,1,,CELL("contenu",$AC$2))))</f>
        <v>B</v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>B</v>
      </c>
      <c r="N27" s="5" t="str">
        <f ca="1">CELL("contenu",INDIRECT(ADDRESS(ref!$K$6,ref!E26,1,,CELL("contenu",$AC$2))))</f>
        <v>A</v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>A</v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>
        <f ca="1">CELL("contenu",INDIRECT(ADDRESS(ref!$K$8,ref!E26,1,,CELL("contenu",$AC$2))))</f>
        <v>15.625</v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>B</v>
      </c>
      <c r="Z27" s="3" t="str">
        <f ca="1">CELL("contenu",INDIRECT(ADDRESS(ref!$K$10,ref!H26,1,,CELL("contenu",$AC$2))))</f>
        <v>B</v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ROS--BONNET Andrea</v>
      </c>
      <c r="B28" s="1" t="str">
        <f ca="1">CELL("contenu",INDIRECT(ADDRESS(ref!$K$3,ref!E27,1,,CELL("contenu",$AC$2))))</f>
        <v>B</v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>B</v>
      </c>
      <c r="F28" s="5" t="str">
        <f ca="1">CELL("contenu",INDIRECT(ADDRESS(ref!$K$4,ref!E27,1,,CELL("contenu",$AC$2))))</f>
        <v>B</v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>B</v>
      </c>
      <c r="J28" s="5" t="str">
        <f ca="1">CELL("contenu",INDIRECT(ADDRESS(ref!$K$5,ref!E27,1,,CELL("contenu",$AC$2))))</f>
        <v>B</v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>B</v>
      </c>
      <c r="N28" s="5" t="str">
        <f ca="1">CELL("contenu",INDIRECT(ADDRESS(ref!$K$6,ref!E27,1,,CELL("contenu",$AC$2))))</f>
        <v>A</v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>A</v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>
        <f ca="1">CELL("contenu",INDIRECT(ADDRESS(ref!$K$8,ref!E27,1,,CELL("contenu",$AC$2))))</f>
        <v>17.5</v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>B</v>
      </c>
      <c r="Z28" s="3" t="str">
        <f ca="1">CELL("contenu",INDIRECT(ADDRESS(ref!$K$10,ref!H27,1,,CELL("contenu",$AC$2))))</f>
        <v>A</v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ROULLET DE LA BOUILLERIE Donatienne</v>
      </c>
      <c r="B29" s="1" t="str">
        <f ca="1">CELL("contenu",INDIRECT(ADDRESS(ref!$K$3,ref!E28,1,,CELL("contenu",$AC$2))))</f>
        <v>B</v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>B</v>
      </c>
      <c r="F29" s="5" t="str">
        <f ca="1">CELL("contenu",INDIRECT(ADDRESS(ref!$K$4,ref!E28,1,,CELL("contenu",$AC$2))))</f>
        <v>A</v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>A</v>
      </c>
      <c r="J29" s="5" t="str">
        <f ca="1">CELL("contenu",INDIRECT(ADDRESS(ref!$K$5,ref!E28,1,,CELL("contenu",$AC$2))))</f>
        <v>A</v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>A</v>
      </c>
      <c r="N29" s="5" t="str">
        <f ca="1">CELL("contenu",INDIRECT(ADDRESS(ref!$K$6,ref!E28,1,,CELL("contenu",$AC$2))))</f>
        <v>B</v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>B</v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>
        <f ca="1">CELL("contenu",INDIRECT(ADDRESS(ref!$K$8,ref!E28,1,,CELL("contenu",$AC$2))))</f>
        <v>16.875</v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>A</v>
      </c>
      <c r="Z29" s="3" t="str">
        <f ca="1">CELL("contenu",INDIRECT(ADDRESS(ref!$K$10,ref!H28,1,,CELL("contenu",$AC$2))))</f>
        <v>A</v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SANTOS--LARTIGUE Ines</v>
      </c>
      <c r="B30" s="1" t="str">
        <f ca="1">CELL("contenu",INDIRECT(ADDRESS(ref!$K$3,ref!E29,1,,CELL("contenu",$AC$2))))</f>
        <v>B</v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>B</v>
      </c>
      <c r="F30" s="5" t="str">
        <f ca="1">CELL("contenu",INDIRECT(ADDRESS(ref!$K$4,ref!E29,1,,CELL("contenu",$AC$2))))</f>
        <v>A</v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>A</v>
      </c>
      <c r="J30" s="5" t="str">
        <f ca="1">CELL("contenu",INDIRECT(ADDRESS(ref!$K$5,ref!E29,1,,CELL("contenu",$AC$2))))</f>
        <v>A</v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>A</v>
      </c>
      <c r="N30" s="5" t="str">
        <f ca="1">CELL("contenu",INDIRECT(ADDRESS(ref!$K$6,ref!E29,1,,CELL("contenu",$AC$2))))</f>
        <v>B</v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>B</v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>
        <f ca="1">CELL("contenu",INDIRECT(ADDRESS(ref!$K$8,ref!E29,1,,CELL("contenu",$AC$2))))</f>
        <v>16.875</v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>A</v>
      </c>
      <c r="Z30" s="3" t="str">
        <f ca="1">CELL("contenu",INDIRECT(ADDRESS(ref!$K$10,ref!H29,1,,CELL("contenu",$AC$2))))</f>
        <v>A</v>
      </c>
      <c r="AA30" s="7" t="str">
        <f ca="1">CELL("contenu",INDIRECT(ADDRESS(ref!$K$11,ref!H29,1,,CELL("contenu",$AC$2))))</f>
        <v/>
      </c>
    </row>
    <row r="31" spans="1:27" x14ac:dyDescent="0.25">
      <c r="A31" s="44" t="str">
        <f t="shared" ca="1" si="0"/>
        <v>VANUZZI Camille</v>
      </c>
      <c r="B31" s="1" t="str">
        <f ca="1">CELL("contenu",INDIRECT(ADDRESS(ref!$K$3,ref!E30,1,,CELL("contenu",$AC$2))))</f>
        <v>B</v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>B</v>
      </c>
      <c r="F31" s="5" t="str">
        <f ca="1">CELL("contenu",INDIRECT(ADDRESS(ref!$K$4,ref!E30,1,,CELL("contenu",$AC$2))))</f>
        <v>B</v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>B</v>
      </c>
      <c r="J31" s="5" t="str">
        <f ca="1">CELL("contenu",INDIRECT(ADDRESS(ref!$K$5,ref!E30,1,,CELL("contenu",$AC$2))))</f>
        <v>A</v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>A</v>
      </c>
      <c r="N31" s="5" t="str">
        <f ca="1">CELL("contenu",INDIRECT(ADDRESS(ref!$K$6,ref!E30,1,,CELL("contenu",$AC$2))))</f>
        <v>B</v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>B</v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>
        <f ca="1">CELL("contenu",INDIRECT(ADDRESS(ref!$K$8,ref!E30,1,,CELL("contenu",$AC$2))))</f>
        <v>16.25</v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>B</v>
      </c>
      <c r="Z31" s="3" t="str">
        <f ca="1">CELL("contenu",INDIRECT(ADDRESS(ref!$K$10,ref!H30,1,,CELL("contenu",$AC$2))))</f>
        <v>A</v>
      </c>
      <c r="AA31" s="7" t="str">
        <f ca="1">CELL("contenu",INDIRECT(ADDRESS(ref!$K$11,ref!H30,1,,CELL("contenu",$AC$2))))</f>
        <v/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3yAmz4OXqIkPdGCF/PORrhOJra6VxmmFpJsLCqEX48QnFQz6MlNxBeX3f2pR1D2GMTqoyfpU70ev5b+fVb2Fzg==" saltValue="4eslJxLu/ombM3IPapg7TQ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SR27"/>
  <sheetViews>
    <sheetView tabSelected="1" topLeftCell="A2" zoomScale="79" zoomScaleNormal="79" workbookViewId="0">
      <pane xSplit="2" topLeftCell="OZ1" activePane="topRight" state="frozen"/>
      <selection activeCell="Y3" sqref="Y3:AA3"/>
      <selection pane="topRight" activeCell="QT17" sqref="QT17"/>
    </sheetView>
  </sheetViews>
  <sheetFormatPr baseColWidth="10" defaultColWidth="5.7109375" defaultRowHeight="15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23" t="s">
        <v>41</v>
      </c>
      <c r="B1" s="224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64</v>
      </c>
      <c r="C2" s="148" t="str">
        <f ca="1">IF(CELL("contenu",INDIRECT(ADDRESS(C1,1,1,1,CELL("contenu",$B$2))))="","----",CELL("contenu",INDIRECT(ADDRESS(C1,1,1,1,CELL("contenu",$B$2)))))</f>
        <v>ANDRE Gabrielle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AOUSTIN Jeanne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BAHNES Sawsane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BARCAT Eliette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BERTHIER Leeloo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BERTRAND--BEYNEIX Hugo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BOSC--FERTE Adam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DAUMAIN Arthur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DE LA HOUGUE Violette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FRUGIER Andrea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GILLES Leopold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HERON LANGLOIS Valentin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JABOULEY Adelaide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LE CLEZIO Olivia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LECONTE Ziyed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LEGAL Oriane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LERE Alicia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LESNE Melchior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LORIOUX Paul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MAQUET Aurore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MENNECART Heloise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MULLIGAN Anais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PERROUIN Appoline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ROSALES--MURCIANO Matias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ROS--BONNET Andrea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ROULLET DE LA BOUILLERIE Donatienne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SANTOS--LARTIGUE Ines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 t="str">
        <f ca="1">IF(CELL("contenu",INDIRECT(ADDRESS(QT1,1,1,1,CELL("contenu",$B$2))))="","----",CELL("contenu",INDIRECT(ADDRESS(QT1,1,1,1,CELL("contenu",$B$2)))))</f>
        <v>VANUZZI Camille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 t="s">
        <v>218</v>
      </c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>CH4/2</v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>CH4/2</v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>CH4/2</v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>CH4/2</v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>CH4/2</v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>CH4/2</v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>CH4/2</v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>CH4/2</v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>CH4/2</v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>CH4/2</v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>CH4/2</v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>CH4/2</v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>CH4/2</v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>CH4/2</v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>CH4/2</v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>CH4/2</v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>CH4/2</v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>CH4/2</v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>CH4/2</v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>CH4/2</v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>CH4/2</v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>CH4/2</v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>CH4/2</v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>CH4/2</v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>CH4/2</v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>CH4/2</v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>CH4/2</v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>CH4/2</v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>CH4/2</v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>
        <f>IFERROR((((COUNTIF('Elève (5ème3)'!C5:E9,"A"))*4)+((COUNTIF('Elève (5ème3)'!C5:E9,"B"))*3)+((COUNTIF('Elève (5ème3)'!C5:E9,"C"))*2)+((COUNTIF('Elève (5ème3)'!C5:E9,"D"))*1))/(COUNTA(C5:E9)),"")</f>
        <v>2</v>
      </c>
      <c r="G4" s="107" t="str">
        <f t="shared" ref="G4:G21" si="0">IF(F4="","",IF(F4&gt;3.7,"A",IF(F4&gt;2.8,"B",IF(F4&gt;1.5,"C",IF(F4&gt;0,"D",IF(F4=0,""))))))</f>
        <v>C</v>
      </c>
      <c r="H4" s="204"/>
      <c r="I4" s="186"/>
      <c r="J4" s="205"/>
      <c r="K4" s="106" t="str">
        <f>IFERROR((((COUNTIF('Elève (5ème3)'!H5:J9,"A"))*4)+((COUNTIF('Elève (5ème3)'!H5:J9,"B"))*3)+((COUNTIF('Elève (5ème3)'!H5:J9,"C"))*2)+((COUNTIF('Elève (5ème3)'!H5:J9,"D"))*1))/(COUNTA(H5:J9)),"")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(5ème3)'!M5:O9,"A"))*4)+((COUNTIF('Elève (5ème3)'!M5:O9,"B"))*3)+((COUNTIF('Elève (5ème3)'!M5:O9,"C"))*2)+((COUNTIF('Elève (5ème3)'!M5:O9,"D"))*1))/(COUNTA(M5:O9)),"")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>2</v>
      </c>
      <c r="S4" s="130" t="str">
        <f t="shared" ref="S4:S21" si="3">IF(R4="","",IF(R4&gt;3.7,"A",IF(R4&gt;2.8,"B",IF(R4&gt;1.5,"C",IF(R4&gt;0,"D",IF(R4=0,""))))))</f>
        <v>C</v>
      </c>
      <c r="T4" s="152"/>
      <c r="U4" s="185"/>
      <c r="V4" s="185"/>
      <c r="W4" s="106">
        <f>IFERROR((((COUNTIF('Elève (5ème3)'!T5:V9,"A"))*4)+((COUNTIF('Elève (5ème3)'!T5:V9,"B"))*3)+((COUNTIF('Elève (5ème3)'!T5:V9,"C"))*2)+((COUNTIF('Elève (5ème3)'!T5:V9,"D"))*1))/(COUNTA(T5:V9)),"")</f>
        <v>3</v>
      </c>
      <c r="X4" s="107" t="str">
        <f t="shared" ref="X4:X21" si="4">IF(W4="","",IF(W4&gt;3.7,"A",IF(W4&gt;2.8,"B",IF(W4&gt;1.5,"C",IF(W4&gt;0,"D",IF(W4=0,""))))))</f>
        <v>B</v>
      </c>
      <c r="Y4" s="204"/>
      <c r="Z4" s="186"/>
      <c r="AA4" s="205"/>
      <c r="AB4" s="106" t="str">
        <f>IFERROR((((COUNTIF('Elève (5ème3)'!Y5:AA9,"A"))*4)+((COUNTIF('Elève (5ème3)'!Y5:AA9,"B"))*3)+((COUNTIF('Elève (5ème3)'!Y5:AA9,"C"))*2)+((COUNTIF('Elève (5ème3)'!Y5:AA9,"D"))*1))/(COUNTA(Y5:AA9)),"")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(5ème3)'!AD5:AF9,"A"))*4)+((COUNTIF('Elève (5ème3)'!AD5:AF9,"B"))*3)+((COUNTIF('Elève (5ème3)'!AD5:AF9,"C"))*2)+((COUNTIF('Elève (5ème3)'!AD5:AF9,"D"))*1))/(COUNTA(AD5:AF9)),"")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>3</v>
      </c>
      <c r="AJ4" s="130" t="str">
        <f t="shared" ref="AJ4:AJ21" si="7">IF(AI4="","",IF(AI4&gt;3.7,"A",IF(AI4&gt;2.8,"B",IF(AI4&gt;1.5,"C",IF(AI4&gt;0,"D",IF(AI4=0,""))))))</f>
        <v>B</v>
      </c>
      <c r="AK4" s="152"/>
      <c r="AL4" s="185"/>
      <c r="AM4" s="185"/>
      <c r="AN4" s="106">
        <f>IFERROR((((COUNTIF('Elève (5ème3)'!AK5:AM9,"A"))*4)+((COUNTIF('Elève (5ème3)'!AK5:AM9,"B"))*3)+((COUNTIF('Elève (5ème3)'!AK5:AM9,"C"))*2)+((COUNTIF('Elève (5ème3)'!AK5:AM9,"D"))*1))/(COUNTA(AK5:AM9)),"")</f>
        <v>3</v>
      </c>
      <c r="AO4" s="107" t="str">
        <f t="shared" ref="AO4:AO21" si="8">IF(AN4="","",IF(AN4&gt;3.7,"A",IF(AN4&gt;2.8,"B",IF(AN4&gt;1.5,"C",IF(AN4&gt;0,"D",IF(AN4=0,""))))))</f>
        <v>B</v>
      </c>
      <c r="AP4" s="204"/>
      <c r="AQ4" s="186"/>
      <c r="AR4" s="205"/>
      <c r="AS4" s="106" t="str">
        <f>IFERROR((((COUNTIF('Elève (5ème3)'!AP5:AR9,"A"))*4)+((COUNTIF('Elève (5ème3)'!AP5:AR9,"B"))*3)+((COUNTIF('Elève (5ème3)'!AP5:AR9,"C"))*2)+((COUNTIF('Elève (5ème3)'!AP5:AR9,"D"))*1))/(COUNTA(AP5:AR9)),"")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(5ème3)'!AU5:AW9,"A"))*4)+((COUNTIF('Elève (5ème3)'!AU5:AW9,"B"))*3)+((COUNTIF('Elève (5ème3)'!AU5:AW9,"C"))*2)+((COUNTIF('Elève (5ème3)'!AU5:AW9,"D"))*1))/(COUNTA(AU5:AW9)),"")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>3</v>
      </c>
      <c r="BA4" s="130" t="str">
        <f t="shared" ref="BA4:BA21" si="11">IF(AZ4="","",IF(AZ4&gt;3.7,"A",IF(AZ4&gt;2.8,"B",IF(AZ4&gt;1.5,"C",IF(AZ4&gt;0,"D",IF(AZ4=0,""))))))</f>
        <v>B</v>
      </c>
      <c r="BB4" s="152"/>
      <c r="BC4" s="185"/>
      <c r="BD4" s="185"/>
      <c r="BE4" s="106">
        <f>IFERROR((((COUNTIF('Elève (5ème3)'!BB5:BD9,"A"))*4)+((COUNTIF('Elève (5ème3)'!BB5:BD9,"B"))*3)+((COUNTIF('Elève (5ème3)'!BB5:BD9,"C"))*2)+((COUNTIF('Elève (5ème3)'!BB5:BD9,"D"))*1))/(COUNTA(BB5:BD9)),"")</f>
        <v>3</v>
      </c>
      <c r="BF4" s="107" t="str">
        <f t="shared" ref="BF4:BF21" si="12">IF(BE4="","",IF(BE4&gt;3.7,"A",IF(BE4&gt;2.8,"B",IF(BE4&gt;1.5,"C",IF(BE4&gt;0,"D",IF(BE4=0,""))))))</f>
        <v>B</v>
      </c>
      <c r="BG4" s="204"/>
      <c r="BH4" s="186"/>
      <c r="BI4" s="205"/>
      <c r="BJ4" s="106" t="str">
        <f>IFERROR((((COUNTIF('Elève (5ème3)'!BG5:BI9,"A"))*4)+((COUNTIF('Elève (5ème3)'!BG5:BI9,"B"))*3)+((COUNTIF('Elève (5ème3)'!BG5:BI9,"C"))*2)+((COUNTIF('Elève (5ème3)'!BG5:BI9,"D"))*1))/(COUNTA(BG5:BI9)),"")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(5ème3)'!BL5:BN9,"A"))*4)+((COUNTIF('Elève (5ème3)'!BL5:BN9,"B"))*3)+((COUNTIF('Elève (5ème3)'!BL5:BN9,"C"))*2)+((COUNTIF('Elève (5ème3)'!BL5:BN9,"D"))*1))/(COUNTA(BL5:BN9)),"")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>3</v>
      </c>
      <c r="BR4" s="130" t="str">
        <f t="shared" ref="BR4:BR21" si="15">IF(BQ4="","",IF(BQ4&gt;3.7,"A",IF(BQ4&gt;2.8,"B",IF(BQ4&gt;1.5,"C",IF(BQ4&gt;0,"D",IF(BQ4=0,""))))))</f>
        <v>B</v>
      </c>
      <c r="BS4" s="152"/>
      <c r="BT4" s="185"/>
      <c r="BU4" s="185"/>
      <c r="BV4" s="106">
        <f>IFERROR((((COUNTIF('Elève (5ème3)'!BS5:BU9,"A"))*4)+((COUNTIF('Elève (5ème3)'!BS5:BU9,"B"))*3)+((COUNTIF('Elève (5ème3)'!BS5:BU9,"C"))*2)+((COUNTIF('Elève (5ème3)'!BS5:BU9,"D"))*1))/(COUNTA(BS5:BU9)),"")</f>
        <v>2</v>
      </c>
      <c r="BW4" s="107" t="str">
        <f t="shared" ref="BW4:BW21" si="16">IF(BV4="","",IF(BV4&gt;3.7,"A",IF(BV4&gt;2.8,"B",IF(BV4&gt;1.5,"C",IF(BV4&gt;0,"D",IF(BV4=0,""))))))</f>
        <v>C</v>
      </c>
      <c r="BX4" s="204"/>
      <c r="BY4" s="186"/>
      <c r="BZ4" s="205"/>
      <c r="CA4" s="106" t="str">
        <f>IFERROR((((COUNTIF('Elève (5ème3)'!BX5:BZ9,"A"))*4)+((COUNTIF('Elève (5ème3)'!BX5:BZ9,"B"))*3)+((COUNTIF('Elève (5ème3)'!BX5:BZ9,"C"))*2)+((COUNTIF('Elève (5ème3)'!BX5:BZ9,"D"))*1))/(COUNTA(BX5:BZ9)),"")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(5ème3)'!CC5:CE9,"A"))*4)+((COUNTIF('Elève (5ème3)'!CC5:CE9,"B"))*3)+((COUNTIF('Elève (5ème3)'!CC5:CE9,"C"))*2)+((COUNTIF('Elève (5ème3)'!CC5:CE9,"D"))*1))/(COUNTA(CC5:CE9)),"")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>2</v>
      </c>
      <c r="CI4" s="130" t="str">
        <f t="shared" ref="CI4:CI21" si="19">IF(CH4="","",IF(CH4&gt;3.7,"A",IF(CH4&gt;2.8,"B",IF(CH4&gt;1.5,"C",IF(CH4&gt;0,"D",IF(CH4=0,""))))))</f>
        <v>C</v>
      </c>
      <c r="CJ4" s="152"/>
      <c r="CK4" s="185"/>
      <c r="CL4" s="185"/>
      <c r="CM4" s="106">
        <f>IFERROR((((COUNTIF('Elève (5ème3)'!CJ5:CL9,"A"))*4)+((COUNTIF('Elève (5ème3)'!CJ5:CL9,"B"))*3)+((COUNTIF('Elève (5ème3)'!CJ5:CL9,"C"))*2)+((COUNTIF('Elève (5ème3)'!CJ5:CL9,"D"))*1))/(COUNTA(CJ5:CL9)),"")</f>
        <v>3</v>
      </c>
      <c r="CN4" s="107" t="str">
        <f t="shared" ref="CN4:CN21" si="20">IF(CM4="","",IF(CM4&gt;3.7,"A",IF(CM4&gt;2.8,"B",IF(CM4&gt;1.5,"C",IF(CM4&gt;0,"D",IF(CM4=0,""))))))</f>
        <v>B</v>
      </c>
      <c r="CO4" s="204"/>
      <c r="CP4" s="186"/>
      <c r="CQ4" s="205"/>
      <c r="CR4" s="106" t="str">
        <f>IFERROR((((COUNTIF('Elève (5ème3)'!CO5:CQ9,"A"))*4)+((COUNTIF('Elève (5ème3)'!CO5:CQ9,"B"))*3)+((COUNTIF('Elève (5ème3)'!CO5:CQ9,"C"))*2)+((COUNTIF('Elève (5ème3)'!CO5:CQ9,"D"))*1))/(COUNTA(CO5:CQ9)),"")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(5ème3)'!CT5:CV9,"A"))*4)+((COUNTIF('Elève (5ème3)'!CT5:CV9,"B"))*3)+((COUNTIF('Elève (5ème3)'!CT5:CV9,"C"))*2)+((COUNTIF('Elève (5ème3)'!CT5:CV9,"D"))*1))/(COUNTA(CT5:CV9)),"")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>3</v>
      </c>
      <c r="CZ4" s="130" t="str">
        <f t="shared" ref="CZ4:CZ21" si="23">IF(CY4="","",IF(CY4&gt;3.7,"A",IF(CY4&gt;2.8,"B",IF(CY4&gt;1.5,"C",IF(CY4&gt;0,"D",IF(CY4=0,""))))))</f>
        <v>B</v>
      </c>
      <c r="DA4" s="152"/>
      <c r="DB4" s="185"/>
      <c r="DC4" s="185"/>
      <c r="DD4" s="106">
        <f>IFERROR((((COUNTIF('Elève (5ème3)'!DA5:DC9,"A"))*4)+((COUNTIF('Elève (5ème3)'!DA5:DC9,"B"))*3)+((COUNTIF('Elève (5ème3)'!DA5:DC9,"C"))*2)+((COUNTIF('Elève (5ème3)'!DA5:DC9,"D"))*1))/(COUNTA(DA5:DC9)),"")</f>
        <v>3</v>
      </c>
      <c r="DE4" s="107" t="str">
        <f t="shared" ref="DE4:DE21" si="24">IF(DD4="","",IF(DD4&gt;3.7,"A",IF(DD4&gt;2.8,"B",IF(DD4&gt;1.5,"C",IF(DD4&gt;0,"D",IF(DD4=0,""))))))</f>
        <v>B</v>
      </c>
      <c r="DF4" s="204"/>
      <c r="DG4" s="186"/>
      <c r="DH4" s="205"/>
      <c r="DI4" s="106" t="str">
        <f>IFERROR((((COUNTIF('Elève (5ème3)'!DF5:DH9,"A"))*4)+((COUNTIF('Elève (5ème3)'!DF5:DH9,"B"))*3)+((COUNTIF('Elève (5ème3)'!DF5:DH9,"C"))*2)+((COUNTIF('Elève (5ème3)'!DF5:DH9,"D"))*1))/(COUNTA(DF5:DH9)),"")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(5ème3)'!DK5:DM9,"A"))*4)+((COUNTIF('Elève (5ème3)'!DK5:DM9,"B"))*3)+((COUNTIF('Elève (5ème3)'!DK5:DM9,"C"))*2)+((COUNTIF('Elève (5ème3)'!DK5:DM9,"D"))*1))/(COUNTA(DK5:DM9)),"")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>3</v>
      </c>
      <c r="DQ4" s="130" t="str">
        <f t="shared" ref="DQ4:DQ21" si="27">IF(DP4="","",IF(DP4&gt;3.7,"A",IF(DP4&gt;2.8,"B",IF(DP4&gt;1.5,"C",IF(DP4&gt;0,"D",IF(DP4=0,""))))))</f>
        <v>B</v>
      </c>
      <c r="DR4" s="152"/>
      <c r="DS4" s="185"/>
      <c r="DT4" s="185"/>
      <c r="DU4" s="106">
        <f>IFERROR((((COUNTIF('Elève (5ème3)'!DR5:DT9,"A"))*4)+((COUNTIF('Elève (5ème3)'!DR5:DT9,"B"))*3)+((COUNTIF('Elève (5ème3)'!DR5:DT9,"C"))*2)+((COUNTIF('Elève (5ème3)'!DR5:DT9,"D"))*1))/(COUNTA(DR5:DT9)),"")</f>
        <v>3</v>
      </c>
      <c r="DV4" s="107" t="str">
        <f t="shared" ref="DV4:DV21" si="28">IF(DU4="","",IF(DU4&gt;3.7,"A",IF(DU4&gt;2.8,"B",IF(DU4&gt;1.5,"C",IF(DU4&gt;0,"D",IF(DU4=0,""))))))</f>
        <v>B</v>
      </c>
      <c r="DW4" s="204"/>
      <c r="DX4" s="186"/>
      <c r="DY4" s="205"/>
      <c r="DZ4" s="106" t="str">
        <f>IFERROR((((COUNTIF('Elève (5ème3)'!DW5:DY9,"A"))*4)+((COUNTIF('Elève (5ème3)'!DW5:DY9,"B"))*3)+((COUNTIF('Elève (5ème3)'!DW5:DY9,"C"))*2)+((COUNTIF('Elève (5ème3)'!DW5:DY9,"D"))*1))/(COUNTA(DW5:DY9)),"")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(5ème3)'!EB5:ED9,"A"))*4)+((COUNTIF('Elève (5ème3)'!EB5:ED9,"B"))*3)+((COUNTIF('Elève (5ème3)'!EB5:ED9,"C"))*2)+((COUNTIF('Elève (5ème3)'!EB5:ED9,"D"))*1))/(COUNTA(EB5:ED9)),"")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>3</v>
      </c>
      <c r="EH4" s="130" t="str">
        <f t="shared" ref="EH4:EH21" si="31">IF(EG4="","",IF(EG4&gt;3.7,"A",IF(EG4&gt;2.8,"B",IF(EG4&gt;1.5,"C",IF(EG4&gt;0,"D",IF(EG4=0,""))))))</f>
        <v>B</v>
      </c>
      <c r="EI4" s="152"/>
      <c r="EJ4" s="185"/>
      <c r="EK4" s="185"/>
      <c r="EL4" s="106">
        <f>IFERROR((((COUNTIF('Elève (5ème3)'!EI5:EK9,"A"))*4)+((COUNTIF('Elève (5ème3)'!EI5:EK9,"B"))*3)+((COUNTIF('Elève (5ème3)'!EI5:EK9,"C"))*2)+((COUNTIF('Elève (5ème3)'!EI5:EK9,"D"))*1))/(COUNTA(EI5:EK9)),"")</f>
        <v>3</v>
      </c>
      <c r="EM4" s="107" t="str">
        <f t="shared" ref="EM4:EM21" si="32">IF(EL4="","",IF(EL4&gt;3.7,"A",IF(EL4&gt;2.8,"B",IF(EL4&gt;1.5,"C",IF(EL4&gt;0,"D",IF(EL4=0,""))))))</f>
        <v>B</v>
      </c>
      <c r="EN4" s="204"/>
      <c r="EO4" s="186"/>
      <c r="EP4" s="205"/>
      <c r="EQ4" s="106" t="str">
        <f>IFERROR((((COUNTIF('Elève (5ème3)'!EN5:EP9,"A"))*4)+((COUNTIF('Elève (5ème3)'!EN5:EP9,"B"))*3)+((COUNTIF('Elève (5ème3)'!EN5:EP9,"C"))*2)+((COUNTIF('Elève (5ème3)'!EN5:EP9,"D"))*1))/(COUNTA(EN5:EP9)),"")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(5ème3)'!ES5:EU9,"A"))*4)+((COUNTIF('Elève (5ème3)'!ES5:EU9,"B"))*3)+((COUNTIF('Elève (5ème3)'!ES5:EU9,"C"))*2)+((COUNTIF('Elève (5ème3)'!ES5:EU9,"D"))*1))/(COUNTA(ES5:EU9)),"")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>3</v>
      </c>
      <c r="EY4" s="130" t="str">
        <f t="shared" ref="EY4:EY21" si="35">IF(EX4="","",IF(EX4&gt;3.7,"A",IF(EX4&gt;2.8,"B",IF(EX4&gt;1.5,"C",IF(EX4&gt;0,"D",IF(EX4=0,""))))))</f>
        <v>B</v>
      </c>
      <c r="EZ4" s="152"/>
      <c r="FA4" s="185"/>
      <c r="FB4" s="185"/>
      <c r="FC4" s="106">
        <f>IFERROR((((COUNTIF('Elève (5ème3)'!EZ5:FB9,"A"))*4)+((COUNTIF('Elève (5ème3)'!EZ5:FB9,"B"))*3)+((COUNTIF('Elève (5ème3)'!EZ5:FB9,"C"))*2)+((COUNTIF('Elève (5ème3)'!EZ5:FB9,"D"))*1))/(COUNTA(EZ5:FB9)),"")</f>
        <v>3</v>
      </c>
      <c r="FD4" s="107" t="str">
        <f t="shared" ref="FD4:FD21" si="36">IF(FC4="","",IF(FC4&gt;3.7,"A",IF(FC4&gt;2.8,"B",IF(FC4&gt;1.5,"C",IF(FC4&gt;0,"D",IF(FC4=0,""))))))</f>
        <v>B</v>
      </c>
      <c r="FE4" s="204"/>
      <c r="FF4" s="186"/>
      <c r="FG4" s="205"/>
      <c r="FH4" s="106" t="str">
        <f>IFERROR((((COUNTIF('Elève (5ème3)'!FE5:FG9,"A"))*4)+((COUNTIF('Elève (5ème3)'!FE5:FG9,"B"))*3)+((COUNTIF('Elève (5ème3)'!FE5:FG9,"C"))*2)+((COUNTIF('Elève (5ème3)'!FE5:FG9,"D"))*1))/(COUNTA(FE5:FG9)),"")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(5ème3)'!FJ5:FL9,"A"))*4)+((COUNTIF('Elève (5ème3)'!FJ5:FL9,"B"))*3)+((COUNTIF('Elève (5ème3)'!FJ5:FL9,"C"))*2)+((COUNTIF('Elève (5ème3)'!FJ5:FL9,"D"))*1))/(COUNTA(FJ5:FL9)),"")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>3</v>
      </c>
      <c r="FP4" s="130" t="str">
        <f t="shared" ref="FP4:FP21" si="39">IF(FO4="","",IF(FO4&gt;3.7,"A",IF(FO4&gt;2.8,"B",IF(FO4&gt;1.5,"C",IF(FO4&gt;0,"D",IF(FO4=0,""))))))</f>
        <v>B</v>
      </c>
      <c r="FQ4" s="152"/>
      <c r="FR4" s="185"/>
      <c r="FS4" s="185"/>
      <c r="FT4" s="106">
        <f>IFERROR((((COUNTIF('Elève (5ème3)'!FQ5:FS9,"A"))*4)+((COUNTIF('Elève (5ème3)'!FQ5:FS9,"B"))*3)+((COUNTIF('Elève (5ème3)'!FQ5:FS9,"C"))*2)+((COUNTIF('Elève (5ème3)'!FQ5:FS9,"D"))*1))/(COUNTA(FQ5:FS9)),"")</f>
        <v>2</v>
      </c>
      <c r="FU4" s="107" t="str">
        <f t="shared" ref="FU4:FU21" si="40">IF(FT4="","",IF(FT4&gt;3.7,"A",IF(FT4&gt;2.8,"B",IF(FT4&gt;1.5,"C",IF(FT4&gt;0,"D",IF(FT4=0,""))))))</f>
        <v>C</v>
      </c>
      <c r="FV4" s="204"/>
      <c r="FW4" s="186"/>
      <c r="FX4" s="205"/>
      <c r="FY4" s="106" t="str">
        <f>IFERROR((((COUNTIF('Elève (5ème3)'!FV5:FX9,"A"))*4)+((COUNTIF('Elève (5ème3)'!FV5:FX9,"B"))*3)+((COUNTIF('Elève (5ème3)'!FV5:FX9,"C"))*2)+((COUNTIF('Elève (5ème3)'!FV5:FX9,"D"))*1))/(COUNTA(FV5:FX9)),"")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(5ème3)'!GA5:GC9,"A"))*4)+((COUNTIF('Elève (5ème3)'!GA5:GC9,"B"))*3)+((COUNTIF('Elève (5ème3)'!GA5:GC9,"C"))*2)+((COUNTIF('Elève (5ème3)'!GA5:GC9,"D"))*1))/(COUNTA(GA5:GC9)),"")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>2</v>
      </c>
      <c r="GG4" s="130" t="str">
        <f t="shared" ref="GG4:GG21" si="43">IF(GF4="","",IF(GF4&gt;3.7,"A",IF(GF4&gt;2.8,"B",IF(GF4&gt;1.5,"C",IF(GF4&gt;0,"D",IF(GF4=0,""))))))</f>
        <v>C</v>
      </c>
      <c r="GH4" s="152"/>
      <c r="GI4" s="185"/>
      <c r="GJ4" s="185"/>
      <c r="GK4" s="106">
        <f>IFERROR((((COUNTIF('Elève (5ème3)'!GH5:GJ9,"A"))*4)+((COUNTIF('Elève (5ème3)'!GH5:GJ9,"B"))*3)+((COUNTIF('Elève (5ème3)'!GH5:GJ9,"C"))*2)+((COUNTIF('Elève (5ème3)'!GH5:GJ9,"D"))*1))/(COUNTA(GH5:GJ9)),"")</f>
        <v>3</v>
      </c>
      <c r="GL4" s="107" t="str">
        <f t="shared" ref="GL4:GL21" si="44">IF(GK4="","",IF(GK4&gt;3.7,"A",IF(GK4&gt;2.8,"B",IF(GK4&gt;1.5,"C",IF(GK4&gt;0,"D",IF(GK4=0,""))))))</f>
        <v>B</v>
      </c>
      <c r="GM4" s="204"/>
      <c r="GN4" s="186"/>
      <c r="GO4" s="205"/>
      <c r="GP4" s="106" t="str">
        <f>IFERROR((((COUNTIF('Elève (5ème3)'!GM5:GO9,"A"))*4)+((COUNTIF('Elève (5ème3)'!GM5:GO9,"B"))*3)+((COUNTIF('Elève (5ème3)'!GM5:GO9,"C"))*2)+((COUNTIF('Elève (5ème3)'!GM5:GO9,"D"))*1))/(COUNTA(GM5:GO9)),"")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(5ème3)'!GR5:GT9,"A"))*4)+((COUNTIF('Elève (5ème3)'!GR5:GT9,"B"))*3)+((COUNTIF('Elève (5ème3)'!GR5:GT9,"C"))*2)+((COUNTIF('Elève (5ème3)'!GR5:GT9,"D"))*1))/(COUNTA(GR5:GT9)),"")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>3</v>
      </c>
      <c r="GX4" s="130" t="str">
        <f t="shared" ref="GX4:GX21" si="47">IF(GW4="","",IF(GW4&gt;3.7,"A",IF(GW4&gt;2.8,"B",IF(GW4&gt;1.5,"C",IF(GW4&gt;0,"D",IF(GW4=0,""))))))</f>
        <v>B</v>
      </c>
      <c r="GY4" s="152"/>
      <c r="GZ4" s="185"/>
      <c r="HA4" s="185"/>
      <c r="HB4" s="106">
        <f>IFERROR((((COUNTIF('Elève (5ème3)'!GY5:HA9,"A"))*4)+((COUNTIF('Elève (5ème3)'!GY5:HA9,"B"))*3)+((COUNTIF('Elève (5ème3)'!GY5:HA9,"C"))*2)+((COUNTIF('Elève (5ème3)'!GY5:HA9,"D"))*1))/(COUNTA(GY5:HA9)),"")</f>
        <v>3</v>
      </c>
      <c r="HC4" s="107" t="str">
        <f t="shared" ref="HC4:HC21" si="48">IF(HB4="","",IF(HB4&gt;3.7,"A",IF(HB4&gt;2.8,"B",IF(HB4&gt;1.5,"C",IF(HB4&gt;0,"D",IF(HB4=0,""))))))</f>
        <v>B</v>
      </c>
      <c r="HD4" s="204"/>
      <c r="HE4" s="186"/>
      <c r="HF4" s="205"/>
      <c r="HG4" s="106" t="str">
        <f>IFERROR((((COUNTIF('Elève (5ème3)'!HD5:HF9,"A"))*4)+((COUNTIF('Elève (5ème3)'!HD5:HF9,"B"))*3)+((COUNTIF('Elève (5ème3)'!HD5:HF9,"C"))*2)+((COUNTIF('Elève (5ème3)'!HD5:HF9,"D"))*1))/(COUNTA(HD5:HF9)),"")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(5ème3)'!HI5:HK9,"A"))*4)+((COUNTIF('Elève (5ème3)'!HI5:HK9,"B"))*3)+((COUNTIF('Elève (5ème3)'!HI5:HK9,"C"))*2)+((COUNTIF('Elève (5ème3)'!HI5:HK9,"D"))*1))/(COUNTA(HI5:HK9)),"")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>3</v>
      </c>
      <c r="HO4" s="130" t="str">
        <f t="shared" ref="HO4:HO21" si="51">IF(HN4="","",IF(HN4&gt;3.7,"A",IF(HN4&gt;2.8,"B",IF(HN4&gt;1.5,"C",IF(HN4&gt;0,"D",IF(HN4=0,""))))))</f>
        <v>B</v>
      </c>
      <c r="HP4" s="152"/>
      <c r="HQ4" s="185"/>
      <c r="HR4" s="185"/>
      <c r="HS4" s="106">
        <f>IFERROR((((COUNTIF('Elève (5ème3)'!HP5:HR9,"A"))*4)+((COUNTIF('Elève (5ème3)'!HP5:HR9,"B"))*3)+((COUNTIF('Elève (5ème3)'!HP5:HR9,"C"))*2)+((COUNTIF('Elève (5ème3)'!HP5:HR9,"D"))*1))/(COUNTA(HP5:HR9)),"")</f>
        <v>2</v>
      </c>
      <c r="HT4" s="107" t="str">
        <f t="shared" ref="HT4:HT21" si="52">IF(HS4="","",IF(HS4&gt;3.7,"A",IF(HS4&gt;2.8,"B",IF(HS4&gt;1.5,"C",IF(HS4&gt;0,"D",IF(HS4=0,""))))))</f>
        <v>C</v>
      </c>
      <c r="HU4" s="204"/>
      <c r="HV4" s="186"/>
      <c r="HW4" s="205"/>
      <c r="HX4" s="106" t="str">
        <f>IFERROR((((COUNTIF('Elève (5ème3)'!HU5:HW9,"A"))*4)+((COUNTIF('Elève (5ème3)'!HU5:HW9,"B"))*3)+((COUNTIF('Elève (5ème3)'!HU5:HW9,"C"))*2)+((COUNTIF('Elève (5ème3)'!HU5:HW9,"D"))*1))/(COUNTA(HU5:HW9)),"")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(5ème3)'!HZ5:IB9,"A"))*4)+((COUNTIF('Elève (5ème3)'!HZ5:IB9,"B"))*3)+((COUNTIF('Elève (5ème3)'!HZ5:IB9,"C"))*2)+((COUNTIF('Elève (5ème3)'!HZ5:IB9,"D"))*1))/(COUNTA(HZ5:IB9)),"")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>2</v>
      </c>
      <c r="IF4" s="130" t="str">
        <f t="shared" ref="IF4:IF21" si="55">IF(IE4="","",IF(IE4&gt;3.7,"A",IF(IE4&gt;2.8,"B",IF(IE4&gt;1.5,"C",IF(IE4&gt;0,"D",IF(IE4=0,""))))))</f>
        <v>C</v>
      </c>
      <c r="IG4" s="152"/>
      <c r="IH4" s="185"/>
      <c r="II4" s="185"/>
      <c r="IJ4" s="106">
        <f>IFERROR((((COUNTIF('Elève (5ème3)'!IG5:II9,"A"))*4)+((COUNTIF('Elève (5ème3)'!IG5:II9,"B"))*3)+((COUNTIF('Elève (5ème3)'!IG5:II9,"C"))*2)+((COUNTIF('Elève (5ème3)'!IG5:II9,"D"))*1))/(COUNTA(IG5:II9)),"")</f>
        <v>2</v>
      </c>
      <c r="IK4" s="107" t="str">
        <f t="shared" ref="IK4:IK21" si="56">IF(IJ4="","",IF(IJ4&gt;3.7,"A",IF(IJ4&gt;2.8,"B",IF(IJ4&gt;1.5,"C",IF(IJ4&gt;0,"D",IF(IJ4=0,""))))))</f>
        <v>C</v>
      </c>
      <c r="IL4" s="204"/>
      <c r="IM4" s="186"/>
      <c r="IN4" s="205"/>
      <c r="IO4" s="106" t="str">
        <f>IFERROR((((COUNTIF('Elève (5ème3)'!IL5:IN9,"A"))*4)+((COUNTIF('Elève (5ème3)'!IL5:IN9,"B"))*3)+((COUNTIF('Elève (5ème3)'!IL5:IN9,"C"))*2)+((COUNTIF('Elève (5ème3)'!IL5:IN9,"D"))*1))/(COUNTA(IL5:IN9)),"")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(5ème3)'!IQ5:IS9,"A"))*4)+((COUNTIF('Elève (5ème3)'!IQ5:IS9,"B"))*3)+((COUNTIF('Elève (5ème3)'!IQ5:IS9,"C"))*2)+((COUNTIF('Elève (5ème3)'!IQ5:IS9,"D"))*1))/(COUNTA(IQ5:IS9)),"")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>2</v>
      </c>
      <c r="IW4" s="130" t="str">
        <f t="shared" ref="IW4:IW21" si="59">IF(IV4="","",IF(IV4&gt;3.7,"A",IF(IV4&gt;2.8,"B",IF(IV4&gt;1.5,"C",IF(IV4&gt;0,"D",IF(IV4=0,""))))))</f>
        <v>C</v>
      </c>
      <c r="IX4" s="152"/>
      <c r="IY4" s="185"/>
      <c r="IZ4" s="185"/>
      <c r="JA4" s="106">
        <f>IFERROR((((COUNTIF('Elève (5ème3)'!IX5:IZ9,"A"))*4)+((COUNTIF('Elève (5ème3)'!IX5:IZ9,"B"))*3)+((COUNTIF('Elève (5ème3)'!IX5:IZ9,"C"))*2)+((COUNTIF('Elève (5ème3)'!IX5:IZ9,"D"))*1))/(COUNTA(IX5:IZ9)),"")</f>
        <v>3</v>
      </c>
      <c r="JB4" s="107" t="str">
        <f t="shared" ref="JB4:JB21" si="60">IF(JA4="","",IF(JA4&gt;3.7,"A",IF(JA4&gt;2.8,"B",IF(JA4&gt;1.5,"C",IF(JA4&gt;0,"D",IF(JA4=0,""))))))</f>
        <v>B</v>
      </c>
      <c r="JC4" s="204"/>
      <c r="JD4" s="186"/>
      <c r="JE4" s="205"/>
      <c r="JF4" s="106" t="str">
        <f>IFERROR((((COUNTIF('Elève (5ème3)'!JC5:JE9,"A"))*4)+((COUNTIF('Elève (5ème3)'!JC5:JE9,"B"))*3)+((COUNTIF('Elève (5ème3)'!JC5:JE9,"C"))*2)+((COUNTIF('Elève (5ème3)'!JC5:JE9,"D"))*1))/(COUNTA(JC5:JE9)),"")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(5ème3)'!JH5:JJ9,"A"))*4)+((COUNTIF('Elève (5ème3)'!JH5:JJ9,"B"))*3)+((COUNTIF('Elève (5ème3)'!JH5:JJ9,"C"))*2)+((COUNTIF('Elève (5ème3)'!JH5:JJ9,"D"))*1))/(COUNTA(JH5:JJ9)),"")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>3</v>
      </c>
      <c r="JN4" s="130" t="str">
        <f t="shared" ref="JN4:JN21" si="63">IF(JM4="","",IF(JM4&gt;3.7,"A",IF(JM4&gt;2.8,"B",IF(JM4&gt;1.5,"C",IF(JM4&gt;0,"D",IF(JM4=0,""))))))</f>
        <v>B</v>
      </c>
      <c r="JO4" s="152"/>
      <c r="JP4" s="185"/>
      <c r="JQ4" s="185"/>
      <c r="JR4" s="106">
        <f>IFERROR((((COUNTIF('Elève (5ème3)'!JO5:JQ9,"A"))*4)+((COUNTIF('Elève (5ème3)'!JO5:JQ9,"B"))*3)+((COUNTIF('Elève (5ème3)'!JO5:JQ9,"C"))*2)+((COUNTIF('Elève (5ème3)'!JO5:JQ9,"D"))*1))/(COUNTA(JO5:JQ9)),"")</f>
        <v>2</v>
      </c>
      <c r="JS4" s="107" t="str">
        <f t="shared" ref="JS4:JS21" si="64">IF(JR4="","",IF(JR4&gt;3.7,"A",IF(JR4&gt;2.8,"B",IF(JR4&gt;1.5,"C",IF(JR4&gt;0,"D",IF(JR4=0,""))))))</f>
        <v>C</v>
      </c>
      <c r="JT4" s="204"/>
      <c r="JU4" s="186"/>
      <c r="JV4" s="205"/>
      <c r="JW4" s="106" t="str">
        <f>IFERROR((((COUNTIF('Elève (5ème3)'!JT5:JV9,"A"))*4)+((COUNTIF('Elève (5ème3)'!JT5:JV9,"B"))*3)+((COUNTIF('Elève (5ème3)'!JT5:JV9,"C"))*2)+((COUNTIF('Elève (5ème3)'!JT5:JV9,"D"))*1))/(COUNTA(JT5:JV9)),"")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(5ème3)'!JY5:KA9,"A"))*4)+((COUNTIF('Elève (5ème3)'!JY5:KA9,"B"))*3)+((COUNTIF('Elève (5ème3)'!JY5:KA9,"C"))*2)+((COUNTIF('Elève (5ème3)'!JY5:KA9,"D"))*1))/(COUNTA(JY5:KA9)),"")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>2</v>
      </c>
      <c r="KE4" s="130" t="str">
        <f t="shared" ref="KE4:KE21" si="67">IF(KD4="","",IF(KD4&gt;3.7,"A",IF(KD4&gt;2.8,"B",IF(KD4&gt;1.5,"C",IF(KD4&gt;0,"D",IF(KD4=0,""))))))</f>
        <v>C</v>
      </c>
      <c r="KF4" s="152"/>
      <c r="KG4" s="185"/>
      <c r="KH4" s="185"/>
      <c r="KI4" s="106">
        <f>IFERROR((((COUNTIF('Elève (5ème3)'!KF5:KH9,"A"))*4)+((COUNTIF('Elève (5ème3)'!KF5:KH9,"B"))*3)+((COUNTIF('Elève (5ème3)'!KF5:KH9,"C"))*2)+((COUNTIF('Elève (5ème3)'!KF5:KH9,"D"))*1))/(COUNTA(KF5:KH9)),"")</f>
        <v>3</v>
      </c>
      <c r="KJ4" s="107" t="str">
        <f t="shared" ref="KJ4:KJ21" si="68">IF(KI4="","",IF(KI4&gt;3.7,"A",IF(KI4&gt;2.8,"B",IF(KI4&gt;1.5,"C",IF(KI4&gt;0,"D",IF(KI4=0,""))))))</f>
        <v>B</v>
      </c>
      <c r="KK4" s="204"/>
      <c r="KL4" s="186"/>
      <c r="KM4" s="205"/>
      <c r="KN4" s="106" t="str">
        <f>IFERROR((((COUNTIF('Elève (5ème3)'!KK5:KM9,"A"))*4)+((COUNTIF('Elève (5ème3)'!KK5:KM9,"B"))*3)+((COUNTIF('Elève (5ème3)'!KK5:KM9,"C"))*2)+((COUNTIF('Elève (5ème3)'!KK5:KM9,"D"))*1))/(COUNTA(KK5:KM9)),"")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(5ème3)'!KP5:KR9,"A"))*4)+((COUNTIF('Elève (5ème3)'!KP5:KR9,"B"))*3)+((COUNTIF('Elève (5ème3)'!KP5:KR9,"C"))*2)+((COUNTIF('Elève (5ème3)'!KP5:KR9,"D"))*1))/(COUNTA(KP5:KR9)),"")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>3</v>
      </c>
      <c r="KV4" s="130" t="str">
        <f t="shared" ref="KV4:KV21" si="71">IF(KU4="","",IF(KU4&gt;3.7,"A",IF(KU4&gt;2.8,"B",IF(KU4&gt;1.5,"C",IF(KU4&gt;0,"D",IF(KU4=0,""))))))</f>
        <v>B</v>
      </c>
      <c r="KW4" s="152"/>
      <c r="KX4" s="185"/>
      <c r="KY4" s="185"/>
      <c r="KZ4" s="106">
        <f>IFERROR((((COUNTIF('Elève (5ème3)'!KW5:KY9,"A"))*4)+((COUNTIF('Elève (5ème3)'!KW5:KY9,"B"))*3)+((COUNTIF('Elève (5ème3)'!KW5:KY9,"C"))*2)+((COUNTIF('Elève (5ème3)'!KW5:KY9,"D"))*1))/(COUNTA(KW5:KY9)),"")</f>
        <v>2</v>
      </c>
      <c r="LA4" s="107" t="str">
        <f t="shared" ref="LA4:LA21" si="72">IF(KZ4="","",IF(KZ4&gt;3.7,"A",IF(KZ4&gt;2.8,"B",IF(KZ4&gt;1.5,"C",IF(KZ4&gt;0,"D",IF(KZ4=0,""))))))</f>
        <v>C</v>
      </c>
      <c r="LB4" s="204"/>
      <c r="LC4" s="186"/>
      <c r="LD4" s="205"/>
      <c r="LE4" s="106" t="str">
        <f>IFERROR((((COUNTIF('Elève (5ème3)'!LB5:LD9,"A"))*4)+((COUNTIF('Elève (5ème3)'!LB5:LD9,"B"))*3)+((COUNTIF('Elève (5ème3)'!LB5:LD9,"C"))*2)+((COUNTIF('Elève (5ème3)'!LB5:LD9,"D"))*1))/(COUNTA(LB5:LD9)),"")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(5ème3)'!LG5:LI9,"A"))*4)+((COUNTIF('Elève (5ème3)'!LG5:LI9,"B"))*3)+((COUNTIF('Elève (5ème3)'!LG5:LI9,"C"))*2)+((COUNTIF('Elève (5ème3)'!LG5:LI9,"D"))*1))/(COUNTA(LG5:LI9)),"")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>2</v>
      </c>
      <c r="LM4" s="130" t="str">
        <f t="shared" ref="LM4:LM21" si="75">IF(LL4="","",IF(LL4&gt;3.7,"A",IF(LL4&gt;2.8,"B",IF(LL4&gt;1.5,"C",IF(LL4&gt;0,"D",IF(LL4=0,""))))))</f>
        <v>C</v>
      </c>
      <c r="LN4" s="152"/>
      <c r="LO4" s="185"/>
      <c r="LP4" s="185"/>
      <c r="LQ4" s="106">
        <f>IFERROR((((COUNTIF('Elève (5ème3)'!LN5:LP9,"A"))*4)+((COUNTIF('Elève (5ème3)'!LN5:LP9,"B"))*3)+((COUNTIF('Elève (5ème3)'!LN5:LP9,"C"))*2)+((COUNTIF('Elève (5ème3)'!LN5:LP9,"D"))*1))/(COUNTA(LN5:LP9)),"")</f>
        <v>3</v>
      </c>
      <c r="LR4" s="107" t="str">
        <f t="shared" ref="LR4:LR21" si="76">IF(LQ4="","",IF(LQ4&gt;3.7,"A",IF(LQ4&gt;2.8,"B",IF(LQ4&gt;1.5,"C",IF(LQ4&gt;0,"D",IF(LQ4=0,""))))))</f>
        <v>B</v>
      </c>
      <c r="LS4" s="204"/>
      <c r="LT4" s="186"/>
      <c r="LU4" s="205"/>
      <c r="LV4" s="106" t="str">
        <f>IFERROR((((COUNTIF('Elève (5ème3)'!LS5:LU9,"A"))*4)+((COUNTIF('Elève (5ème3)'!LS5:LU9,"B"))*3)+((COUNTIF('Elève (5ème3)'!LS5:LU9,"C"))*2)+((COUNTIF('Elève (5ème3)'!LS5:LU9,"D"))*1))/(COUNTA(LS5:LU9)),"")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(5ème3)'!LX5:LZ9,"A"))*4)+((COUNTIF('Elève (5ème3)'!LX5:LZ9,"B"))*3)+((COUNTIF('Elève (5ème3)'!LX5:LZ9,"C"))*2)+((COUNTIF('Elève (5ème3)'!LX5:LZ9,"D"))*1))/(COUNTA(LX5:LZ9)),"")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>3</v>
      </c>
      <c r="MD4" s="130" t="str">
        <f t="shared" ref="MD4:MD21" si="79">IF(MC4="","",IF(MC4&gt;3.7,"A",IF(MC4&gt;2.8,"B",IF(MC4&gt;1.5,"C",IF(MC4&gt;0,"D",IF(MC4=0,""))))))</f>
        <v>B</v>
      </c>
      <c r="ME4" s="152"/>
      <c r="MF4" s="185"/>
      <c r="MG4" s="185"/>
      <c r="MH4" s="106">
        <f>IFERROR((((COUNTIF('Elève (5ème3)'!ME5:MG9,"A"))*4)+((COUNTIF('Elève (5ème3)'!ME5:MG9,"B"))*3)+((COUNTIF('Elève (5ème3)'!ME5:MG9,"C"))*2)+((COUNTIF('Elève (5ème3)'!ME5:MG9,"D"))*1))/(COUNTA(ME5:MG9)),"")</f>
        <v>3</v>
      </c>
      <c r="MI4" s="107" t="str">
        <f t="shared" ref="MI4:MI21" si="80">IF(MH4="","",IF(MH4&gt;3.7,"A",IF(MH4&gt;2.8,"B",IF(MH4&gt;1.5,"C",IF(MH4&gt;0,"D",IF(MH4=0,""))))))</f>
        <v>B</v>
      </c>
      <c r="MJ4" s="204"/>
      <c r="MK4" s="186"/>
      <c r="ML4" s="205"/>
      <c r="MM4" s="106" t="str">
        <f>IFERROR((((COUNTIF('Elève (5ème3)'!MJ5:ML9,"A"))*4)+((COUNTIF('Elève (5ème3)'!MJ5:ML9,"B"))*3)+((COUNTIF('Elève (5ème3)'!MJ5:ML9,"C"))*2)+((COUNTIF('Elève (5ème3)'!MJ5:ML9,"D"))*1))/(COUNTA(MJ5:ML9)),"")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(5ème3)'!MO5:MQ9,"A"))*4)+((COUNTIF('Elève (5ème3)'!MO5:MQ9,"B"))*3)+((COUNTIF('Elève (5ème3)'!MO5:MQ9,"C"))*2)+((COUNTIF('Elève (5ème3)'!MO5:MQ9,"D"))*1))/(COUNTA(MO5:MQ9)),"")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>3</v>
      </c>
      <c r="MU4" s="130" t="str">
        <f t="shared" ref="MU4:MU21" si="83">IF(MT4="","",IF(MT4&gt;3.7,"A",IF(MT4&gt;2.8,"B",IF(MT4&gt;1.5,"C",IF(MT4&gt;0,"D",IF(MT4=0,""))))))</f>
        <v>B</v>
      </c>
      <c r="MV4" s="152"/>
      <c r="MW4" s="185"/>
      <c r="MX4" s="185"/>
      <c r="MY4" s="106">
        <f>IFERROR((((COUNTIF('Elève (5ème3)'!MV5:MX9,"A"))*4)+((COUNTIF('Elève (5ème3)'!MV5:MX9,"B"))*3)+((COUNTIF('Elève (5ème3)'!MV5:MX9,"C"))*2)+((COUNTIF('Elève (5ème3)'!MV5:MX9,"D"))*1))/(COUNTA(MV5:MX9)),"")</f>
        <v>3</v>
      </c>
      <c r="MZ4" s="107" t="str">
        <f t="shared" ref="MZ4:MZ21" si="84">IF(MY4="","",IF(MY4&gt;3.7,"A",IF(MY4&gt;2.8,"B",IF(MY4&gt;1.5,"C",IF(MY4&gt;0,"D",IF(MY4=0,""))))))</f>
        <v>B</v>
      </c>
      <c r="NA4" s="204"/>
      <c r="NB4" s="186"/>
      <c r="NC4" s="205"/>
      <c r="ND4" s="106" t="str">
        <f>IFERROR((((COUNTIF('Elève (5ème3)'!NA5:NC9,"A"))*4)+((COUNTIF('Elève (5ème3)'!NA5:NC9,"B"))*3)+((COUNTIF('Elève (5ème3)'!NA5:NC9,"C"))*2)+((COUNTIF('Elève (5ème3)'!NA5:NC9,"D"))*1))/(COUNTA(NA5:NC9)),"")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(5ème3)'!NF5:NH9,"A"))*4)+((COUNTIF('Elève (5ème3)'!NF5:NH9,"B"))*3)+((COUNTIF('Elève (5ème3)'!NF5:NH9,"C"))*2)+((COUNTIF('Elève (5ème3)'!NF5:NH9,"D"))*1))/(COUNTA(NF5:NH9)),"")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>3</v>
      </c>
      <c r="NL4" s="130" t="str">
        <f t="shared" ref="NL4:NL21" si="87">IF(NK4="","",IF(NK4&gt;3.7,"A",IF(NK4&gt;2.8,"B",IF(NK4&gt;1.5,"C",IF(NK4&gt;0,"D",IF(NK4=0,""))))))</f>
        <v>B</v>
      </c>
      <c r="NM4" s="152"/>
      <c r="NN4" s="185"/>
      <c r="NO4" s="185"/>
      <c r="NP4" s="106">
        <f>IFERROR((((COUNTIF('Elève (5ème3)'!NM5:NO9,"A"))*4)+((COUNTIF('Elève (5ème3)'!NM5:NO9,"B"))*3)+((COUNTIF('Elève (5ème3)'!NM5:NO9,"C"))*2)+((COUNTIF('Elève (5ème3)'!NM5:NO9,"D"))*1))/(COUNTA(NM5:NO9)),"")</f>
        <v>3</v>
      </c>
      <c r="NQ4" s="107" t="str">
        <f t="shared" ref="NQ4:NQ21" si="88">IF(NP4="","",IF(NP4&gt;3.7,"A",IF(NP4&gt;2.8,"B",IF(NP4&gt;1.5,"C",IF(NP4&gt;0,"D",IF(NP4=0,""))))))</f>
        <v>B</v>
      </c>
      <c r="NR4" s="204"/>
      <c r="NS4" s="186"/>
      <c r="NT4" s="205"/>
      <c r="NU4" s="106" t="str">
        <f>IFERROR((((COUNTIF('Elève (5ème3)'!NR5:NT9,"A"))*4)+((COUNTIF('Elève (5ème3)'!NR5:NT9,"B"))*3)+((COUNTIF('Elève (5ème3)'!NR5:NT9,"C"))*2)+((COUNTIF('Elève (5ème3)'!NR5:NT9,"D"))*1))/(COUNTA(NR5:NT9)),"")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(5ème3)'!NW5:NY9,"A"))*4)+((COUNTIF('Elève (5ème3)'!NW5:NY9,"B"))*3)+((COUNTIF('Elève (5ème3)'!NW5:NY9,"C"))*2)+((COUNTIF('Elève (5ème3)'!NW5:NY9,"D"))*1))/(COUNTA(NW5:NY9)),"")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>3</v>
      </c>
      <c r="OC4" s="130" t="str">
        <f t="shared" ref="OC4:OC21" si="91">IF(OB4="","",IF(OB4&gt;3.7,"A",IF(OB4&gt;2.8,"B",IF(OB4&gt;1.5,"C",IF(OB4&gt;0,"D",IF(OB4=0,""))))))</f>
        <v>B</v>
      </c>
      <c r="OD4" s="152"/>
      <c r="OE4" s="185"/>
      <c r="OF4" s="185"/>
      <c r="OG4" s="106">
        <f>IFERROR((((COUNTIF('Elève (5ème3)'!OD5:OF9,"A"))*4)+((COUNTIF('Elève (5ème3)'!OD5:OF9,"B"))*3)+((COUNTIF('Elève (5ème3)'!OD5:OF9,"C"))*2)+((COUNTIF('Elève (5ème3)'!OD5:OF9,"D"))*1))/(COUNTA(OD5:OF9)),"")</f>
        <v>2</v>
      </c>
      <c r="OH4" s="107" t="str">
        <f t="shared" ref="OH4:OH21" si="92">IF(OG4="","",IF(OG4&gt;3.7,"A",IF(OG4&gt;2.8,"B",IF(OG4&gt;1.5,"C",IF(OG4&gt;0,"D",IF(OG4=0,""))))))</f>
        <v>C</v>
      </c>
      <c r="OI4" s="204"/>
      <c r="OJ4" s="186"/>
      <c r="OK4" s="205"/>
      <c r="OL4" s="106" t="str">
        <f>IFERROR((((COUNTIF('Elève (5ème3)'!OI5:OK9,"A"))*4)+((COUNTIF('Elève (5ème3)'!OI5:OK9,"B"))*3)+((COUNTIF('Elève (5ème3)'!OI5:OK9,"C"))*2)+((COUNTIF('Elève (5ème3)'!OI5:OK9,"D"))*1))/(COUNTA(OI5:OK9)),"")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(5ème3)'!ON5:OP9,"A"))*4)+((COUNTIF('Elève (5ème3)'!ON5:OP9,"B"))*3)+((COUNTIF('Elève (5ème3)'!ON5:OP9,"C"))*2)+((COUNTIF('Elève (5ème3)'!ON5:OP9,"D"))*1))/(COUNTA(ON5:OP9)),"")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>2</v>
      </c>
      <c r="OT4" s="130" t="str">
        <f t="shared" ref="OT4:OT21" si="95">IF(OS4="","",IF(OS4&gt;3.7,"A",IF(OS4&gt;2.8,"B",IF(OS4&gt;1.5,"C",IF(OS4&gt;0,"D",IF(OS4=0,""))))))</f>
        <v>C</v>
      </c>
      <c r="OU4" s="152"/>
      <c r="OV4" s="185"/>
      <c r="OW4" s="185"/>
      <c r="OX4" s="106">
        <f>IFERROR((((COUNTIF('Elève (5ème3)'!OU5:OW9,"A"))*4)+((COUNTIF('Elève (5ème3)'!OU5:OW9,"B"))*3)+((COUNTIF('Elève (5ème3)'!OU5:OW9,"C"))*2)+((COUNTIF('Elève (5ème3)'!OU5:OW9,"D"))*1))/(COUNTA(OU5:OW9)),"")</f>
        <v>3</v>
      </c>
      <c r="OY4" s="107" t="str">
        <f t="shared" ref="OY4:OY21" si="96">IF(OX4="","",IF(OX4&gt;3.7,"A",IF(OX4&gt;2.8,"B",IF(OX4&gt;1.5,"C",IF(OX4&gt;0,"D",IF(OX4=0,""))))))</f>
        <v>B</v>
      </c>
      <c r="OZ4" s="204"/>
      <c r="PA4" s="186"/>
      <c r="PB4" s="205"/>
      <c r="PC4" s="106" t="str">
        <f>IFERROR((((COUNTIF('Elève (5ème3)'!OZ5:PB9,"A"))*4)+((COUNTIF('Elève (5ème3)'!OZ5:PB9,"B"))*3)+((COUNTIF('Elève (5ème3)'!OZ5:PB9,"C"))*2)+((COUNTIF('Elève (5ème3)'!OZ5:PB9,"D"))*1))/(COUNTA(OZ5:PB9)),"")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(5ème3)'!PE5:PG9,"A"))*4)+((COUNTIF('Elève (5ème3)'!PE5:PG9,"B"))*3)+((COUNTIF('Elève (5ème3)'!PE5:PG9,"C"))*2)+((COUNTIF('Elève (5ème3)'!PE5:PG9,"D"))*1))/(COUNTA(PE5:PG9)),"")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>3</v>
      </c>
      <c r="PK4" s="130" t="str">
        <f t="shared" ref="PK4:PK21" si="99">IF(PJ4="","",IF(PJ4&gt;3.7,"A",IF(PJ4&gt;2.8,"B",IF(PJ4&gt;1.5,"C",IF(PJ4&gt;0,"D",IF(PJ4=0,""))))))</f>
        <v>B</v>
      </c>
      <c r="PL4" s="152"/>
      <c r="PM4" s="185"/>
      <c r="PN4" s="185"/>
      <c r="PO4" s="106">
        <f>IFERROR((((COUNTIF('Elève (5ème3)'!PL5:PN9,"A"))*4)+((COUNTIF('Elève (5ème3)'!PL5:PN9,"B"))*3)+((COUNTIF('Elève (5ème3)'!PL5:PN9,"C"))*2)+((COUNTIF('Elève (5ème3)'!PL5:PN9,"D"))*1))/(COUNTA(PL5:PN9)),"")</f>
        <v>3</v>
      </c>
      <c r="PP4" s="107" t="str">
        <f t="shared" ref="PP4:PP21" si="100">IF(PO4="","",IF(PO4&gt;3.7,"A",IF(PO4&gt;2.8,"B",IF(PO4&gt;1.5,"C",IF(PO4&gt;0,"D",IF(PO4=0,""))))))</f>
        <v>B</v>
      </c>
      <c r="PQ4" s="204"/>
      <c r="PR4" s="186"/>
      <c r="PS4" s="205"/>
      <c r="PT4" s="106" t="str">
        <f>IFERROR((((COUNTIF('Elève (5ème3)'!PQ5:PS9,"A"))*4)+((COUNTIF('Elève (5ème3)'!PQ5:PS9,"B"))*3)+((COUNTIF('Elève (5ème3)'!PQ5:PS9,"C"))*2)+((COUNTIF('Elève (5ème3)'!PQ5:PS9,"D"))*1))/(COUNTA(PQ5:PS9)),"")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(5ème3)'!PV5:PX9,"A"))*4)+((COUNTIF('Elève (5ème3)'!PV5:PX9,"B"))*3)+((COUNTIF('Elève (5ème3)'!PV5:PX9,"C"))*2)+((COUNTIF('Elève (5ème3)'!PV5:PX9,"D"))*1))/(COUNTA(PV5:PX9)),"")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>3</v>
      </c>
      <c r="QB4" s="130" t="str">
        <f t="shared" ref="QB4:QB21" si="103">IF(QA4="","",IF(QA4&gt;3.7,"A",IF(QA4&gt;2.8,"B",IF(QA4&gt;1.5,"C",IF(QA4&gt;0,"D",IF(QA4=0,""))))))</f>
        <v>B</v>
      </c>
      <c r="QC4" s="152"/>
      <c r="QD4" s="185"/>
      <c r="QE4" s="185"/>
      <c r="QF4" s="106">
        <f>IFERROR((((COUNTIF('Elève (5ème3)'!QC5:QE9,"A"))*4)+((COUNTIF('Elève (5ème3)'!QC5:QE9,"B"))*3)+((COUNTIF('Elève (5ème3)'!QC5:QE9,"C"))*2)+((COUNTIF('Elève (5ème3)'!QC5:QE9,"D"))*1))/(COUNTA(QC5:QE9)),"")</f>
        <v>3</v>
      </c>
      <c r="QG4" s="107" t="str">
        <f t="shared" ref="QG4:QG21" si="104">IF(QF4="","",IF(QF4&gt;3.7,"A",IF(QF4&gt;2.8,"B",IF(QF4&gt;1.5,"C",IF(QF4&gt;0,"D",IF(QF4=0,""))))))</f>
        <v>B</v>
      </c>
      <c r="QH4" s="204"/>
      <c r="QI4" s="186"/>
      <c r="QJ4" s="205"/>
      <c r="QK4" s="106" t="str">
        <f>IFERROR((((COUNTIF('Elève (5ème3)'!QH5:QJ9,"A"))*4)+((COUNTIF('Elève (5ème3)'!QH5:QJ9,"B"))*3)+((COUNTIF('Elève (5ème3)'!QH5:QJ9,"C"))*2)+((COUNTIF('Elève (5ème3)'!QH5:QJ9,"D"))*1))/(COUNTA(QH5:QJ9)),"")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(5ème3)'!QM5:QO9,"A"))*4)+((COUNTIF('Elève (5ème3)'!QM5:QO9,"B"))*3)+((COUNTIF('Elève (5ème3)'!QM5:QO9,"C"))*2)+((COUNTIF('Elève (5ème3)'!QM5:QO9,"D"))*1))/(COUNTA(QM5:QO9)),"")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>3</v>
      </c>
      <c r="QS4" s="130" t="str">
        <f t="shared" ref="QS4:QS21" si="107">IF(QR4="","",IF(QR4&gt;3.7,"A",IF(QR4&gt;2.8,"B",IF(QR4&gt;1.5,"C",IF(QR4&gt;0,"D",IF(QR4=0,""))))))</f>
        <v>B</v>
      </c>
      <c r="QT4" s="152"/>
      <c r="QU4" s="185"/>
      <c r="QV4" s="185"/>
      <c r="QW4" s="106">
        <f>IFERROR((((COUNTIF('Elève (5ème3)'!QT5:QV9,"A"))*4)+((COUNTIF('Elève (5ème3)'!QT5:QV9,"B"))*3)+((COUNTIF('Elève (5ème3)'!QT5:QV9,"C"))*2)+((COUNTIF('Elève (5ème3)'!QT5:QV9,"D"))*1))/(COUNTA(QT5:QV9)),"")</f>
        <v>3</v>
      </c>
      <c r="QX4" s="107" t="str">
        <f t="shared" ref="QX4:QX21" si="108">IF(QW4="","",IF(QW4&gt;3.7,"A",IF(QW4&gt;2.8,"B",IF(QW4&gt;1.5,"C",IF(QW4&gt;0,"D",IF(QW4=0,""))))))</f>
        <v>B</v>
      </c>
      <c r="QY4" s="204"/>
      <c r="QZ4" s="186"/>
      <c r="RA4" s="205"/>
      <c r="RB4" s="106" t="str">
        <f>IFERROR((((COUNTIF('Elève (5ème3)'!QY5:RA9,"A"))*4)+((COUNTIF('Elève (5ème3)'!QY5:RA9,"B"))*3)+((COUNTIF('Elève (5ème3)'!QY5:RA9,"C"))*2)+((COUNTIF('Elève (5ème3)'!QY5:RA9,"D"))*1))/(COUNTA(QY5:RA9)),"")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(5ème3)'!RD5:RF9,"A"))*4)+((COUNTIF('Elève (5ème3)'!RD5:RF9,"B"))*3)+((COUNTIF('Elève (5ème3)'!RD5:RF9,"C"))*2)+((COUNTIF('Elève (5ème3)'!RD5:RF9,"D"))*1))/(COUNTA(RD5:RF9)),"")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>3</v>
      </c>
      <c r="RJ4" s="130" t="str">
        <f t="shared" ref="RJ4:RJ21" si="111">IF(RI4="","",IF(RI4&gt;3.7,"A",IF(RI4&gt;2.8,"B",IF(RI4&gt;1.5,"C",IF(RI4&gt;0,"D",IF(RI4=0,""))))))</f>
        <v>B</v>
      </c>
      <c r="RK4" s="152"/>
      <c r="RL4" s="185"/>
      <c r="RM4" s="185"/>
      <c r="RN4" s="106" t="str">
        <f>IFERROR((((COUNTIF('Elève (5ème3)'!RK5:RM9,"A"))*4)+((COUNTIF('Elève (5ème3)'!RK5:RM9,"B"))*3)+((COUNTIF('Elève (5ème3)'!RK5:RM9,"C"))*2)+((COUNTIF('Elève (5ème3)'!RK5:RM9,"D"))*1))/(COUNTA(RK5:RM9)),"")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4"/>
      <c r="RQ4" s="186"/>
      <c r="RR4" s="205"/>
      <c r="RS4" s="106" t="str">
        <f>IFERROR((((COUNTIF('Elève (5ème3)'!RP5:RR9,"A"))*4)+((COUNTIF('Elève (5ème3)'!RP5:RR9,"B"))*3)+((COUNTIF('Elève (5ème3)'!RP5:RR9,"C"))*2)+((COUNTIF('Elève (5ème3)'!RP5:RR9,"D"))*1))/(COUNTA(RP5:RR9)),"")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(5ème3)'!RU5:RW9,"A"))*4)+((COUNTIF('Elève (5ème3)'!RU5:RW9,"B"))*3)+((COUNTIF('Elève (5ème3)'!RU5:RW9,"C"))*2)+((COUNTIF('Elève (5ème3)'!RU5:RW9,"D"))*1))/(COUNTA(RU5:RW9)),"")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(5ème3)'!SB5:SD9,"A"))*4)+((COUNTIF('Elève (5ème3)'!SB5:SD9,"B"))*3)+((COUNTIF('Elève (5ème3)'!SB5:SD9,"C"))*2)+((COUNTIF('Elève (5ème3)'!SB5:SD9,"D"))*1))/(COUNTA(SB5:SD9)),"")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4"/>
      <c r="SH4" s="186"/>
      <c r="SI4" s="205"/>
      <c r="SJ4" s="106" t="str">
        <f>IFERROR((((COUNTIF('Elève (5ème3)'!SG5:SI9,"A"))*4)+((COUNTIF('Elève (5ème3)'!SG5:SI9,"B"))*3)+((COUNTIF('Elève (5ème3)'!SG5:SI9,"C"))*2)+((COUNTIF('Elève (5ème3)'!SG5:SI9,"D"))*1))/(COUNTA(SG5:SI9)),"")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(5ème3)'!SL5:SN9,"A"))*4)+((COUNTIF('Elève (5ème3)'!SL5:SN9,"B"))*3)+((COUNTIF('Elève (5ème3)'!SL5:SN9,"C"))*2)+((COUNTIF('Elève (5ème3)'!SL5:SN9,"D"))*1))/(COUNTA(SL5:SN9)),"")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1" t="s">
        <v>12</v>
      </c>
      <c r="B5" s="222"/>
      <c r="C5" s="153" t="s">
        <v>29</v>
      </c>
      <c r="D5" s="154"/>
      <c r="E5" s="155"/>
      <c r="F5" s="108">
        <f>IFERROR((((COUNTIF('Elève (5ème3)'!C5:E5,"A"))*4)+((COUNTIF('Elève (5ème3)'!C5:E5,"B"))*3)+((COUNTIF('Elève (5ème3)'!C5:E5,"C"))*2)+((COUNTIF('Elève (5ème3)'!C5:E5,"D"))*1))/(COUNTA(C5:E5)),"")</f>
        <v>2</v>
      </c>
      <c r="G5" s="109" t="str">
        <f t="shared" si="0"/>
        <v>C</v>
      </c>
      <c r="H5" s="78"/>
      <c r="I5" s="79"/>
      <c r="J5" s="80"/>
      <c r="K5" s="108" t="str">
        <f>IFERROR((((COUNTIF('Elève (5ème3)'!H5:J5,"A"))*4)+((COUNTIF('Elève (5ème3)'!H5:J5,"B"))*3)+((COUNTIF('Elève (5ème3)'!H5:J5,"C"))*2)+((COUNTIF('Elève (5ème3)'!H5:J5,"D"))*1))/(COUNTA(H5:J5)),"")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(5ème3)'!M5:O5,"A"))*4)+((COUNTIF('Elève (5ème3)'!M5:O5,"B"))*3)+((COUNTIF('Elève (5ème3)'!M5:O5,"C"))*2)+((COUNTIF('Elève (5ème3)'!M5:O5,"D"))*1))/(COUNTA(M5:O5)),"")</f>
        <v/>
      </c>
      <c r="Q5" s="109" t="str">
        <f t="shared" si="2"/>
        <v/>
      </c>
      <c r="R5" s="178">
        <f>IF(COUNT(F5,K5,P5)=0,"",SUM(F5,K5,P5)/COUNT(F5,K5,P5))</f>
        <v>2</v>
      </c>
      <c r="S5" s="131" t="str">
        <f t="shared" si="3"/>
        <v>C</v>
      </c>
      <c r="T5" s="153" t="s">
        <v>28</v>
      </c>
      <c r="U5" s="154"/>
      <c r="V5" s="155"/>
      <c r="W5" s="108">
        <f>IFERROR((((COUNTIF('Elève (5ème3)'!T5:V5,"A"))*4)+((COUNTIF('Elève (5ème3)'!T5:V5,"B"))*3)+((COUNTIF('Elève (5ème3)'!T5:V5,"C"))*2)+((COUNTIF('Elève (5ème3)'!T5:V5,"D"))*1))/(COUNTA(T5:V5)),"")</f>
        <v>3</v>
      </c>
      <c r="X5" s="109" t="str">
        <f t="shared" si="4"/>
        <v>B</v>
      </c>
      <c r="Y5" s="78"/>
      <c r="Z5" s="79"/>
      <c r="AA5" s="80"/>
      <c r="AB5" s="108" t="str">
        <f>IFERROR((((COUNTIF('Elève (5ème3)'!Y5:AA5,"A"))*4)+((COUNTIF('Elève (5ème3)'!Y5:AA5,"B"))*3)+((COUNTIF('Elève (5ème3)'!Y5:AA5,"C"))*2)+((COUNTIF('Elève (5ème3)'!Y5:AA5,"D"))*1))/(COUNTA(Y5:AA5)),"")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(5ème3)'!AD5:AF5,"A"))*4)+((COUNTIF('Elève (5ème3)'!AD5:AF5,"B"))*3)+((COUNTIF('Elève (5ème3)'!AD5:AF5,"C"))*2)+((COUNTIF('Elève (5ème3)'!AD5:AF5,"D"))*1))/(COUNTA(AD5:AF5)),"")</f>
        <v/>
      </c>
      <c r="AH5" s="109" t="str">
        <f t="shared" si="6"/>
        <v/>
      </c>
      <c r="AI5" s="178">
        <f>IF(COUNT(W5,AB5,AG5)=0,"",SUM(W5,AB5,AG5)/COUNT(W5,AB5,AG5))</f>
        <v>3</v>
      </c>
      <c r="AJ5" s="131" t="str">
        <f t="shared" si="7"/>
        <v>B</v>
      </c>
      <c r="AK5" s="153" t="s">
        <v>28</v>
      </c>
      <c r="AL5" s="154"/>
      <c r="AM5" s="155"/>
      <c r="AN5" s="108">
        <f>IFERROR((((COUNTIF('Elève (5ème3)'!AK5:AM5,"A"))*4)+((COUNTIF('Elève (5ème3)'!AK5:AM5,"B"))*3)+((COUNTIF('Elève (5ème3)'!AK5:AM5,"C"))*2)+((COUNTIF('Elève (5ème3)'!AK5:AM5,"D"))*1))/(COUNTA(AK5:AM5)),"")</f>
        <v>3</v>
      </c>
      <c r="AO5" s="109" t="str">
        <f t="shared" si="8"/>
        <v>B</v>
      </c>
      <c r="AP5" s="78"/>
      <c r="AQ5" s="79"/>
      <c r="AR5" s="80"/>
      <c r="AS5" s="108" t="str">
        <f>IFERROR((((COUNTIF('Elève (5ème3)'!AP5:AR5,"A"))*4)+((COUNTIF('Elève (5ème3)'!AP5:AR5,"B"))*3)+((COUNTIF('Elève (5ème3)'!AP5:AR5,"C"))*2)+((COUNTIF('Elève (5ème3)'!AP5:AR5,"D"))*1))/(COUNTA(AP5:AR5)),"")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(5ème3)'!AU5:AW5,"A"))*4)+((COUNTIF('Elève (5ème3)'!AU5:AW5,"B"))*3)+((COUNTIF('Elève (5ème3)'!AU5:AW5,"C"))*2)+((COUNTIF('Elève (5ème3)'!AU5:AW5,"D"))*1))/(COUNTA(AU5:AW5)),"")</f>
        <v/>
      </c>
      <c r="AY5" s="109" t="str">
        <f t="shared" si="10"/>
        <v/>
      </c>
      <c r="AZ5" s="178">
        <f>IF(COUNT(AN5,AS5,AX5)=0,"",SUM(AN5,AS5,AX5)/COUNT(AN5,AS5,AX5))</f>
        <v>3</v>
      </c>
      <c r="BA5" s="131" t="str">
        <f t="shared" si="11"/>
        <v>B</v>
      </c>
      <c r="BB5" s="153" t="s">
        <v>28</v>
      </c>
      <c r="BC5" s="154"/>
      <c r="BD5" s="155"/>
      <c r="BE5" s="108">
        <f>IFERROR((((COUNTIF('Elève (5ème3)'!BB5:BD5,"A"))*4)+((COUNTIF('Elève (5ème3)'!BB5:BD5,"B"))*3)+((COUNTIF('Elève (5ème3)'!BB5:BD5,"C"))*2)+((COUNTIF('Elève (5ème3)'!BB5:BD5,"D"))*1))/(COUNTA(BB5:BD5)),"")</f>
        <v>3</v>
      </c>
      <c r="BF5" s="109" t="str">
        <f t="shared" si="12"/>
        <v>B</v>
      </c>
      <c r="BG5" s="78"/>
      <c r="BH5" s="79"/>
      <c r="BI5" s="80"/>
      <c r="BJ5" s="108" t="str">
        <f>IFERROR((((COUNTIF('Elève (5ème3)'!BG5:BI5,"A"))*4)+((COUNTIF('Elève (5ème3)'!BG5:BI5,"B"))*3)+((COUNTIF('Elève (5ème3)'!BG5:BI5,"C"))*2)+((COUNTIF('Elève (5ème3)'!BG5:BI5,"D"))*1))/(COUNTA(BG5:BI5)),"")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(5ème3)'!BL5:BN5,"A"))*4)+((COUNTIF('Elève (5ème3)'!BL5:BN5,"B"))*3)+((COUNTIF('Elève (5ème3)'!BL5:BN5,"C"))*2)+((COUNTIF('Elève (5ème3)'!BL5:BN5,"D"))*1))/(COUNTA(BL5:BN5)),"")</f>
        <v/>
      </c>
      <c r="BP5" s="109" t="str">
        <f t="shared" si="14"/>
        <v/>
      </c>
      <c r="BQ5" s="178">
        <f>IF(COUNT(BE5,BJ5,BO5)=0,"",SUM(BE5,BJ5,BO5)/COUNT(BE5,BJ5,BO5))</f>
        <v>3</v>
      </c>
      <c r="BR5" s="131" t="str">
        <f t="shared" si="15"/>
        <v>B</v>
      </c>
      <c r="BS5" s="153" t="s">
        <v>29</v>
      </c>
      <c r="BT5" s="154"/>
      <c r="BU5" s="155"/>
      <c r="BV5" s="108">
        <f>IFERROR((((COUNTIF('Elève (5ème3)'!BS5:BU5,"A"))*4)+((COUNTIF('Elève (5ème3)'!BS5:BU5,"B"))*3)+((COUNTIF('Elève (5ème3)'!BS5:BU5,"C"))*2)+((COUNTIF('Elève (5ème3)'!BS5:BU5,"D"))*1))/(COUNTA(BS5:BU5)),"")</f>
        <v>2</v>
      </c>
      <c r="BW5" s="109" t="str">
        <f t="shared" si="16"/>
        <v>C</v>
      </c>
      <c r="BX5" s="78"/>
      <c r="BY5" s="79"/>
      <c r="BZ5" s="80"/>
      <c r="CA5" s="108" t="str">
        <f>IFERROR((((COUNTIF('Elève (5ème3)'!BX5:BZ5,"A"))*4)+((COUNTIF('Elève (5ème3)'!BX5:BZ5,"B"))*3)+((COUNTIF('Elève (5ème3)'!BX5:BZ5,"C"))*2)+((COUNTIF('Elève (5ème3)'!BX5:BZ5,"D"))*1))/(COUNTA(BX5:BZ5)),"")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(5ème3)'!CC5:CE5,"A"))*4)+((COUNTIF('Elève (5ème3)'!CC5:CE5,"B"))*3)+((COUNTIF('Elève (5ème3)'!CC5:CE5,"C"))*2)+((COUNTIF('Elève (5ème3)'!CC5:CE5,"D"))*1))/(COUNTA(CC5:CE5)),"")</f>
        <v/>
      </c>
      <c r="CG5" s="109" t="str">
        <f t="shared" si="18"/>
        <v/>
      </c>
      <c r="CH5" s="178">
        <f>IF(COUNT(BV5,CA5,CF5)=0,"",SUM(BV5,CA5,CF5)/COUNT(BV5,CA5,CF5))</f>
        <v>2</v>
      </c>
      <c r="CI5" s="131" t="str">
        <f t="shared" si="19"/>
        <v>C</v>
      </c>
      <c r="CJ5" s="153" t="s">
        <v>28</v>
      </c>
      <c r="CK5" s="154"/>
      <c r="CL5" s="155"/>
      <c r="CM5" s="108">
        <f>IFERROR((((COUNTIF('Elève (5ème3)'!CJ5:CL5,"A"))*4)+((COUNTIF('Elève (5ème3)'!CJ5:CL5,"B"))*3)+((COUNTIF('Elève (5ème3)'!CJ5:CL5,"C"))*2)+((COUNTIF('Elève (5ème3)'!CJ5:CL5,"D"))*1))/(COUNTA(CJ5:CL5)),"")</f>
        <v>3</v>
      </c>
      <c r="CN5" s="109" t="str">
        <f t="shared" si="20"/>
        <v>B</v>
      </c>
      <c r="CO5" s="78"/>
      <c r="CP5" s="79"/>
      <c r="CQ5" s="80"/>
      <c r="CR5" s="108" t="str">
        <f>IFERROR((((COUNTIF('Elève (5ème3)'!CO5:CQ5,"A"))*4)+((COUNTIF('Elève (5ème3)'!CO5:CQ5,"B"))*3)+((COUNTIF('Elève (5ème3)'!CO5:CQ5,"C"))*2)+((COUNTIF('Elève (5ème3)'!CO5:CQ5,"D"))*1))/(COUNTA(CO5:CQ5)),"")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(5ème3)'!CT5:CV5,"A"))*4)+((COUNTIF('Elève (5ème3)'!CT5:CV5,"B"))*3)+((COUNTIF('Elève (5ème3)'!CT5:CV5,"C"))*2)+((COUNTIF('Elève (5ème3)'!CT5:CV5,"D"))*1))/(COUNTA(CT5:CV5)),"")</f>
        <v/>
      </c>
      <c r="CX5" s="109" t="str">
        <f t="shared" si="22"/>
        <v/>
      </c>
      <c r="CY5" s="178">
        <f>IF(COUNT(CM5,CR5,CW5)=0,"",SUM(CM5,CR5,CW5)/COUNT(CM5,CR5,CW5))</f>
        <v>3</v>
      </c>
      <c r="CZ5" s="131" t="str">
        <f t="shared" si="23"/>
        <v>B</v>
      </c>
      <c r="DA5" s="153" t="s">
        <v>28</v>
      </c>
      <c r="DB5" s="154"/>
      <c r="DC5" s="155"/>
      <c r="DD5" s="108">
        <f>IFERROR((((COUNTIF('Elève (5ème3)'!DA5:DC5,"A"))*4)+((COUNTIF('Elève (5ème3)'!DA5:DC5,"B"))*3)+((COUNTIF('Elève (5ème3)'!DA5:DC5,"C"))*2)+((COUNTIF('Elève (5ème3)'!DA5:DC5,"D"))*1))/(COUNTA(DA5:DC5)),"")</f>
        <v>3</v>
      </c>
      <c r="DE5" s="109" t="str">
        <f t="shared" si="24"/>
        <v>B</v>
      </c>
      <c r="DF5" s="78"/>
      <c r="DG5" s="79"/>
      <c r="DH5" s="80"/>
      <c r="DI5" s="108" t="str">
        <f>IFERROR((((COUNTIF('Elève (5ème3)'!DF5:DH5,"A"))*4)+((COUNTIF('Elève (5ème3)'!DF5:DH5,"B"))*3)+((COUNTIF('Elève (5ème3)'!DF5:DH5,"C"))*2)+((COUNTIF('Elève (5ème3)'!DF5:DH5,"D"))*1))/(COUNTA(DF5:DH5)),"")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(5ème3)'!DK5:DM5,"A"))*4)+((COUNTIF('Elève (5ème3)'!DK5:DM5,"B"))*3)+((COUNTIF('Elève (5ème3)'!DK5:DM5,"C"))*2)+((COUNTIF('Elève (5ème3)'!DK5:DM5,"D"))*1))/(COUNTA(DK5:DM5)),"")</f>
        <v/>
      </c>
      <c r="DO5" s="109" t="str">
        <f t="shared" si="26"/>
        <v/>
      </c>
      <c r="DP5" s="178">
        <f>IF(COUNT(DD5,DI5,DN5)=0,"",SUM(DD5,DI5,DN5)/COUNT(DD5,DI5,DN5))</f>
        <v>3</v>
      </c>
      <c r="DQ5" s="131" t="str">
        <f t="shared" si="27"/>
        <v>B</v>
      </c>
      <c r="DR5" s="153" t="s">
        <v>28</v>
      </c>
      <c r="DS5" s="154"/>
      <c r="DT5" s="155"/>
      <c r="DU5" s="108">
        <f>IFERROR((((COUNTIF('Elève (5ème3)'!DR5:DT5,"A"))*4)+((COUNTIF('Elève (5ème3)'!DR5:DT5,"B"))*3)+((COUNTIF('Elève (5ème3)'!DR5:DT5,"C"))*2)+((COUNTIF('Elève (5ème3)'!DR5:DT5,"D"))*1))/(COUNTA(DR5:DT5)),"")</f>
        <v>3</v>
      </c>
      <c r="DV5" s="109" t="str">
        <f t="shared" si="28"/>
        <v>B</v>
      </c>
      <c r="DW5" s="78"/>
      <c r="DX5" s="79"/>
      <c r="DY5" s="80"/>
      <c r="DZ5" s="108" t="str">
        <f>IFERROR((((COUNTIF('Elève (5ème3)'!DW5:DY5,"A"))*4)+((COUNTIF('Elève (5ème3)'!DW5:DY5,"B"))*3)+((COUNTIF('Elève (5ème3)'!DW5:DY5,"C"))*2)+((COUNTIF('Elève (5ème3)'!DW5:DY5,"D"))*1))/(COUNTA(DW5:DY5)),"")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(5ème3)'!EB5:ED5,"A"))*4)+((COUNTIF('Elève (5ème3)'!EB5:ED5,"B"))*3)+((COUNTIF('Elève (5ème3)'!EB5:ED5,"C"))*2)+((COUNTIF('Elève (5ème3)'!EB5:ED5,"D"))*1))/(COUNTA(EB5:ED5)),"")</f>
        <v/>
      </c>
      <c r="EF5" s="109" t="str">
        <f t="shared" si="30"/>
        <v/>
      </c>
      <c r="EG5" s="178">
        <f>IF(COUNT(DU5,DZ5,EE5)=0,"",SUM(DU5,DZ5,EE5)/COUNT(DU5,DZ5,EE5))</f>
        <v>3</v>
      </c>
      <c r="EH5" s="131" t="str">
        <f t="shared" si="31"/>
        <v>B</v>
      </c>
      <c r="EI5" s="153" t="s">
        <v>28</v>
      </c>
      <c r="EJ5" s="154"/>
      <c r="EK5" s="155"/>
      <c r="EL5" s="108">
        <f>IFERROR((((COUNTIF('Elève (5ème3)'!EI5:EK5,"A"))*4)+((COUNTIF('Elève (5ème3)'!EI5:EK5,"B"))*3)+((COUNTIF('Elève (5ème3)'!EI5:EK5,"C"))*2)+((COUNTIF('Elève (5ème3)'!EI5:EK5,"D"))*1))/(COUNTA(EI5:EK5)),"")</f>
        <v>3</v>
      </c>
      <c r="EM5" s="109" t="str">
        <f t="shared" si="32"/>
        <v>B</v>
      </c>
      <c r="EN5" s="78"/>
      <c r="EO5" s="79"/>
      <c r="EP5" s="80"/>
      <c r="EQ5" s="108" t="str">
        <f>IFERROR((((COUNTIF('Elève (5ème3)'!EN5:EP5,"A"))*4)+((COUNTIF('Elève (5ème3)'!EN5:EP5,"B"))*3)+((COUNTIF('Elève (5ème3)'!EN5:EP5,"C"))*2)+((COUNTIF('Elève (5ème3)'!EN5:EP5,"D"))*1))/(COUNTA(EN5:EP5)),"")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(5ème3)'!ES5:EU5,"A"))*4)+((COUNTIF('Elève (5ème3)'!ES5:EU5,"B"))*3)+((COUNTIF('Elève (5ème3)'!ES5:EU5,"C"))*2)+((COUNTIF('Elève (5ème3)'!ES5:EU5,"D"))*1))/(COUNTA(ES5:EU5)),"")</f>
        <v/>
      </c>
      <c r="EW5" s="109" t="str">
        <f t="shared" si="34"/>
        <v/>
      </c>
      <c r="EX5" s="178">
        <f>IF(COUNT(EL5,EQ5,EV5)=0,"",SUM(EL5,EQ5,EV5)/COUNT(EL5,EQ5,EV5))</f>
        <v>3</v>
      </c>
      <c r="EY5" s="131" t="str">
        <f t="shared" si="35"/>
        <v>B</v>
      </c>
      <c r="EZ5" s="153" t="s">
        <v>28</v>
      </c>
      <c r="FA5" s="154"/>
      <c r="FB5" s="155"/>
      <c r="FC5" s="108">
        <f>IFERROR((((COUNTIF('Elève (5ème3)'!EZ5:FB5,"A"))*4)+((COUNTIF('Elève (5ème3)'!EZ5:FB5,"B"))*3)+((COUNTIF('Elève (5ème3)'!EZ5:FB5,"C"))*2)+((COUNTIF('Elève (5ème3)'!EZ5:FB5,"D"))*1))/(COUNTA(EZ5:FB5)),"")</f>
        <v>3</v>
      </c>
      <c r="FD5" s="109" t="str">
        <f t="shared" si="36"/>
        <v>B</v>
      </c>
      <c r="FE5" s="78"/>
      <c r="FF5" s="79"/>
      <c r="FG5" s="80"/>
      <c r="FH5" s="108" t="str">
        <f>IFERROR((((COUNTIF('Elève (5ème3)'!FE5:FG5,"A"))*4)+((COUNTIF('Elève (5ème3)'!FE5:FG5,"B"))*3)+((COUNTIF('Elève (5ème3)'!FE5:FG5,"C"))*2)+((COUNTIF('Elève (5ème3)'!FE5:FG5,"D"))*1))/(COUNTA(FE5:FG5)),"")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(5ème3)'!FJ5:FL5,"A"))*4)+((COUNTIF('Elève (5ème3)'!FJ5:FL5,"B"))*3)+((COUNTIF('Elève (5ème3)'!FJ5:FL5,"C"))*2)+((COUNTIF('Elève (5ème3)'!FJ5:FL5,"D"))*1))/(COUNTA(FJ5:FL5)),"")</f>
        <v/>
      </c>
      <c r="FN5" s="109" t="str">
        <f t="shared" si="38"/>
        <v/>
      </c>
      <c r="FO5" s="178">
        <f>IF(COUNT(FC5,FH5,FM5)=0,"",SUM(FC5,FH5,FM5)/COUNT(FC5,FH5,FM5))</f>
        <v>3</v>
      </c>
      <c r="FP5" s="131" t="str">
        <f t="shared" si="39"/>
        <v>B</v>
      </c>
      <c r="FQ5" s="153" t="s">
        <v>29</v>
      </c>
      <c r="FR5" s="154"/>
      <c r="FS5" s="155"/>
      <c r="FT5" s="108">
        <f>IFERROR((((COUNTIF('Elève (5ème3)'!FQ5:FS5,"A"))*4)+((COUNTIF('Elève (5ème3)'!FQ5:FS5,"B"))*3)+((COUNTIF('Elève (5ème3)'!FQ5:FS5,"C"))*2)+((COUNTIF('Elève (5ème3)'!FQ5:FS5,"D"))*1))/(COUNTA(FQ5:FS5)),"")</f>
        <v>2</v>
      </c>
      <c r="FU5" s="109" t="str">
        <f t="shared" si="40"/>
        <v>C</v>
      </c>
      <c r="FV5" s="78"/>
      <c r="FW5" s="79"/>
      <c r="FX5" s="80"/>
      <c r="FY5" s="108" t="str">
        <f>IFERROR((((COUNTIF('Elève (5ème3)'!FV5:FX5,"A"))*4)+((COUNTIF('Elève (5ème3)'!FV5:FX5,"B"))*3)+((COUNTIF('Elève (5ème3)'!FV5:FX5,"C"))*2)+((COUNTIF('Elève (5ème3)'!FV5:FX5,"D"))*1))/(COUNTA(FV5:FX5)),"")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(5ème3)'!GA5:GC5,"A"))*4)+((COUNTIF('Elève (5ème3)'!GA5:GC5,"B"))*3)+((COUNTIF('Elève (5ème3)'!GA5:GC5,"C"))*2)+((COUNTIF('Elève (5ème3)'!GA5:GC5,"D"))*1))/(COUNTA(GA5:GC5)),"")</f>
        <v/>
      </c>
      <c r="GE5" s="109" t="str">
        <f t="shared" si="42"/>
        <v/>
      </c>
      <c r="GF5" s="178">
        <f>IF(COUNT(FT5,FY5,GD5)=0,"",SUM(FT5,FY5,GD5)/COUNT(FT5,FY5,GD5))</f>
        <v>2</v>
      </c>
      <c r="GG5" s="131" t="str">
        <f t="shared" si="43"/>
        <v>C</v>
      </c>
      <c r="GH5" s="153" t="s">
        <v>28</v>
      </c>
      <c r="GI5" s="154"/>
      <c r="GJ5" s="155"/>
      <c r="GK5" s="108">
        <f>IFERROR((((COUNTIF('Elève (5ème3)'!GH5:GJ5,"A"))*4)+((COUNTIF('Elève (5ème3)'!GH5:GJ5,"B"))*3)+((COUNTIF('Elève (5ème3)'!GH5:GJ5,"C"))*2)+((COUNTIF('Elève (5ème3)'!GH5:GJ5,"D"))*1))/(COUNTA(GH5:GJ5)),"")</f>
        <v>3</v>
      </c>
      <c r="GL5" s="109" t="str">
        <f t="shared" si="44"/>
        <v>B</v>
      </c>
      <c r="GM5" s="78"/>
      <c r="GN5" s="79"/>
      <c r="GO5" s="80"/>
      <c r="GP5" s="108" t="str">
        <f>IFERROR((((COUNTIF('Elève (5ème3)'!GM5:GO5,"A"))*4)+((COUNTIF('Elève (5ème3)'!GM5:GO5,"B"))*3)+((COUNTIF('Elève (5ème3)'!GM5:GO5,"C"))*2)+((COUNTIF('Elève (5ème3)'!GM5:GO5,"D"))*1))/(COUNTA(GM5:GO5)),"")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(5ème3)'!GR5:GT5,"A"))*4)+((COUNTIF('Elève (5ème3)'!GR5:GT5,"B"))*3)+((COUNTIF('Elève (5ème3)'!GR5:GT5,"C"))*2)+((COUNTIF('Elève (5ème3)'!GR5:GT5,"D"))*1))/(COUNTA(GR5:GT5)),"")</f>
        <v/>
      </c>
      <c r="GV5" s="109" t="str">
        <f t="shared" si="46"/>
        <v/>
      </c>
      <c r="GW5" s="178">
        <f>IF(COUNT(GK5,GP5,GU5)=0,"",SUM(GK5,GP5,GU5)/COUNT(GK5,GP5,GU5))</f>
        <v>3</v>
      </c>
      <c r="GX5" s="131" t="str">
        <f t="shared" si="47"/>
        <v>B</v>
      </c>
      <c r="GY5" s="153" t="s">
        <v>28</v>
      </c>
      <c r="GZ5" s="154"/>
      <c r="HA5" s="155"/>
      <c r="HB5" s="108">
        <f>IFERROR((((COUNTIF('Elève (5ème3)'!GY5:HA5,"A"))*4)+((COUNTIF('Elève (5ème3)'!GY5:HA5,"B"))*3)+((COUNTIF('Elève (5ème3)'!GY5:HA5,"C"))*2)+((COUNTIF('Elève (5ème3)'!GY5:HA5,"D"))*1))/(COUNTA(GY5:HA5)),"")</f>
        <v>3</v>
      </c>
      <c r="HC5" s="109" t="str">
        <f t="shared" si="48"/>
        <v>B</v>
      </c>
      <c r="HD5" s="78"/>
      <c r="HE5" s="79"/>
      <c r="HF5" s="80"/>
      <c r="HG5" s="108" t="str">
        <f>IFERROR((((COUNTIF('Elève (5ème3)'!HD5:HF5,"A"))*4)+((COUNTIF('Elève (5ème3)'!HD5:HF5,"B"))*3)+((COUNTIF('Elève (5ème3)'!HD5:HF5,"C"))*2)+((COUNTIF('Elève (5ème3)'!HD5:HF5,"D"))*1))/(COUNTA(HD5:HF5)),"")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(5ème3)'!HI5:HK5,"A"))*4)+((COUNTIF('Elève (5ème3)'!HI5:HK5,"B"))*3)+((COUNTIF('Elève (5ème3)'!HI5:HK5,"C"))*2)+((COUNTIF('Elève (5ème3)'!HI5:HK5,"D"))*1))/(COUNTA(HI5:HK5)),"")</f>
        <v/>
      </c>
      <c r="HM5" s="109" t="str">
        <f t="shared" si="50"/>
        <v/>
      </c>
      <c r="HN5" s="178">
        <f>IF(COUNT(HB5,HG5,HL5)=0,"",SUM(HB5,HG5,HL5)/COUNT(HB5,HG5,HL5))</f>
        <v>3</v>
      </c>
      <c r="HO5" s="131" t="str">
        <f t="shared" si="51"/>
        <v>B</v>
      </c>
      <c r="HP5" s="153" t="s">
        <v>29</v>
      </c>
      <c r="HQ5" s="154"/>
      <c r="HR5" s="155"/>
      <c r="HS5" s="108">
        <f>IFERROR((((COUNTIF('Elève (5ème3)'!HP5:HR5,"A"))*4)+((COUNTIF('Elève (5ème3)'!HP5:HR5,"B"))*3)+((COUNTIF('Elève (5ème3)'!HP5:HR5,"C"))*2)+((COUNTIF('Elève (5ème3)'!HP5:HR5,"D"))*1))/(COUNTA(HP5:HR5)),"")</f>
        <v>2</v>
      </c>
      <c r="HT5" s="109" t="str">
        <f t="shared" si="52"/>
        <v>C</v>
      </c>
      <c r="HU5" s="78"/>
      <c r="HV5" s="79"/>
      <c r="HW5" s="80"/>
      <c r="HX5" s="108" t="str">
        <f>IFERROR((((COUNTIF('Elève (5ème3)'!HU5:HW5,"A"))*4)+((COUNTIF('Elève (5ème3)'!HU5:HW5,"B"))*3)+((COUNTIF('Elève (5ème3)'!HU5:HW5,"C"))*2)+((COUNTIF('Elève (5ème3)'!HU5:HW5,"D"))*1))/(COUNTA(HU5:HW5)),"")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(5ème3)'!HZ5:IB5,"A"))*4)+((COUNTIF('Elève (5ème3)'!HZ5:IB5,"B"))*3)+((COUNTIF('Elève (5ème3)'!HZ5:IB5,"C"))*2)+((COUNTIF('Elève (5ème3)'!HZ5:IB5,"D"))*1))/(COUNTA(HZ5:IB5)),"")</f>
        <v/>
      </c>
      <c r="ID5" s="109" t="str">
        <f t="shared" si="54"/>
        <v/>
      </c>
      <c r="IE5" s="178">
        <f>IF(COUNT(HS5,HX5,IC5)=0,"",SUM(HS5,HX5,IC5)/COUNT(HS5,HX5,IC5))</f>
        <v>2</v>
      </c>
      <c r="IF5" s="131" t="str">
        <f t="shared" si="55"/>
        <v>C</v>
      </c>
      <c r="IG5" s="153" t="s">
        <v>29</v>
      </c>
      <c r="IH5" s="154"/>
      <c r="II5" s="155"/>
      <c r="IJ5" s="108">
        <f>IFERROR((((COUNTIF('Elève (5ème3)'!IG5:II5,"A"))*4)+((COUNTIF('Elève (5ème3)'!IG5:II5,"B"))*3)+((COUNTIF('Elève (5ème3)'!IG5:II5,"C"))*2)+((COUNTIF('Elève (5ème3)'!IG5:II5,"D"))*1))/(COUNTA(IG5:II5)),"")</f>
        <v>2</v>
      </c>
      <c r="IK5" s="109" t="str">
        <f t="shared" si="56"/>
        <v>C</v>
      </c>
      <c r="IL5" s="78"/>
      <c r="IM5" s="79"/>
      <c r="IN5" s="80"/>
      <c r="IO5" s="108" t="str">
        <f>IFERROR((((COUNTIF('Elève (5ème3)'!IL5:IN5,"A"))*4)+((COUNTIF('Elève (5ème3)'!IL5:IN5,"B"))*3)+((COUNTIF('Elève (5ème3)'!IL5:IN5,"C"))*2)+((COUNTIF('Elève (5ème3)'!IL5:IN5,"D"))*1))/(COUNTA(IL5:IN5)),"")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(5ème3)'!IQ5:IS5,"A"))*4)+((COUNTIF('Elève (5ème3)'!IQ5:IS5,"B"))*3)+((COUNTIF('Elève (5ème3)'!IQ5:IS5,"C"))*2)+((COUNTIF('Elève (5ème3)'!IQ5:IS5,"D"))*1))/(COUNTA(IQ5:IS5)),"")</f>
        <v/>
      </c>
      <c r="IU5" s="109" t="str">
        <f t="shared" si="58"/>
        <v/>
      </c>
      <c r="IV5" s="178">
        <f>IF(COUNT(IJ5,IO5,IT5)=0,"",SUM(IJ5,IO5,IT5)/COUNT(IJ5,IO5,IT5))</f>
        <v>2</v>
      </c>
      <c r="IW5" s="131" t="str">
        <f t="shared" si="59"/>
        <v>C</v>
      </c>
      <c r="IX5" s="153" t="s">
        <v>28</v>
      </c>
      <c r="IY5" s="154"/>
      <c r="IZ5" s="155"/>
      <c r="JA5" s="108">
        <f>IFERROR((((COUNTIF('Elève (5ème3)'!IX5:IZ5,"A"))*4)+((COUNTIF('Elève (5ème3)'!IX5:IZ5,"B"))*3)+((COUNTIF('Elève (5ème3)'!IX5:IZ5,"C"))*2)+((COUNTIF('Elève (5ème3)'!IX5:IZ5,"D"))*1))/(COUNTA(IX5:IZ5)),"")</f>
        <v>3</v>
      </c>
      <c r="JB5" s="109" t="str">
        <f t="shared" si="60"/>
        <v>B</v>
      </c>
      <c r="JC5" s="78"/>
      <c r="JD5" s="79"/>
      <c r="JE5" s="80"/>
      <c r="JF5" s="108" t="str">
        <f>IFERROR((((COUNTIF('Elève (5ème3)'!JC5:JE5,"A"))*4)+((COUNTIF('Elève (5ème3)'!JC5:JE5,"B"))*3)+((COUNTIF('Elève (5ème3)'!JC5:JE5,"C"))*2)+((COUNTIF('Elève (5ème3)'!JC5:JE5,"D"))*1))/(COUNTA(JC5:JE5)),"")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(5ème3)'!JH5:JJ5,"A"))*4)+((COUNTIF('Elève (5ème3)'!JH5:JJ5,"B"))*3)+((COUNTIF('Elève (5ème3)'!JH5:JJ5,"C"))*2)+((COUNTIF('Elève (5ème3)'!JH5:JJ5,"D"))*1))/(COUNTA(JH5:JJ5)),"")</f>
        <v/>
      </c>
      <c r="JL5" s="109" t="str">
        <f t="shared" si="62"/>
        <v/>
      </c>
      <c r="JM5" s="178">
        <f>IF(COUNT(JA5,JF5,JK5)=0,"",SUM(JA5,JF5,JK5)/COUNT(JA5,JF5,JK5))</f>
        <v>3</v>
      </c>
      <c r="JN5" s="131" t="str">
        <f t="shared" si="63"/>
        <v>B</v>
      </c>
      <c r="JO5" s="153" t="s">
        <v>29</v>
      </c>
      <c r="JP5" s="154"/>
      <c r="JQ5" s="155"/>
      <c r="JR5" s="108">
        <f>IFERROR((((COUNTIF('Elève (5ème3)'!JO5:JQ5,"A"))*4)+((COUNTIF('Elève (5ème3)'!JO5:JQ5,"B"))*3)+((COUNTIF('Elève (5ème3)'!JO5:JQ5,"C"))*2)+((COUNTIF('Elève (5ème3)'!JO5:JQ5,"D"))*1))/(COUNTA(JO5:JQ5)),"")</f>
        <v>2</v>
      </c>
      <c r="JS5" s="109" t="str">
        <f t="shared" si="64"/>
        <v>C</v>
      </c>
      <c r="JT5" s="78"/>
      <c r="JU5" s="79"/>
      <c r="JV5" s="80"/>
      <c r="JW5" s="108" t="str">
        <f>IFERROR((((COUNTIF('Elève (5ème3)'!JT5:JV5,"A"))*4)+((COUNTIF('Elève (5ème3)'!JT5:JV5,"B"))*3)+((COUNTIF('Elève (5ème3)'!JT5:JV5,"C"))*2)+((COUNTIF('Elève (5ème3)'!JT5:JV5,"D"))*1))/(COUNTA(JT5:JV5)),"")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(5ème3)'!JY5:KA5,"A"))*4)+((COUNTIF('Elève (5ème3)'!JY5:KA5,"B"))*3)+((COUNTIF('Elève (5ème3)'!JY5:KA5,"C"))*2)+((COUNTIF('Elève (5ème3)'!JY5:KA5,"D"))*1))/(COUNTA(JY5:KA5)),"")</f>
        <v/>
      </c>
      <c r="KC5" s="109" t="str">
        <f t="shared" si="66"/>
        <v/>
      </c>
      <c r="KD5" s="178">
        <f>IF(COUNT(JR5,JW5,KB5)=0,"",SUM(JR5,JW5,KB5)/COUNT(JR5,JW5,KB5))</f>
        <v>2</v>
      </c>
      <c r="KE5" s="131" t="str">
        <f t="shared" si="67"/>
        <v>C</v>
      </c>
      <c r="KF5" s="153" t="s">
        <v>28</v>
      </c>
      <c r="KG5" s="154"/>
      <c r="KH5" s="155"/>
      <c r="KI5" s="108">
        <f>IFERROR((((COUNTIF('Elève (5ème3)'!KF5:KH5,"A"))*4)+((COUNTIF('Elève (5ème3)'!KF5:KH5,"B"))*3)+((COUNTIF('Elève (5ème3)'!KF5:KH5,"C"))*2)+((COUNTIF('Elève (5ème3)'!KF5:KH5,"D"))*1))/(COUNTA(KF5:KH5)),"")</f>
        <v>3</v>
      </c>
      <c r="KJ5" s="109" t="str">
        <f t="shared" si="68"/>
        <v>B</v>
      </c>
      <c r="KK5" s="78"/>
      <c r="KL5" s="79"/>
      <c r="KM5" s="80"/>
      <c r="KN5" s="108" t="str">
        <f>IFERROR((((COUNTIF('Elève (5ème3)'!KK5:KM5,"A"))*4)+((COUNTIF('Elève (5ème3)'!KK5:KM5,"B"))*3)+((COUNTIF('Elève (5ème3)'!KK5:KM5,"C"))*2)+((COUNTIF('Elève (5ème3)'!KK5:KM5,"D"))*1))/(COUNTA(KK5:KM5)),"")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(5ème3)'!KP5:KR5,"A"))*4)+((COUNTIF('Elève (5ème3)'!KP5:KR5,"B"))*3)+((COUNTIF('Elève (5ème3)'!KP5:KR5,"C"))*2)+((COUNTIF('Elève (5ème3)'!KP5:KR5,"D"))*1))/(COUNTA(KP5:KR5)),"")</f>
        <v/>
      </c>
      <c r="KT5" s="109" t="str">
        <f t="shared" si="70"/>
        <v/>
      </c>
      <c r="KU5" s="178">
        <f>IF(COUNT(KI5,KN5,KS5)=0,"",SUM(KI5,KN5,KS5)/COUNT(KI5,KN5,KS5))</f>
        <v>3</v>
      </c>
      <c r="KV5" s="131" t="str">
        <f t="shared" si="71"/>
        <v>B</v>
      </c>
      <c r="KW5" s="153" t="s">
        <v>29</v>
      </c>
      <c r="KX5" s="154"/>
      <c r="KY5" s="155"/>
      <c r="KZ5" s="108">
        <f>IFERROR((((COUNTIF('Elève (5ème3)'!KW5:KY5,"A"))*4)+((COUNTIF('Elève (5ème3)'!KW5:KY5,"B"))*3)+((COUNTIF('Elève (5ème3)'!KW5:KY5,"C"))*2)+((COUNTIF('Elève (5ème3)'!KW5:KY5,"D"))*1))/(COUNTA(KW5:KY5)),"")</f>
        <v>2</v>
      </c>
      <c r="LA5" s="109" t="str">
        <f t="shared" si="72"/>
        <v>C</v>
      </c>
      <c r="LB5" s="78"/>
      <c r="LC5" s="79"/>
      <c r="LD5" s="80"/>
      <c r="LE5" s="108" t="str">
        <f>IFERROR((((COUNTIF('Elève (5ème3)'!LB5:LD5,"A"))*4)+((COUNTIF('Elève (5ème3)'!LB5:LD5,"B"))*3)+((COUNTIF('Elève (5ème3)'!LB5:LD5,"C"))*2)+((COUNTIF('Elève (5ème3)'!LB5:LD5,"D"))*1))/(COUNTA(LB5:LD5)),"")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(5ème3)'!LG5:LI5,"A"))*4)+((COUNTIF('Elève (5ème3)'!LG5:LI5,"B"))*3)+((COUNTIF('Elève (5ème3)'!LG5:LI5,"C"))*2)+((COUNTIF('Elève (5ème3)'!LG5:LI5,"D"))*1))/(COUNTA(LG5:LI5)),"")</f>
        <v/>
      </c>
      <c r="LK5" s="109" t="str">
        <f t="shared" si="74"/>
        <v/>
      </c>
      <c r="LL5" s="178">
        <f>IF(COUNT(KZ5,LE5,LJ5)=0,"",SUM(KZ5,LE5,LJ5)/COUNT(KZ5,LE5,LJ5))</f>
        <v>2</v>
      </c>
      <c r="LM5" s="131" t="str">
        <f t="shared" si="75"/>
        <v>C</v>
      </c>
      <c r="LN5" s="153" t="s">
        <v>28</v>
      </c>
      <c r="LO5" s="154"/>
      <c r="LP5" s="155"/>
      <c r="LQ5" s="108">
        <f>IFERROR((((COUNTIF('Elève (5ème3)'!LN5:LP5,"A"))*4)+((COUNTIF('Elève (5ème3)'!LN5:LP5,"B"))*3)+((COUNTIF('Elève (5ème3)'!LN5:LP5,"C"))*2)+((COUNTIF('Elève (5ème3)'!LN5:LP5,"D"))*1))/(COUNTA(LN5:LP5)),"")</f>
        <v>3</v>
      </c>
      <c r="LR5" s="109" t="str">
        <f t="shared" si="76"/>
        <v>B</v>
      </c>
      <c r="LS5" s="78"/>
      <c r="LT5" s="79"/>
      <c r="LU5" s="80"/>
      <c r="LV5" s="108" t="str">
        <f>IFERROR((((COUNTIF('Elève (5ème3)'!LS5:LU5,"A"))*4)+((COUNTIF('Elève (5ème3)'!LS5:LU5,"B"))*3)+((COUNTIF('Elève (5ème3)'!LS5:LU5,"C"))*2)+((COUNTIF('Elève (5ème3)'!LS5:LU5,"D"))*1))/(COUNTA(LS5:LU5)),"")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(5ème3)'!LX5:LZ5,"A"))*4)+((COUNTIF('Elève (5ème3)'!LX5:LZ5,"B"))*3)+((COUNTIF('Elève (5ème3)'!LX5:LZ5,"C"))*2)+((COUNTIF('Elève (5ème3)'!LX5:LZ5,"D"))*1))/(COUNTA(LX5:LZ5)),"")</f>
        <v/>
      </c>
      <c r="MB5" s="109" t="str">
        <f t="shared" si="78"/>
        <v/>
      </c>
      <c r="MC5" s="178">
        <f>IF(COUNT(LQ5,LV5,MA5)=0,"",SUM(LQ5,LV5,MA5)/COUNT(LQ5,LV5,MA5))</f>
        <v>3</v>
      </c>
      <c r="MD5" s="131" t="str">
        <f t="shared" si="79"/>
        <v>B</v>
      </c>
      <c r="ME5" s="153" t="s">
        <v>28</v>
      </c>
      <c r="MF5" s="154"/>
      <c r="MG5" s="155"/>
      <c r="MH5" s="108">
        <f>IFERROR((((COUNTIF('Elève (5ème3)'!ME5:MG5,"A"))*4)+((COUNTIF('Elève (5ème3)'!ME5:MG5,"B"))*3)+((COUNTIF('Elève (5ème3)'!ME5:MG5,"C"))*2)+((COUNTIF('Elève (5ème3)'!ME5:MG5,"D"))*1))/(COUNTA(ME5:MG5)),"")</f>
        <v>3</v>
      </c>
      <c r="MI5" s="109" t="str">
        <f t="shared" si="80"/>
        <v>B</v>
      </c>
      <c r="MJ5" s="78"/>
      <c r="MK5" s="79"/>
      <c r="ML5" s="80"/>
      <c r="MM5" s="108" t="str">
        <f>IFERROR((((COUNTIF('Elève (5ème3)'!MJ5:ML5,"A"))*4)+((COUNTIF('Elève (5ème3)'!MJ5:ML5,"B"))*3)+((COUNTIF('Elève (5ème3)'!MJ5:ML5,"C"))*2)+((COUNTIF('Elève (5ème3)'!MJ5:ML5,"D"))*1))/(COUNTA(MJ5:ML5)),"")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(5ème3)'!MO5:MQ5,"A"))*4)+((COUNTIF('Elève (5ème3)'!MO5:MQ5,"B"))*3)+((COUNTIF('Elève (5ème3)'!MO5:MQ5,"C"))*2)+((COUNTIF('Elève (5ème3)'!MO5:MQ5,"D"))*1))/(COUNTA(MO5:MQ5)),"")</f>
        <v/>
      </c>
      <c r="MS5" s="109" t="str">
        <f t="shared" si="82"/>
        <v/>
      </c>
      <c r="MT5" s="178">
        <f>IF(COUNT(MH5,MM5,MR5)=0,"",SUM(MH5,MM5,MR5)/COUNT(MH5,MM5,MR5))</f>
        <v>3</v>
      </c>
      <c r="MU5" s="131" t="str">
        <f t="shared" si="83"/>
        <v>B</v>
      </c>
      <c r="MV5" s="153" t="s">
        <v>28</v>
      </c>
      <c r="MW5" s="154"/>
      <c r="MX5" s="155"/>
      <c r="MY5" s="108">
        <f>IFERROR((((COUNTIF('Elève (5ème3)'!MV5:MX5,"A"))*4)+((COUNTIF('Elève (5ème3)'!MV5:MX5,"B"))*3)+((COUNTIF('Elève (5ème3)'!MV5:MX5,"C"))*2)+((COUNTIF('Elève (5ème3)'!MV5:MX5,"D"))*1))/(COUNTA(MV5:MX5)),"")</f>
        <v>3</v>
      </c>
      <c r="MZ5" s="109" t="str">
        <f t="shared" si="84"/>
        <v>B</v>
      </c>
      <c r="NA5" s="78"/>
      <c r="NB5" s="79"/>
      <c r="NC5" s="80"/>
      <c r="ND5" s="108" t="str">
        <f>IFERROR((((COUNTIF('Elève (5ème3)'!NA5:NC5,"A"))*4)+((COUNTIF('Elève (5ème3)'!NA5:NC5,"B"))*3)+((COUNTIF('Elève (5ème3)'!NA5:NC5,"C"))*2)+((COUNTIF('Elève (5ème3)'!NA5:NC5,"D"))*1))/(COUNTA(NA5:NC5)),"")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(5ème3)'!NF5:NH5,"A"))*4)+((COUNTIF('Elève (5ème3)'!NF5:NH5,"B"))*3)+((COUNTIF('Elève (5ème3)'!NF5:NH5,"C"))*2)+((COUNTIF('Elève (5ème3)'!NF5:NH5,"D"))*1))/(COUNTA(NF5:NH5)),"")</f>
        <v/>
      </c>
      <c r="NJ5" s="109" t="str">
        <f t="shared" si="86"/>
        <v/>
      </c>
      <c r="NK5" s="178">
        <f>IF(COUNT(MY5,ND5,NI5)=0,"",SUM(MY5,ND5,NI5)/COUNT(MY5,ND5,NI5))</f>
        <v>3</v>
      </c>
      <c r="NL5" s="131" t="str">
        <f t="shared" si="87"/>
        <v>B</v>
      </c>
      <c r="NM5" s="153" t="s">
        <v>28</v>
      </c>
      <c r="NN5" s="154"/>
      <c r="NO5" s="155"/>
      <c r="NP5" s="108">
        <f>IFERROR((((COUNTIF('Elève (5ème3)'!NM5:NO5,"A"))*4)+((COUNTIF('Elève (5ème3)'!NM5:NO5,"B"))*3)+((COUNTIF('Elève (5ème3)'!NM5:NO5,"C"))*2)+((COUNTIF('Elève (5ème3)'!NM5:NO5,"D"))*1))/(COUNTA(NM5:NO5)),"")</f>
        <v>3</v>
      </c>
      <c r="NQ5" s="109" t="str">
        <f t="shared" si="88"/>
        <v>B</v>
      </c>
      <c r="NR5" s="78"/>
      <c r="NS5" s="79"/>
      <c r="NT5" s="80"/>
      <c r="NU5" s="108" t="str">
        <f>IFERROR((((COUNTIF('Elève (5ème3)'!NR5:NT5,"A"))*4)+((COUNTIF('Elève (5ème3)'!NR5:NT5,"B"))*3)+((COUNTIF('Elève (5ème3)'!NR5:NT5,"C"))*2)+((COUNTIF('Elève (5ème3)'!NR5:NT5,"D"))*1))/(COUNTA(NR5:NT5)),"")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(5ème3)'!NW5:NY5,"A"))*4)+((COUNTIF('Elève (5ème3)'!NW5:NY5,"B"))*3)+((COUNTIF('Elève (5ème3)'!NW5:NY5,"C"))*2)+((COUNTIF('Elève (5ème3)'!NW5:NY5,"D"))*1))/(COUNTA(NW5:NY5)),"")</f>
        <v/>
      </c>
      <c r="OA5" s="109" t="str">
        <f t="shared" si="90"/>
        <v/>
      </c>
      <c r="OB5" s="178">
        <f>IF(COUNT(NP5,NU5,NZ5)=0,"",SUM(NP5,NU5,NZ5)/COUNT(NP5,NU5,NZ5))</f>
        <v>3</v>
      </c>
      <c r="OC5" s="131" t="str">
        <f t="shared" si="91"/>
        <v>B</v>
      </c>
      <c r="OD5" s="153" t="s">
        <v>29</v>
      </c>
      <c r="OE5" s="154"/>
      <c r="OF5" s="155"/>
      <c r="OG5" s="108">
        <f>IFERROR((((COUNTIF('Elève (5ème3)'!OD5:OF5,"A"))*4)+((COUNTIF('Elève (5ème3)'!OD5:OF5,"B"))*3)+((COUNTIF('Elève (5ème3)'!OD5:OF5,"C"))*2)+((COUNTIF('Elève (5ème3)'!OD5:OF5,"D"))*1))/(COUNTA(OD5:OF5)),"")</f>
        <v>2</v>
      </c>
      <c r="OH5" s="109" t="str">
        <f t="shared" si="92"/>
        <v>C</v>
      </c>
      <c r="OI5" s="78"/>
      <c r="OJ5" s="79"/>
      <c r="OK5" s="80"/>
      <c r="OL5" s="108" t="str">
        <f>IFERROR((((COUNTIF('Elève (5ème3)'!OI5:OK5,"A"))*4)+((COUNTIF('Elève (5ème3)'!OI5:OK5,"B"))*3)+((COUNTIF('Elève (5ème3)'!OI5:OK5,"C"))*2)+((COUNTIF('Elève (5ème3)'!OI5:OK5,"D"))*1))/(COUNTA(OI5:OK5)),"")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(5ème3)'!ON5:OP5,"A"))*4)+((COUNTIF('Elève (5ème3)'!ON5:OP5,"B"))*3)+((COUNTIF('Elève (5ème3)'!ON5:OP5,"C"))*2)+((COUNTIF('Elève (5ème3)'!ON5:OP5,"D"))*1))/(COUNTA(ON5:OP5)),"")</f>
        <v/>
      </c>
      <c r="OR5" s="109" t="str">
        <f t="shared" si="94"/>
        <v/>
      </c>
      <c r="OS5" s="178">
        <f>IF(COUNT(OG5,OL5,OQ5)=0,"",SUM(OG5,OL5,OQ5)/COUNT(OG5,OL5,OQ5))</f>
        <v>2</v>
      </c>
      <c r="OT5" s="131" t="str">
        <f t="shared" si="95"/>
        <v>C</v>
      </c>
      <c r="OU5" s="153" t="s">
        <v>28</v>
      </c>
      <c r="OV5" s="154"/>
      <c r="OW5" s="155"/>
      <c r="OX5" s="108">
        <f>IFERROR((((COUNTIF('Elève (5ème3)'!OU5:OW5,"A"))*4)+((COUNTIF('Elève (5ème3)'!OU5:OW5,"B"))*3)+((COUNTIF('Elève (5ème3)'!OU5:OW5,"C"))*2)+((COUNTIF('Elève (5ème3)'!OU5:OW5,"D"))*1))/(COUNTA(OU5:OW5)),"")</f>
        <v>3</v>
      </c>
      <c r="OY5" s="109" t="str">
        <f t="shared" si="96"/>
        <v>B</v>
      </c>
      <c r="OZ5" s="78"/>
      <c r="PA5" s="79"/>
      <c r="PB5" s="80"/>
      <c r="PC5" s="108" t="str">
        <f>IFERROR((((COUNTIF('Elève (5ème3)'!OZ5:PB5,"A"))*4)+((COUNTIF('Elève (5ème3)'!OZ5:PB5,"B"))*3)+((COUNTIF('Elève (5ème3)'!OZ5:PB5,"C"))*2)+((COUNTIF('Elève (5ème3)'!OZ5:PB5,"D"))*1))/(COUNTA(OZ5:PB5)),"")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(5ème3)'!PE5:PG5,"A"))*4)+((COUNTIF('Elève (5ème3)'!PE5:PG5,"B"))*3)+((COUNTIF('Elève (5ème3)'!PE5:PG5,"C"))*2)+((COUNTIF('Elève (5ème3)'!PE5:PG5,"D"))*1))/(COUNTA(PE5:PG5)),"")</f>
        <v/>
      </c>
      <c r="PI5" s="109" t="str">
        <f t="shared" si="98"/>
        <v/>
      </c>
      <c r="PJ5" s="178">
        <f>IF(COUNT(OX5,PC5,PH5)=0,"",SUM(OX5,PC5,PH5)/COUNT(OX5,PC5,PH5))</f>
        <v>3</v>
      </c>
      <c r="PK5" s="131" t="str">
        <f t="shared" si="99"/>
        <v>B</v>
      </c>
      <c r="PL5" s="153" t="s">
        <v>28</v>
      </c>
      <c r="PM5" s="154"/>
      <c r="PN5" s="155"/>
      <c r="PO5" s="108">
        <f>IFERROR((((COUNTIF('Elève (5ème3)'!PL5:PN5,"A"))*4)+((COUNTIF('Elève (5ème3)'!PL5:PN5,"B"))*3)+((COUNTIF('Elève (5ème3)'!PL5:PN5,"C"))*2)+((COUNTIF('Elève (5ème3)'!PL5:PN5,"D"))*1))/(COUNTA(PL5:PN5)),"")</f>
        <v>3</v>
      </c>
      <c r="PP5" s="109" t="str">
        <f t="shared" si="100"/>
        <v>B</v>
      </c>
      <c r="PQ5" s="78"/>
      <c r="PR5" s="79"/>
      <c r="PS5" s="80"/>
      <c r="PT5" s="108" t="str">
        <f>IFERROR((((COUNTIF('Elève (5ème3)'!PQ5:PS5,"A"))*4)+((COUNTIF('Elève (5ème3)'!PQ5:PS5,"B"))*3)+((COUNTIF('Elève (5ème3)'!PQ5:PS5,"C"))*2)+((COUNTIF('Elève (5ème3)'!PQ5:PS5,"D"))*1))/(COUNTA(PQ5:PS5)),"")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(5ème3)'!PV5:PX5,"A"))*4)+((COUNTIF('Elève (5ème3)'!PV5:PX5,"B"))*3)+((COUNTIF('Elève (5ème3)'!PV5:PX5,"C"))*2)+((COUNTIF('Elève (5ème3)'!PV5:PX5,"D"))*1))/(COUNTA(PV5:PX5)),"")</f>
        <v/>
      </c>
      <c r="PZ5" s="109" t="str">
        <f t="shared" si="102"/>
        <v/>
      </c>
      <c r="QA5" s="178">
        <f>IF(COUNT(PO5,PT5,PY5)=0,"",SUM(PO5,PT5,PY5)/COUNT(PO5,PT5,PY5))</f>
        <v>3</v>
      </c>
      <c r="QB5" s="131" t="str">
        <f t="shared" si="103"/>
        <v>B</v>
      </c>
      <c r="QC5" s="153" t="s">
        <v>28</v>
      </c>
      <c r="QD5" s="154"/>
      <c r="QE5" s="155"/>
      <c r="QF5" s="108">
        <f>IFERROR((((COUNTIF('Elève (5ème3)'!QC5:QE5,"A"))*4)+((COUNTIF('Elève (5ème3)'!QC5:QE5,"B"))*3)+((COUNTIF('Elève (5ème3)'!QC5:QE5,"C"))*2)+((COUNTIF('Elève (5ème3)'!QC5:QE5,"D"))*1))/(COUNTA(QC5:QE5)),"")</f>
        <v>3</v>
      </c>
      <c r="QG5" s="109" t="str">
        <f t="shared" si="104"/>
        <v>B</v>
      </c>
      <c r="QH5" s="78"/>
      <c r="QI5" s="79"/>
      <c r="QJ5" s="80"/>
      <c r="QK5" s="108" t="str">
        <f>IFERROR((((COUNTIF('Elève (5ème3)'!QH5:QJ5,"A"))*4)+((COUNTIF('Elève (5ème3)'!QH5:QJ5,"B"))*3)+((COUNTIF('Elève (5ème3)'!QH5:QJ5,"C"))*2)+((COUNTIF('Elève (5ème3)'!QH5:QJ5,"D"))*1))/(COUNTA(QH5:QJ5)),"")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(5ème3)'!QM5:QO5,"A"))*4)+((COUNTIF('Elève (5ème3)'!QM5:QO5,"B"))*3)+((COUNTIF('Elève (5ème3)'!QM5:QO5,"C"))*2)+((COUNTIF('Elève (5ème3)'!QM5:QO5,"D"))*1))/(COUNTA(QM5:QO5)),"")</f>
        <v/>
      </c>
      <c r="QQ5" s="109" t="str">
        <f t="shared" si="106"/>
        <v/>
      </c>
      <c r="QR5" s="178">
        <f>IF(COUNT(QF5,QK5,QP5)=0,"",SUM(QF5,QK5,QP5)/COUNT(QF5,QK5,QP5))</f>
        <v>3</v>
      </c>
      <c r="QS5" s="131" t="str">
        <f t="shared" si="107"/>
        <v>B</v>
      </c>
      <c r="QT5" s="153" t="s">
        <v>28</v>
      </c>
      <c r="QU5" s="154"/>
      <c r="QV5" s="155"/>
      <c r="QW5" s="108">
        <f>IFERROR((((COUNTIF('Elève (5ème3)'!QT5:QV5,"A"))*4)+((COUNTIF('Elève (5ème3)'!QT5:QV5,"B"))*3)+((COUNTIF('Elève (5ème3)'!QT5:QV5,"C"))*2)+((COUNTIF('Elève (5ème3)'!QT5:QV5,"D"))*1))/(COUNTA(QT5:QV5)),"")</f>
        <v>3</v>
      </c>
      <c r="QX5" s="109" t="str">
        <f t="shared" si="108"/>
        <v>B</v>
      </c>
      <c r="QY5" s="78"/>
      <c r="QZ5" s="79"/>
      <c r="RA5" s="80"/>
      <c r="RB5" s="108" t="str">
        <f>IFERROR((((COUNTIF('Elève (5ème3)'!QY5:RA5,"A"))*4)+((COUNTIF('Elève (5ème3)'!QY5:RA5,"B"))*3)+((COUNTIF('Elève (5ème3)'!QY5:RA5,"C"))*2)+((COUNTIF('Elève (5ème3)'!QY5:RA5,"D"))*1))/(COUNTA(QY5:RA5)),"")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(5ème3)'!RD5:RF5,"A"))*4)+((COUNTIF('Elève (5ème3)'!RD5:RF5,"B"))*3)+((COUNTIF('Elève (5ème3)'!RD5:RF5,"C"))*2)+((COUNTIF('Elève (5ème3)'!RD5:RF5,"D"))*1))/(COUNTA(RD5:RF5)),"")</f>
        <v/>
      </c>
      <c r="RH5" s="109" t="str">
        <f t="shared" si="110"/>
        <v/>
      </c>
      <c r="RI5" s="178">
        <f>IF(COUNT(QW5,RB5,RG5)=0,"",SUM(QW5,RB5,RG5)/COUNT(QW5,RB5,RG5))</f>
        <v>3</v>
      </c>
      <c r="RJ5" s="131" t="str">
        <f t="shared" si="111"/>
        <v>B</v>
      </c>
      <c r="RK5" s="153"/>
      <c r="RL5" s="154"/>
      <c r="RM5" s="155"/>
      <c r="RN5" s="108" t="str">
        <f>IFERROR((((COUNTIF('Elève (5ème3)'!RK5:RM5,"A"))*4)+((COUNTIF('Elève (5ème3)'!RK5:RM5,"B"))*3)+((COUNTIF('Elève (5ème3)'!RK5:RM5,"C"))*2)+((COUNTIF('Elève (5ème3)'!RK5:RM5,"D"))*1))/(COUNTA(RK5:RM5)),"")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(5ème3)'!RP5:RR5,"A"))*4)+((COUNTIF('Elève (5ème3)'!RP5:RR5,"B"))*3)+((COUNTIF('Elève (5ème3)'!RP5:RR5,"C"))*2)+((COUNTIF('Elève (5ème3)'!RP5:RR5,"D"))*1))/(COUNTA(RP5:RR5)),"")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(5ème3)'!RU5:RW5,"A"))*4)+((COUNTIF('Elève (5ème3)'!RU5:RW5,"B"))*3)+((COUNTIF('Elève (5ème3)'!RU5:RW5,"C"))*2)+((COUNTIF('Elève (5ème3)'!RU5:RW5,"D"))*1))/(COUNTA(RU5:RW5)),"")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(5ème3)'!SB5:SD5,"A"))*4)+((COUNTIF('Elève (5ème3)'!SB5:SD5,"B"))*3)+((COUNTIF('Elève (5ème3)'!SB5:SD5,"C"))*2)+((COUNTIF('Elève (5ème3)'!SB5:SD5,"D"))*1))/(COUNTA(SB5:SD5)),"")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(5ème3)'!SG5:SI5,"A"))*4)+((COUNTIF('Elève (5ème3)'!SG5:SI5,"B"))*3)+((COUNTIF('Elève (5ème3)'!SG5:SI5,"C"))*2)+((COUNTIF('Elève (5ème3)'!SG5:SI5,"D"))*1))/(COUNTA(SG5:SI5)),"")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(5ème3)'!SL5:SN5,"A"))*4)+((COUNTIF('Elève (5ème3)'!SL5:SN5,"B"))*3)+((COUNTIF('Elève (5ème3)'!SL5:SN5,"C"))*2)+((COUNTIF('Elève (5ème3)'!SL5:SN5,"D"))*1))/(COUNTA(SL5:SN5)),"")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7" t="s">
        <v>13</v>
      </c>
      <c r="B6" s="228"/>
      <c r="C6" s="156"/>
      <c r="D6" s="157"/>
      <c r="E6" s="158"/>
      <c r="F6" s="110" t="str">
        <f>IFERROR((((COUNTIF('Elève (5ème3)'!C6:E6,"A"))*4)+((COUNTIF('Elève (5ème3)'!C6:E6,"B"))*3)+((COUNTIF('Elève (5ème3)'!C6:E6,"C"))*2)+((COUNTIF('Elève (5ème3)'!C6:E6,"D"))*1))/(COUNTA(C6:E6)),"")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(5ème3)'!H6:J6,"A"))*4)+((COUNTIF('Elève (5ème3)'!H6:J6,"B"))*3)+((COUNTIF('Elève (5ème3)'!H6:J6,"C"))*2)+((COUNTIF('Elève (5ème3)'!H6:J6,"D"))*1))/(COUNTA(H6:J6)),"")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(5ème3)'!M6:O6,"A"))*4)+((COUNTIF('Elève (5ème3)'!M6:O6,"B"))*3)+((COUNTIF('Elève (5ème3)'!M6:O6,"C"))*2)+((COUNTIF('Elève (5ème3)'!M6:O6,"D"))*1))/(COUNTA(M6:O6)),"")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(5ème3)'!T6:V6,"A"))*4)+((COUNTIF('Elève (5ème3)'!T6:V6,"B"))*3)+((COUNTIF('Elève (5ème3)'!T6:V6,"C"))*2)+((COUNTIF('Elève (5ème3)'!T6:V6,"D"))*1))/(COUNTA(T6:V6)),"")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(5ème3)'!Y6:AA6,"A"))*4)+((COUNTIF('Elève (5ème3)'!Y6:AA6,"B"))*3)+((COUNTIF('Elève (5ème3)'!Y6:AA6,"C"))*2)+((COUNTIF('Elève (5ème3)'!Y6:AA6,"D"))*1))/(COUNTA(Y6:AA6)),"")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(5ème3)'!AD6:AF6,"A"))*4)+((COUNTIF('Elève (5ème3)'!AD6:AF6,"B"))*3)+((COUNTIF('Elève (5ème3)'!AD6:AF6,"C"))*2)+((COUNTIF('Elève (5ème3)'!AD6:AF6,"D"))*1))/(COUNTA(AD6:AF6)),"")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(5ème3)'!AK6:AM6,"A"))*4)+((COUNTIF('Elève (5ème3)'!AK6:AM6,"B"))*3)+((COUNTIF('Elève (5ème3)'!AK6:AM6,"C"))*2)+((COUNTIF('Elève (5ème3)'!AK6:AM6,"D"))*1))/(COUNTA(AK6:AM6)),"")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(5ème3)'!AP6:AR6,"A"))*4)+((COUNTIF('Elève (5ème3)'!AP6:AR6,"B"))*3)+((COUNTIF('Elève (5ème3)'!AP6:AR6,"C"))*2)+((COUNTIF('Elève (5ème3)'!AP6:AR6,"D"))*1))/(COUNTA(AP6:AR6)),"")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(5ème3)'!AU6:AW6,"A"))*4)+((COUNTIF('Elève (5ème3)'!AU6:AW6,"B"))*3)+((COUNTIF('Elève (5ème3)'!AU6:AW6,"C"))*2)+((COUNTIF('Elève (5ème3)'!AU6:AW6,"D"))*1))/(COUNTA(AU6:AW6)),"")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(5ème3)'!BB6:BD6,"A"))*4)+((COUNTIF('Elève (5ème3)'!BB6:BD6,"B"))*3)+((COUNTIF('Elève (5ème3)'!BB6:BD6,"C"))*2)+((COUNTIF('Elève (5ème3)'!BB6:BD6,"D"))*1))/(COUNTA(BB6:BD6)),"")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(5ème3)'!BG6:BI6,"A"))*4)+((COUNTIF('Elève (5ème3)'!BG6:BI6,"B"))*3)+((COUNTIF('Elève (5ème3)'!BG6:BI6,"C"))*2)+((COUNTIF('Elève (5ème3)'!BG6:BI6,"D"))*1))/(COUNTA(BG6:BI6)),"")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(5ème3)'!BL6:BN6,"A"))*4)+((COUNTIF('Elève (5ème3)'!BL6:BN6,"B"))*3)+((COUNTIF('Elève (5ème3)'!BL6:BN6,"C"))*2)+((COUNTIF('Elève (5ème3)'!BL6:BN6,"D"))*1))/(COUNTA(BL6:BN6)),"")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(5ème3)'!BS6:BU6,"A"))*4)+((COUNTIF('Elève (5ème3)'!BS6:BU6,"B"))*3)+((COUNTIF('Elève (5ème3)'!BS6:BU6,"C"))*2)+((COUNTIF('Elève (5ème3)'!BS6:BU6,"D"))*1))/(COUNTA(BS6:BU6)),"")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(5ème3)'!BX6:BZ6,"A"))*4)+((COUNTIF('Elève (5ème3)'!BX6:BZ6,"B"))*3)+((COUNTIF('Elève (5ème3)'!BX6:BZ6,"C"))*2)+((COUNTIF('Elève (5ème3)'!BX6:BZ6,"D"))*1))/(COUNTA(BX6:BZ6)),"")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(5ème3)'!CC6:CE6,"A"))*4)+((COUNTIF('Elève (5ème3)'!CC6:CE6,"B"))*3)+((COUNTIF('Elève (5ème3)'!CC6:CE6,"C"))*2)+((COUNTIF('Elève (5ème3)'!CC6:CE6,"D"))*1))/(COUNTA(CC6:CE6)),"")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(5ème3)'!CJ6:CL6,"A"))*4)+((COUNTIF('Elève (5ème3)'!CJ6:CL6,"B"))*3)+((COUNTIF('Elève (5ème3)'!CJ6:CL6,"C"))*2)+((COUNTIF('Elève (5ème3)'!CJ6:CL6,"D"))*1))/(COUNTA(CJ6:CL6)),"")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(5ème3)'!CO6:CQ6,"A"))*4)+((COUNTIF('Elève (5ème3)'!CO6:CQ6,"B"))*3)+((COUNTIF('Elève (5ème3)'!CO6:CQ6,"C"))*2)+((COUNTIF('Elève (5ème3)'!CO6:CQ6,"D"))*1))/(COUNTA(CO6:CQ6)),"")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(5ème3)'!CT6:CV6,"A"))*4)+((COUNTIF('Elève (5ème3)'!CT6:CV6,"B"))*3)+((COUNTIF('Elève (5ème3)'!CT6:CV6,"C"))*2)+((COUNTIF('Elève (5ème3)'!CT6:CV6,"D"))*1))/(COUNTA(CT6:CV6)),"")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(5ème3)'!DA6:DC6,"A"))*4)+((COUNTIF('Elève (5ème3)'!DA6:DC6,"B"))*3)+((COUNTIF('Elève (5ème3)'!DA6:DC6,"C"))*2)+((COUNTIF('Elève (5ème3)'!DA6:DC6,"D"))*1))/(COUNTA(DA6:DC6)),"")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(5ème3)'!DF6:DH6,"A"))*4)+((COUNTIF('Elève (5ème3)'!DF6:DH6,"B"))*3)+((COUNTIF('Elève (5ème3)'!DF6:DH6,"C"))*2)+((COUNTIF('Elève (5ème3)'!DF6:DH6,"D"))*1))/(COUNTA(DF6:DH6)),"")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(5ème3)'!DK6:DM6,"A"))*4)+((COUNTIF('Elève (5ème3)'!DK6:DM6,"B"))*3)+((COUNTIF('Elève (5ème3)'!DK6:DM6,"C"))*2)+((COUNTIF('Elève (5ème3)'!DK6:DM6,"D"))*1))/(COUNTA(DK6:DM6)),"")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(5ème3)'!DR6:DT6,"A"))*4)+((COUNTIF('Elève (5ème3)'!DR6:DT6,"B"))*3)+((COUNTIF('Elève (5ème3)'!DR6:DT6,"C"))*2)+((COUNTIF('Elève (5ème3)'!DR6:DT6,"D"))*1))/(COUNTA(DR6:DT6)),"")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(5ème3)'!DW6:DY6,"A"))*4)+((COUNTIF('Elève (5ème3)'!DW6:DY6,"B"))*3)+((COUNTIF('Elève (5ème3)'!DW6:DY6,"C"))*2)+((COUNTIF('Elève (5ème3)'!DW6:DY6,"D"))*1))/(COUNTA(DW6:DY6)),"")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(5ème3)'!EB6:ED6,"A"))*4)+((COUNTIF('Elève (5ème3)'!EB6:ED6,"B"))*3)+((COUNTIF('Elève (5ème3)'!EB6:ED6,"C"))*2)+((COUNTIF('Elève (5ème3)'!EB6:ED6,"D"))*1))/(COUNTA(EB6:ED6)),"")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(5ème3)'!EI6:EK6,"A"))*4)+((COUNTIF('Elève (5ème3)'!EI6:EK6,"B"))*3)+((COUNTIF('Elève (5ème3)'!EI6:EK6,"C"))*2)+((COUNTIF('Elève (5ème3)'!EI6:EK6,"D"))*1))/(COUNTA(EI6:EK6)),"")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(5ème3)'!EN6:EP6,"A"))*4)+((COUNTIF('Elève (5ème3)'!EN6:EP6,"B"))*3)+((COUNTIF('Elève (5ème3)'!EN6:EP6,"C"))*2)+((COUNTIF('Elève (5ème3)'!EN6:EP6,"D"))*1))/(COUNTA(EN6:EP6)),"")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(5ème3)'!ES6:EU6,"A"))*4)+((COUNTIF('Elève (5ème3)'!ES6:EU6,"B"))*3)+((COUNTIF('Elève (5ème3)'!ES6:EU6,"C"))*2)+((COUNTIF('Elève (5ème3)'!ES6:EU6,"D"))*1))/(COUNTA(ES6:EU6)),"")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(5ème3)'!EZ6:FB6,"A"))*4)+((COUNTIF('Elève (5ème3)'!EZ6:FB6,"B"))*3)+((COUNTIF('Elève (5ème3)'!EZ6:FB6,"C"))*2)+((COUNTIF('Elève (5ème3)'!EZ6:FB6,"D"))*1))/(COUNTA(EZ6:FB6)),"")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(5ème3)'!FE6:FG6,"A"))*4)+((COUNTIF('Elève (5ème3)'!FE6:FG6,"B"))*3)+((COUNTIF('Elève (5ème3)'!FE6:FG6,"C"))*2)+((COUNTIF('Elève (5ème3)'!FE6:FG6,"D"))*1))/(COUNTA(FE6:FG6)),"")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(5ème3)'!FJ6:FL6,"A"))*4)+((COUNTIF('Elève (5ème3)'!FJ6:FL6,"B"))*3)+((COUNTIF('Elève (5ème3)'!FJ6:FL6,"C"))*2)+((COUNTIF('Elève (5ème3)'!FJ6:FL6,"D"))*1))/(COUNTA(FJ6:FL6)),"")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(5ème3)'!FQ6:FS6,"A"))*4)+((COUNTIF('Elève (5ème3)'!FQ6:FS6,"B"))*3)+((COUNTIF('Elève (5ème3)'!FQ6:FS6,"C"))*2)+((COUNTIF('Elève (5ème3)'!FQ6:FS6,"D"))*1))/(COUNTA(FQ6:FS6)),"")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(5ème3)'!FV6:FX6,"A"))*4)+((COUNTIF('Elève (5ème3)'!FV6:FX6,"B"))*3)+((COUNTIF('Elève (5ème3)'!FV6:FX6,"C"))*2)+((COUNTIF('Elève (5ème3)'!FV6:FX6,"D"))*1))/(COUNTA(FV6:FX6)),"")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(5ème3)'!GA6:GC6,"A"))*4)+((COUNTIF('Elève (5ème3)'!GA6:GC6,"B"))*3)+((COUNTIF('Elève (5ème3)'!GA6:GC6,"C"))*2)+((COUNTIF('Elève (5ème3)'!GA6:GC6,"D"))*1))/(COUNTA(GA6:GC6)),"")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(5ème3)'!GH6:GJ6,"A"))*4)+((COUNTIF('Elève (5ème3)'!GH6:GJ6,"B"))*3)+((COUNTIF('Elève (5ème3)'!GH6:GJ6,"C"))*2)+((COUNTIF('Elève (5ème3)'!GH6:GJ6,"D"))*1))/(COUNTA(GH6:GJ6)),"")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(5ème3)'!GM6:GO6,"A"))*4)+((COUNTIF('Elève (5ème3)'!GM6:GO6,"B"))*3)+((COUNTIF('Elève (5ème3)'!GM6:GO6,"C"))*2)+((COUNTIF('Elève (5ème3)'!GM6:GO6,"D"))*1))/(COUNTA(GM6:GO6)),"")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(5ème3)'!GR6:GT6,"A"))*4)+((COUNTIF('Elève (5ème3)'!GR6:GT6,"B"))*3)+((COUNTIF('Elève (5ème3)'!GR6:GT6,"C"))*2)+((COUNTIF('Elève (5ème3)'!GR6:GT6,"D"))*1))/(COUNTA(GR6:GT6)),"")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(5ème3)'!GY6:HA6,"A"))*4)+((COUNTIF('Elève (5ème3)'!GY6:HA6,"B"))*3)+((COUNTIF('Elève (5ème3)'!GY6:HA6,"C"))*2)+((COUNTIF('Elève (5ème3)'!GY6:HA6,"D"))*1))/(COUNTA(GY6:HA6)),"")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(5ème3)'!HD6:HF6,"A"))*4)+((COUNTIF('Elève (5ème3)'!HD6:HF6,"B"))*3)+((COUNTIF('Elève (5ème3)'!HD6:HF6,"C"))*2)+((COUNTIF('Elève (5ème3)'!HD6:HF6,"D"))*1))/(COUNTA(HD6:HF6)),"")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(5ème3)'!HI6:HK6,"A"))*4)+((COUNTIF('Elève (5ème3)'!HI6:HK6,"B"))*3)+((COUNTIF('Elève (5ème3)'!HI6:HK6,"C"))*2)+((COUNTIF('Elève (5ème3)'!HI6:HK6,"D"))*1))/(COUNTA(HI6:HK6)),"")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(5ème3)'!HP6:HR6,"A"))*4)+((COUNTIF('Elève (5ème3)'!HP6:HR6,"B"))*3)+((COUNTIF('Elève (5ème3)'!HP6:HR6,"C"))*2)+((COUNTIF('Elève (5ème3)'!HP6:HR6,"D"))*1))/(COUNTA(HP6:HR6)),"")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(5ème3)'!HU6:HW6,"A"))*4)+((COUNTIF('Elève (5ème3)'!HU6:HW6,"B"))*3)+((COUNTIF('Elève (5ème3)'!HU6:HW6,"C"))*2)+((COUNTIF('Elève (5ème3)'!HU6:HW6,"D"))*1))/(COUNTA(HU6:HW6)),"")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(5ème3)'!HZ6:IB6,"A"))*4)+((COUNTIF('Elève (5ème3)'!HZ6:IB6,"B"))*3)+((COUNTIF('Elève (5ème3)'!HZ6:IB6,"C"))*2)+((COUNTIF('Elève (5ème3)'!HZ6:IB6,"D"))*1))/(COUNTA(HZ6:IB6)),"")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(5ème3)'!IG6:II6,"A"))*4)+((COUNTIF('Elève (5ème3)'!IG6:II6,"B"))*3)+((COUNTIF('Elève (5ème3)'!IG6:II6,"C"))*2)+((COUNTIF('Elève (5ème3)'!IG6:II6,"D"))*1))/(COUNTA(IG6:II6)),"")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(5ème3)'!IL6:IN6,"A"))*4)+((COUNTIF('Elève (5ème3)'!IL6:IN6,"B"))*3)+((COUNTIF('Elève (5ème3)'!IL6:IN6,"C"))*2)+((COUNTIF('Elève (5ème3)'!IL6:IN6,"D"))*1))/(COUNTA(IL6:IN6)),"")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(5ème3)'!IQ6:IS6,"A"))*4)+((COUNTIF('Elève (5ème3)'!IQ6:IS6,"B"))*3)+((COUNTIF('Elève (5ème3)'!IQ6:IS6,"C"))*2)+((COUNTIF('Elève (5ème3)'!IQ6:IS6,"D"))*1))/(COUNTA(IQ6:IS6)),"")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(5ème3)'!IX6:IZ6,"A"))*4)+((COUNTIF('Elève (5ème3)'!IX6:IZ6,"B"))*3)+((COUNTIF('Elève (5ème3)'!IX6:IZ6,"C"))*2)+((COUNTIF('Elève (5ème3)'!IX6:IZ6,"D"))*1))/(COUNTA(IX6:IZ6)),"")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(5ème3)'!JC6:JE6,"A"))*4)+((COUNTIF('Elève (5ème3)'!JC6:JE6,"B"))*3)+((COUNTIF('Elève (5ème3)'!JC6:JE6,"C"))*2)+((COUNTIF('Elève (5ème3)'!JC6:JE6,"D"))*1))/(COUNTA(JC6:JE6)),"")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(5ème3)'!JH6:JJ6,"A"))*4)+((COUNTIF('Elève (5ème3)'!JH6:JJ6,"B"))*3)+((COUNTIF('Elève (5ème3)'!JH6:JJ6,"C"))*2)+((COUNTIF('Elève (5ème3)'!JH6:JJ6,"D"))*1))/(COUNTA(JH6:JJ6)),"")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(5ème3)'!JO6:JQ6,"A"))*4)+((COUNTIF('Elève (5ème3)'!JO6:JQ6,"B"))*3)+((COUNTIF('Elève (5ème3)'!JO6:JQ6,"C"))*2)+((COUNTIF('Elève (5ème3)'!JO6:JQ6,"D"))*1))/(COUNTA(JO6:JQ6)),"")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(5ème3)'!JT6:JV6,"A"))*4)+((COUNTIF('Elève (5ème3)'!JT6:JV6,"B"))*3)+((COUNTIF('Elève (5ème3)'!JT6:JV6,"C"))*2)+((COUNTIF('Elève (5ème3)'!JT6:JV6,"D"))*1))/(COUNTA(JT6:JV6)),"")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(5ème3)'!JY6:KA6,"A"))*4)+((COUNTIF('Elève (5ème3)'!JY6:KA6,"B"))*3)+((COUNTIF('Elève (5ème3)'!JY6:KA6,"C"))*2)+((COUNTIF('Elève (5ème3)'!JY6:KA6,"D"))*1))/(COUNTA(JY6:KA6)),"")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(5ème3)'!KF6:KH6,"A"))*4)+((COUNTIF('Elève (5ème3)'!KF6:KH6,"B"))*3)+((COUNTIF('Elève (5ème3)'!KF6:KH6,"C"))*2)+((COUNTIF('Elève (5ème3)'!KF6:KH6,"D"))*1))/(COUNTA(KF6:KH6)),"")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(5ème3)'!KK6:KM6,"A"))*4)+((COUNTIF('Elève (5ème3)'!KK6:KM6,"B"))*3)+((COUNTIF('Elève (5ème3)'!KK6:KM6,"C"))*2)+((COUNTIF('Elève (5ème3)'!KK6:KM6,"D"))*1))/(COUNTA(KK6:KM6)),"")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(5ème3)'!KP6:KR6,"A"))*4)+((COUNTIF('Elève (5ème3)'!KP6:KR6,"B"))*3)+((COUNTIF('Elève (5ème3)'!KP6:KR6,"C"))*2)+((COUNTIF('Elève (5ème3)'!KP6:KR6,"D"))*1))/(COUNTA(KP6:KR6)),"")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(5ème3)'!KW6:KY6,"A"))*4)+((COUNTIF('Elève (5ème3)'!KW6:KY6,"B"))*3)+((COUNTIF('Elève (5ème3)'!KW6:KY6,"C"))*2)+((COUNTIF('Elève (5ème3)'!KW6:KY6,"D"))*1))/(COUNTA(KW6:KY6)),"")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(5ème3)'!LB6:LD6,"A"))*4)+((COUNTIF('Elève (5ème3)'!LB6:LD6,"B"))*3)+((COUNTIF('Elève (5ème3)'!LB6:LD6,"C"))*2)+((COUNTIF('Elève (5ème3)'!LB6:LD6,"D"))*1))/(COUNTA(LB6:LD6)),"")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(5ème3)'!LG6:LI6,"A"))*4)+((COUNTIF('Elève (5ème3)'!LG6:LI6,"B"))*3)+((COUNTIF('Elève (5ème3)'!LG6:LI6,"C"))*2)+((COUNTIF('Elève (5ème3)'!LG6:LI6,"D"))*1))/(COUNTA(LG6:LI6)),"")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(5ème3)'!LN6:LP6,"A"))*4)+((COUNTIF('Elève (5ème3)'!LN6:LP6,"B"))*3)+((COUNTIF('Elève (5ème3)'!LN6:LP6,"C"))*2)+((COUNTIF('Elève (5ème3)'!LN6:LP6,"D"))*1))/(COUNTA(LN6:LP6)),"")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(5ème3)'!LS6:LU6,"A"))*4)+((COUNTIF('Elève (5ème3)'!LS6:LU6,"B"))*3)+((COUNTIF('Elève (5ème3)'!LS6:LU6,"C"))*2)+((COUNTIF('Elève (5ème3)'!LS6:LU6,"D"))*1))/(COUNTA(LS6:LU6)),"")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(5ème3)'!LX6:LZ6,"A"))*4)+((COUNTIF('Elève (5ème3)'!LX6:LZ6,"B"))*3)+((COUNTIF('Elève (5ème3)'!LX6:LZ6,"C"))*2)+((COUNTIF('Elève (5ème3)'!LX6:LZ6,"D"))*1))/(COUNTA(LX6:LZ6)),"")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(5ème3)'!ME6:MG6,"A"))*4)+((COUNTIF('Elève (5ème3)'!ME6:MG6,"B"))*3)+((COUNTIF('Elève (5ème3)'!ME6:MG6,"C"))*2)+((COUNTIF('Elève (5ème3)'!ME6:MG6,"D"))*1))/(COUNTA(ME6:MG6)),"")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(5ème3)'!MJ6:ML6,"A"))*4)+((COUNTIF('Elève (5ème3)'!MJ6:ML6,"B"))*3)+((COUNTIF('Elève (5ème3)'!MJ6:ML6,"C"))*2)+((COUNTIF('Elève (5ème3)'!MJ6:ML6,"D"))*1))/(COUNTA(MJ6:ML6)),"")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(5ème3)'!MO6:MQ6,"A"))*4)+((COUNTIF('Elève (5ème3)'!MO6:MQ6,"B"))*3)+((COUNTIF('Elève (5ème3)'!MO6:MQ6,"C"))*2)+((COUNTIF('Elève (5ème3)'!MO6:MQ6,"D"))*1))/(COUNTA(MO6:MQ6)),"")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(5ème3)'!MV6:MX6,"A"))*4)+((COUNTIF('Elève (5ème3)'!MV6:MX6,"B"))*3)+((COUNTIF('Elève (5ème3)'!MV6:MX6,"C"))*2)+((COUNTIF('Elève (5ème3)'!MV6:MX6,"D"))*1))/(COUNTA(MV6:MX6)),"")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(5ème3)'!NA6:NC6,"A"))*4)+((COUNTIF('Elève (5ème3)'!NA6:NC6,"B"))*3)+((COUNTIF('Elève (5ème3)'!NA6:NC6,"C"))*2)+((COUNTIF('Elève (5ème3)'!NA6:NC6,"D"))*1))/(COUNTA(NA6:NC6)),"")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(5ème3)'!NF6:NH6,"A"))*4)+((COUNTIF('Elève (5ème3)'!NF6:NH6,"B"))*3)+((COUNTIF('Elève (5ème3)'!NF6:NH6,"C"))*2)+((COUNTIF('Elève (5ème3)'!NF6:NH6,"D"))*1))/(COUNTA(NF6:NH6)),"")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(5ème3)'!NM6:NO6,"A"))*4)+((COUNTIF('Elève (5ème3)'!NM6:NO6,"B"))*3)+((COUNTIF('Elève (5ème3)'!NM6:NO6,"C"))*2)+((COUNTIF('Elève (5ème3)'!NM6:NO6,"D"))*1))/(COUNTA(NM6:NO6)),"")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(5ème3)'!NR6:NT6,"A"))*4)+((COUNTIF('Elève (5ème3)'!NR6:NT6,"B"))*3)+((COUNTIF('Elève (5ème3)'!NR6:NT6,"C"))*2)+((COUNTIF('Elève (5ème3)'!NR6:NT6,"D"))*1))/(COUNTA(NR6:NT6)),"")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(5ème3)'!NW6:NY6,"A"))*4)+((COUNTIF('Elève (5ème3)'!NW6:NY6,"B"))*3)+((COUNTIF('Elève (5ème3)'!NW6:NY6,"C"))*2)+((COUNTIF('Elève (5ème3)'!NW6:NY6,"D"))*1))/(COUNTA(NW6:NY6)),"")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(5ème3)'!OD6:OF6,"A"))*4)+((COUNTIF('Elève (5ème3)'!OD6:OF6,"B"))*3)+((COUNTIF('Elève (5ème3)'!OD6:OF6,"C"))*2)+((COUNTIF('Elève (5ème3)'!OD6:OF6,"D"))*1))/(COUNTA(OD6:OF6)),"")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(5ème3)'!OI6:OK6,"A"))*4)+((COUNTIF('Elève (5ème3)'!OI6:OK6,"B"))*3)+((COUNTIF('Elève (5ème3)'!OI6:OK6,"C"))*2)+((COUNTIF('Elève (5ème3)'!OI6:OK6,"D"))*1))/(COUNTA(OI6:OK6)),"")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(5ème3)'!ON6:OP6,"A"))*4)+((COUNTIF('Elève (5ème3)'!ON6:OP6,"B"))*3)+((COUNTIF('Elève (5ème3)'!ON6:OP6,"C"))*2)+((COUNTIF('Elève (5ème3)'!ON6:OP6,"D"))*1))/(COUNTA(ON6:OP6)),"")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(5ème3)'!OU6:OW6,"A"))*4)+((COUNTIF('Elève (5ème3)'!OU6:OW6,"B"))*3)+((COUNTIF('Elève (5ème3)'!OU6:OW6,"C"))*2)+((COUNTIF('Elève (5ème3)'!OU6:OW6,"D"))*1))/(COUNTA(OU6:OW6)),"")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(5ème3)'!OZ6:PB6,"A"))*4)+((COUNTIF('Elève (5ème3)'!OZ6:PB6,"B"))*3)+((COUNTIF('Elève (5ème3)'!OZ6:PB6,"C"))*2)+((COUNTIF('Elève (5ème3)'!OZ6:PB6,"D"))*1))/(COUNTA(OZ6:PB6)),"")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(5ème3)'!PE6:PG6,"A"))*4)+((COUNTIF('Elève (5ème3)'!PE6:PG6,"B"))*3)+((COUNTIF('Elève (5ème3)'!PE6:PG6,"C"))*2)+((COUNTIF('Elève (5ème3)'!PE6:PG6,"D"))*1))/(COUNTA(PE6:PG6)),"")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(5ème3)'!PL6:PN6,"A"))*4)+((COUNTIF('Elève (5ème3)'!PL6:PN6,"B"))*3)+((COUNTIF('Elève (5ème3)'!PL6:PN6,"C"))*2)+((COUNTIF('Elève (5ème3)'!PL6:PN6,"D"))*1))/(COUNTA(PL6:PN6)),"")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(5ème3)'!PQ6:PS6,"A"))*4)+((COUNTIF('Elève (5ème3)'!PQ6:PS6,"B"))*3)+((COUNTIF('Elève (5ème3)'!PQ6:PS6,"C"))*2)+((COUNTIF('Elève (5ème3)'!PQ6:PS6,"D"))*1))/(COUNTA(PQ6:PS6)),"")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(5ème3)'!PV6:PX6,"A"))*4)+((COUNTIF('Elève (5ème3)'!PV6:PX6,"B"))*3)+((COUNTIF('Elève (5ème3)'!PV6:PX6,"C"))*2)+((COUNTIF('Elève (5ème3)'!PV6:PX6,"D"))*1))/(COUNTA(PV6:PX6)),"")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(5ème3)'!QC6:QE6,"A"))*4)+((COUNTIF('Elève (5ème3)'!QC6:QE6,"B"))*3)+((COUNTIF('Elève (5ème3)'!QC6:QE6,"C"))*2)+((COUNTIF('Elève (5ème3)'!QC6:QE6,"D"))*1))/(COUNTA(QC6:QE6)),"")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(5ème3)'!QH6:QJ6,"A"))*4)+((COUNTIF('Elève (5ème3)'!QH6:QJ6,"B"))*3)+((COUNTIF('Elève (5ème3)'!QH6:QJ6,"C"))*2)+((COUNTIF('Elève (5ème3)'!QH6:QJ6,"D"))*1))/(COUNTA(QH6:QJ6)),"")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(5ème3)'!QM6:QO6,"A"))*4)+((COUNTIF('Elève (5ème3)'!QM6:QO6,"B"))*3)+((COUNTIF('Elève (5ème3)'!QM6:QO6,"C"))*2)+((COUNTIF('Elève (5ème3)'!QM6:QO6,"D"))*1))/(COUNTA(QM6:QO6)),"")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(5ème3)'!QT6:QV6,"A"))*4)+((COUNTIF('Elève (5ème3)'!QT6:QV6,"B"))*3)+((COUNTIF('Elève (5ème3)'!QT6:QV6,"C"))*2)+((COUNTIF('Elève (5ème3)'!QT6:QV6,"D"))*1))/(COUNTA(QT6:QV6)),"")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(5ème3)'!QY6:RA6,"A"))*4)+((COUNTIF('Elève (5ème3)'!QY6:RA6,"B"))*3)+((COUNTIF('Elève (5ème3)'!QY6:RA6,"C"))*2)+((COUNTIF('Elève (5ème3)'!QY6:RA6,"D"))*1))/(COUNTA(QY6:RA6)),"")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(5ème3)'!RD6:RF6,"A"))*4)+((COUNTIF('Elève (5ème3)'!RD6:RF6,"B"))*3)+((COUNTIF('Elève (5ème3)'!RD6:RF6,"C"))*2)+((COUNTIF('Elève (5ème3)'!RD6:RF6,"D"))*1))/(COUNTA(RD6:RF6)),"")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(5ème3)'!RK6:RM6,"A"))*4)+((COUNTIF('Elève (5ème3)'!RK6:RM6,"B"))*3)+((COUNTIF('Elève (5ème3)'!RK6:RM6,"C"))*2)+((COUNTIF('Elève (5ème3)'!RK6:RM6,"D"))*1))/(COUNTA(RK6:RM6)),"")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(5ème3)'!RP6:RR6,"A"))*4)+((COUNTIF('Elève (5ème3)'!RP6:RR6,"B"))*3)+((COUNTIF('Elève (5ème3)'!RP6:RR6,"C"))*2)+((COUNTIF('Elève (5ème3)'!RP6:RR6,"D"))*1))/(COUNTA(RP6:RR6)),"")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(5ème3)'!RU6:RW6,"A"))*4)+((COUNTIF('Elève (5ème3)'!RU6:RW6,"B"))*3)+((COUNTIF('Elève (5ème3)'!RU6:RW6,"C"))*2)+((COUNTIF('Elève (5ème3)'!RU6:RW6,"D"))*1))/(COUNTA(RU6:RW6)),"")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(5ème3)'!SB6:SD6,"A"))*4)+((COUNTIF('Elève (5ème3)'!SB6:SD6,"B"))*3)+((COUNTIF('Elève (5ème3)'!SB6:SD6,"C"))*2)+((COUNTIF('Elève (5ème3)'!SB6:SD6,"D"))*1))/(COUNTA(SB6:SD6)),"")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(5ème3)'!SG6:SI6,"A"))*4)+((COUNTIF('Elève (5ème3)'!SG6:SI6,"B"))*3)+((COUNTIF('Elève (5ème3)'!SG6:SI6,"C"))*2)+((COUNTIF('Elève (5ème3)'!SG6:SI6,"D"))*1))/(COUNTA(SG6:SI6)),"")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(5ème3)'!SL6:SN6,"A"))*4)+((COUNTIF('Elève (5ème3)'!SL6:SN6,"B"))*3)+((COUNTIF('Elève (5ème3)'!SL6:SN6,"C"))*2)+((COUNTIF('Elève (5ème3)'!SL6:SN6,"D"))*1))/(COUNTA(SL6:SN6)),"")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7" t="s">
        <v>14</v>
      </c>
      <c r="B7" s="228"/>
      <c r="C7" s="156"/>
      <c r="D7" s="157"/>
      <c r="E7" s="158"/>
      <c r="F7" s="110" t="str">
        <f>IFERROR((((COUNTIF('Elève (5ème3)'!C7:E7,"A"))*4)+((COUNTIF('Elève (5ème3)'!C7:E7,"B"))*3)+((COUNTIF('Elève (5ème3)'!C7:E7,"C"))*2)+((COUNTIF('Elève (5ème3)'!C7:E7,"D"))*1))/(COUNTA(C7:E7)),"")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(5ème3)'!H7:J7,"A"))*4)+((COUNTIF('Elève (5ème3)'!H7:J7,"B"))*3)+((COUNTIF('Elève (5ème3)'!H7:J7,"C"))*2)+((COUNTIF('Elève (5ème3)'!H7:J7,"D"))*1))/(COUNTA(H7:J7)),"")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(5ème3)'!M7:O7,"A"))*4)+((COUNTIF('Elève (5ème3)'!M7:O7,"B"))*3)+((COUNTIF('Elève (5ème3)'!M7:O7,"C"))*2)+((COUNTIF('Elève (5ème3)'!M7:O7,"D"))*1))/(COUNTA(M7:O7)),"")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(5ème3)'!T7:V7,"A"))*4)+((COUNTIF('Elève (5ème3)'!T7:V7,"B"))*3)+((COUNTIF('Elève (5ème3)'!T7:V7,"C"))*2)+((COUNTIF('Elève (5ème3)'!T7:V7,"D"))*1))/(COUNTA(T7:V7)),"")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(5ème3)'!Y7:AA7,"A"))*4)+((COUNTIF('Elève (5ème3)'!Y7:AA7,"B"))*3)+((COUNTIF('Elève (5ème3)'!Y7:AA7,"C"))*2)+((COUNTIF('Elève (5ème3)'!Y7:AA7,"D"))*1))/(COUNTA(Y7:AA7)),"")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(5ème3)'!AD7:AF7,"A"))*4)+((COUNTIF('Elève (5ème3)'!AD7:AF7,"B"))*3)+((COUNTIF('Elève (5ème3)'!AD7:AF7,"C"))*2)+((COUNTIF('Elève (5ème3)'!AD7:AF7,"D"))*1))/(COUNTA(AD7:AF7)),"")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(5ème3)'!AK7:AM7,"A"))*4)+((COUNTIF('Elève (5ème3)'!AK7:AM7,"B"))*3)+((COUNTIF('Elève (5ème3)'!AK7:AM7,"C"))*2)+((COUNTIF('Elève (5ème3)'!AK7:AM7,"D"))*1))/(COUNTA(AK7:AM7)),"")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(5ème3)'!AP7:AR7,"A"))*4)+((COUNTIF('Elève (5ème3)'!AP7:AR7,"B"))*3)+((COUNTIF('Elève (5ème3)'!AP7:AR7,"C"))*2)+((COUNTIF('Elève (5ème3)'!AP7:AR7,"D"))*1))/(COUNTA(AP7:AR7)),"")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(5ème3)'!AU7:AW7,"A"))*4)+((COUNTIF('Elève (5ème3)'!AU7:AW7,"B"))*3)+((COUNTIF('Elève (5ème3)'!AU7:AW7,"C"))*2)+((COUNTIF('Elève (5ème3)'!AU7:AW7,"D"))*1))/(COUNTA(AU7:AW7)),"")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(5ème3)'!BB7:BD7,"A"))*4)+((COUNTIF('Elève (5ème3)'!BB7:BD7,"B"))*3)+((COUNTIF('Elève (5ème3)'!BB7:BD7,"C"))*2)+((COUNTIF('Elève (5ème3)'!BB7:BD7,"D"))*1))/(COUNTA(BB7:BD7)),"")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(5ème3)'!BG7:BI7,"A"))*4)+((COUNTIF('Elève (5ème3)'!BG7:BI7,"B"))*3)+((COUNTIF('Elève (5ème3)'!BG7:BI7,"C"))*2)+((COUNTIF('Elève (5ème3)'!BG7:BI7,"D"))*1))/(COUNTA(BG7:BI7)),"")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(5ème3)'!BL7:BN7,"A"))*4)+((COUNTIF('Elève (5ème3)'!BL7:BN7,"B"))*3)+((COUNTIF('Elève (5ème3)'!BL7:BN7,"C"))*2)+((COUNTIF('Elève (5ème3)'!BL7:BN7,"D"))*1))/(COUNTA(BL7:BN7)),"")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(5ème3)'!BS7:BU7,"A"))*4)+((COUNTIF('Elève (5ème3)'!BS7:BU7,"B"))*3)+((COUNTIF('Elève (5ème3)'!BS7:BU7,"C"))*2)+((COUNTIF('Elève (5ème3)'!BS7:BU7,"D"))*1))/(COUNTA(BS7:BU7)),"")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(5ème3)'!BX7:BZ7,"A"))*4)+((COUNTIF('Elève (5ème3)'!BX7:BZ7,"B"))*3)+((COUNTIF('Elève (5ème3)'!BX7:BZ7,"C"))*2)+((COUNTIF('Elève (5ème3)'!BX7:BZ7,"D"))*1))/(COUNTA(BX7:BZ7)),"")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(5ème3)'!CC7:CE7,"A"))*4)+((COUNTIF('Elève (5ème3)'!CC7:CE7,"B"))*3)+((COUNTIF('Elève (5ème3)'!CC7:CE7,"C"))*2)+((COUNTIF('Elève (5ème3)'!CC7:CE7,"D"))*1))/(COUNTA(CC7:CE7)),"")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(5ème3)'!CJ7:CL7,"A"))*4)+((COUNTIF('Elève (5ème3)'!CJ7:CL7,"B"))*3)+((COUNTIF('Elève (5ème3)'!CJ7:CL7,"C"))*2)+((COUNTIF('Elève (5ème3)'!CJ7:CL7,"D"))*1))/(COUNTA(CJ7:CL7)),"")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(5ème3)'!CO7:CQ7,"A"))*4)+((COUNTIF('Elève (5ème3)'!CO7:CQ7,"B"))*3)+((COUNTIF('Elève (5ème3)'!CO7:CQ7,"C"))*2)+((COUNTIF('Elève (5ème3)'!CO7:CQ7,"D"))*1))/(COUNTA(CO7:CQ7)),"")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(5ème3)'!CT7:CV7,"A"))*4)+((COUNTIF('Elève (5ème3)'!CT7:CV7,"B"))*3)+((COUNTIF('Elève (5ème3)'!CT7:CV7,"C"))*2)+((COUNTIF('Elève (5ème3)'!CT7:CV7,"D"))*1))/(COUNTA(CT7:CV7)),"")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(5ème3)'!DA7:DC7,"A"))*4)+((COUNTIF('Elève (5ème3)'!DA7:DC7,"B"))*3)+((COUNTIF('Elève (5ème3)'!DA7:DC7,"C"))*2)+((COUNTIF('Elève (5ème3)'!DA7:DC7,"D"))*1))/(COUNTA(DA7:DC7)),"")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(5ème3)'!DF7:DH7,"A"))*4)+((COUNTIF('Elève (5ème3)'!DF7:DH7,"B"))*3)+((COUNTIF('Elève (5ème3)'!DF7:DH7,"C"))*2)+((COUNTIF('Elève (5ème3)'!DF7:DH7,"D"))*1))/(COUNTA(DF7:DH7)),"")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(5ème3)'!DK7:DM7,"A"))*4)+((COUNTIF('Elève (5ème3)'!DK7:DM7,"B"))*3)+((COUNTIF('Elève (5ème3)'!DK7:DM7,"C"))*2)+((COUNTIF('Elève (5ème3)'!DK7:DM7,"D"))*1))/(COUNTA(DK7:DM7)),"")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(5ème3)'!DR7:DT7,"A"))*4)+((COUNTIF('Elève (5ème3)'!DR7:DT7,"B"))*3)+((COUNTIF('Elève (5ème3)'!DR7:DT7,"C"))*2)+((COUNTIF('Elève (5ème3)'!DR7:DT7,"D"))*1))/(COUNTA(DR7:DT7)),"")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(5ème3)'!DW7:DY7,"A"))*4)+((COUNTIF('Elève (5ème3)'!DW7:DY7,"B"))*3)+((COUNTIF('Elève (5ème3)'!DW7:DY7,"C"))*2)+((COUNTIF('Elève (5ème3)'!DW7:DY7,"D"))*1))/(COUNTA(DW7:DY7)),"")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(5ème3)'!EB7:ED7,"A"))*4)+((COUNTIF('Elève (5ème3)'!EB7:ED7,"B"))*3)+((COUNTIF('Elève (5ème3)'!EB7:ED7,"C"))*2)+((COUNTIF('Elève (5ème3)'!EB7:ED7,"D"))*1))/(COUNTA(EB7:ED7)),"")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(5ème3)'!EI7:EK7,"A"))*4)+((COUNTIF('Elève (5ème3)'!EI7:EK7,"B"))*3)+((COUNTIF('Elève (5ème3)'!EI7:EK7,"C"))*2)+((COUNTIF('Elève (5ème3)'!EI7:EK7,"D"))*1))/(COUNTA(EI7:EK7)),"")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(5ème3)'!EN7:EP7,"A"))*4)+((COUNTIF('Elève (5ème3)'!EN7:EP7,"B"))*3)+((COUNTIF('Elève (5ème3)'!EN7:EP7,"C"))*2)+((COUNTIF('Elève (5ème3)'!EN7:EP7,"D"))*1))/(COUNTA(EN7:EP7)),"")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(5ème3)'!ES7:EU7,"A"))*4)+((COUNTIF('Elève (5ème3)'!ES7:EU7,"B"))*3)+((COUNTIF('Elève (5ème3)'!ES7:EU7,"C"))*2)+((COUNTIF('Elève (5ème3)'!ES7:EU7,"D"))*1))/(COUNTA(ES7:EU7)),"")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(5ème3)'!EZ7:FB7,"A"))*4)+((COUNTIF('Elève (5ème3)'!EZ7:FB7,"B"))*3)+((COUNTIF('Elève (5ème3)'!EZ7:FB7,"C"))*2)+((COUNTIF('Elève (5ème3)'!EZ7:FB7,"D"))*1))/(COUNTA(EZ7:FB7)),"")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(5ème3)'!FE7:FG7,"A"))*4)+((COUNTIF('Elève (5ème3)'!FE7:FG7,"B"))*3)+((COUNTIF('Elève (5ème3)'!FE7:FG7,"C"))*2)+((COUNTIF('Elève (5ème3)'!FE7:FG7,"D"))*1))/(COUNTA(FE7:FG7)),"")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(5ème3)'!FJ7:FL7,"A"))*4)+((COUNTIF('Elève (5ème3)'!FJ7:FL7,"B"))*3)+((COUNTIF('Elève (5ème3)'!FJ7:FL7,"C"))*2)+((COUNTIF('Elève (5ème3)'!FJ7:FL7,"D"))*1))/(COUNTA(FJ7:FL7)),"")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(5ème3)'!FQ7:FS7,"A"))*4)+((COUNTIF('Elève (5ème3)'!FQ7:FS7,"B"))*3)+((COUNTIF('Elève (5ème3)'!FQ7:FS7,"C"))*2)+((COUNTIF('Elève (5ème3)'!FQ7:FS7,"D"))*1))/(COUNTA(FQ7:FS7)),"")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(5ème3)'!FV7:FX7,"A"))*4)+((COUNTIF('Elève (5ème3)'!FV7:FX7,"B"))*3)+((COUNTIF('Elève (5ème3)'!FV7:FX7,"C"))*2)+((COUNTIF('Elève (5ème3)'!FV7:FX7,"D"))*1))/(COUNTA(FV7:FX7)),"")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(5ème3)'!GA7:GC7,"A"))*4)+((COUNTIF('Elève (5ème3)'!GA7:GC7,"B"))*3)+((COUNTIF('Elève (5ème3)'!GA7:GC7,"C"))*2)+((COUNTIF('Elève (5ème3)'!GA7:GC7,"D"))*1))/(COUNTA(GA7:GC7)),"")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(5ème3)'!GH7:GJ7,"A"))*4)+((COUNTIF('Elève (5ème3)'!GH7:GJ7,"B"))*3)+((COUNTIF('Elève (5ème3)'!GH7:GJ7,"C"))*2)+((COUNTIF('Elève (5ème3)'!GH7:GJ7,"D"))*1))/(COUNTA(GH7:GJ7)),"")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(5ème3)'!GM7:GO7,"A"))*4)+((COUNTIF('Elève (5ème3)'!GM7:GO7,"B"))*3)+((COUNTIF('Elève (5ème3)'!GM7:GO7,"C"))*2)+((COUNTIF('Elève (5ème3)'!GM7:GO7,"D"))*1))/(COUNTA(GM7:GO7)),"")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(5ème3)'!GR7:GT7,"A"))*4)+((COUNTIF('Elève (5ème3)'!GR7:GT7,"B"))*3)+((COUNTIF('Elève (5ème3)'!GR7:GT7,"C"))*2)+((COUNTIF('Elève (5ème3)'!GR7:GT7,"D"))*1))/(COUNTA(GR7:GT7)),"")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(5ème3)'!GY7:HA7,"A"))*4)+((COUNTIF('Elève (5ème3)'!GY7:HA7,"B"))*3)+((COUNTIF('Elève (5ème3)'!GY7:HA7,"C"))*2)+((COUNTIF('Elève (5ème3)'!GY7:HA7,"D"))*1))/(COUNTA(GY7:HA7)),"")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(5ème3)'!HD7:HF7,"A"))*4)+((COUNTIF('Elève (5ème3)'!HD7:HF7,"B"))*3)+((COUNTIF('Elève (5ème3)'!HD7:HF7,"C"))*2)+((COUNTIF('Elève (5ème3)'!HD7:HF7,"D"))*1))/(COUNTA(HD7:HF7)),"")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(5ème3)'!HI7:HK7,"A"))*4)+((COUNTIF('Elève (5ème3)'!HI7:HK7,"B"))*3)+((COUNTIF('Elève (5ème3)'!HI7:HK7,"C"))*2)+((COUNTIF('Elève (5ème3)'!HI7:HK7,"D"))*1))/(COUNTA(HI7:HK7)),"")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(5ème3)'!HP7:HR7,"A"))*4)+((COUNTIF('Elève (5ème3)'!HP7:HR7,"B"))*3)+((COUNTIF('Elève (5ème3)'!HP7:HR7,"C"))*2)+((COUNTIF('Elève (5ème3)'!HP7:HR7,"D"))*1))/(COUNTA(HP7:HR7)),"")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(5ème3)'!HU7:HW7,"A"))*4)+((COUNTIF('Elève (5ème3)'!HU7:HW7,"B"))*3)+((COUNTIF('Elève (5ème3)'!HU7:HW7,"C"))*2)+((COUNTIF('Elève (5ème3)'!HU7:HW7,"D"))*1))/(COUNTA(HU7:HW7)),"")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(5ème3)'!HZ7:IB7,"A"))*4)+((COUNTIF('Elève (5ème3)'!HZ7:IB7,"B"))*3)+((COUNTIF('Elève (5ème3)'!HZ7:IB7,"C"))*2)+((COUNTIF('Elève (5ème3)'!HZ7:IB7,"D"))*1))/(COUNTA(HZ7:IB7)),"")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(5ème3)'!IG7:II7,"A"))*4)+((COUNTIF('Elève (5ème3)'!IG7:II7,"B"))*3)+((COUNTIF('Elève (5ème3)'!IG7:II7,"C"))*2)+((COUNTIF('Elève (5ème3)'!IG7:II7,"D"))*1))/(COUNTA(IG7:II7)),"")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(5ème3)'!IL7:IN7,"A"))*4)+((COUNTIF('Elève (5ème3)'!IL7:IN7,"B"))*3)+((COUNTIF('Elève (5ème3)'!IL7:IN7,"C"))*2)+((COUNTIF('Elève (5ème3)'!IL7:IN7,"D"))*1))/(COUNTA(IL7:IN7)),"")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(5ème3)'!IQ7:IS7,"A"))*4)+((COUNTIF('Elève (5ème3)'!IQ7:IS7,"B"))*3)+((COUNTIF('Elève (5ème3)'!IQ7:IS7,"C"))*2)+((COUNTIF('Elève (5ème3)'!IQ7:IS7,"D"))*1))/(COUNTA(IQ7:IS7)),"")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(5ème3)'!IX7:IZ7,"A"))*4)+((COUNTIF('Elève (5ème3)'!IX7:IZ7,"B"))*3)+((COUNTIF('Elève (5ème3)'!IX7:IZ7,"C"))*2)+((COUNTIF('Elève (5ème3)'!IX7:IZ7,"D"))*1))/(COUNTA(IX7:IZ7)),"")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(5ème3)'!JC7:JE7,"A"))*4)+((COUNTIF('Elève (5ème3)'!JC7:JE7,"B"))*3)+((COUNTIF('Elève (5ème3)'!JC7:JE7,"C"))*2)+((COUNTIF('Elève (5ème3)'!JC7:JE7,"D"))*1))/(COUNTA(JC7:JE7)),"")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(5ème3)'!JH7:JJ7,"A"))*4)+((COUNTIF('Elève (5ème3)'!JH7:JJ7,"B"))*3)+((COUNTIF('Elève (5ème3)'!JH7:JJ7,"C"))*2)+((COUNTIF('Elève (5ème3)'!JH7:JJ7,"D"))*1))/(COUNTA(JH7:JJ7)),"")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(5ème3)'!JO7:JQ7,"A"))*4)+((COUNTIF('Elève (5ème3)'!JO7:JQ7,"B"))*3)+((COUNTIF('Elève (5ème3)'!JO7:JQ7,"C"))*2)+((COUNTIF('Elève (5ème3)'!JO7:JQ7,"D"))*1))/(COUNTA(JO7:JQ7)),"")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(5ème3)'!JT7:JV7,"A"))*4)+((COUNTIF('Elève (5ème3)'!JT7:JV7,"B"))*3)+((COUNTIF('Elève (5ème3)'!JT7:JV7,"C"))*2)+((COUNTIF('Elève (5ème3)'!JT7:JV7,"D"))*1))/(COUNTA(JT7:JV7)),"")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(5ème3)'!JY7:KA7,"A"))*4)+((COUNTIF('Elève (5ème3)'!JY7:KA7,"B"))*3)+((COUNTIF('Elève (5ème3)'!JY7:KA7,"C"))*2)+((COUNTIF('Elève (5ème3)'!JY7:KA7,"D"))*1))/(COUNTA(JY7:KA7)),"")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(5ème3)'!KF7:KH7,"A"))*4)+((COUNTIF('Elève (5ème3)'!KF7:KH7,"B"))*3)+((COUNTIF('Elève (5ème3)'!KF7:KH7,"C"))*2)+((COUNTIF('Elève (5ème3)'!KF7:KH7,"D"))*1))/(COUNTA(KF7:KH7)),"")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(5ème3)'!KK7:KM7,"A"))*4)+((COUNTIF('Elève (5ème3)'!KK7:KM7,"B"))*3)+((COUNTIF('Elève (5ème3)'!KK7:KM7,"C"))*2)+((COUNTIF('Elève (5ème3)'!KK7:KM7,"D"))*1))/(COUNTA(KK7:KM7)),"")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(5ème3)'!KP7:KR7,"A"))*4)+((COUNTIF('Elève (5ème3)'!KP7:KR7,"B"))*3)+((COUNTIF('Elève (5ème3)'!KP7:KR7,"C"))*2)+((COUNTIF('Elève (5ème3)'!KP7:KR7,"D"))*1))/(COUNTA(KP7:KR7)),"")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(5ème3)'!KW7:KY7,"A"))*4)+((COUNTIF('Elève (5ème3)'!KW7:KY7,"B"))*3)+((COUNTIF('Elève (5ème3)'!KW7:KY7,"C"))*2)+((COUNTIF('Elève (5ème3)'!KW7:KY7,"D"))*1))/(COUNTA(KW7:KY7)),"")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(5ème3)'!LB7:LD7,"A"))*4)+((COUNTIF('Elève (5ème3)'!LB7:LD7,"B"))*3)+((COUNTIF('Elève (5ème3)'!LB7:LD7,"C"))*2)+((COUNTIF('Elève (5ème3)'!LB7:LD7,"D"))*1))/(COUNTA(LB7:LD7)),"")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(5ème3)'!LG7:LI7,"A"))*4)+((COUNTIF('Elève (5ème3)'!LG7:LI7,"B"))*3)+((COUNTIF('Elève (5ème3)'!LG7:LI7,"C"))*2)+((COUNTIF('Elève (5ème3)'!LG7:LI7,"D"))*1))/(COUNTA(LG7:LI7)),"")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(5ème3)'!LN7:LP7,"A"))*4)+((COUNTIF('Elève (5ème3)'!LN7:LP7,"B"))*3)+((COUNTIF('Elève (5ème3)'!LN7:LP7,"C"))*2)+((COUNTIF('Elève (5ème3)'!LN7:LP7,"D"))*1))/(COUNTA(LN7:LP7)),"")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(5ème3)'!LS7:LU7,"A"))*4)+((COUNTIF('Elève (5ème3)'!LS7:LU7,"B"))*3)+((COUNTIF('Elève (5ème3)'!LS7:LU7,"C"))*2)+((COUNTIF('Elève (5ème3)'!LS7:LU7,"D"))*1))/(COUNTA(LS7:LU7)),"")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(5ème3)'!LX7:LZ7,"A"))*4)+((COUNTIF('Elève (5ème3)'!LX7:LZ7,"B"))*3)+((COUNTIF('Elève (5ème3)'!LX7:LZ7,"C"))*2)+((COUNTIF('Elève (5ème3)'!LX7:LZ7,"D"))*1))/(COUNTA(LX7:LZ7)),"")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(5ème3)'!ME7:MG7,"A"))*4)+((COUNTIF('Elève (5ème3)'!ME7:MG7,"B"))*3)+((COUNTIF('Elève (5ème3)'!ME7:MG7,"C"))*2)+((COUNTIF('Elève (5ème3)'!ME7:MG7,"D"))*1))/(COUNTA(ME7:MG7)),"")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(5ème3)'!MJ7:ML7,"A"))*4)+((COUNTIF('Elève (5ème3)'!MJ7:ML7,"B"))*3)+((COUNTIF('Elève (5ème3)'!MJ7:ML7,"C"))*2)+((COUNTIF('Elève (5ème3)'!MJ7:ML7,"D"))*1))/(COUNTA(MJ7:ML7)),"")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(5ème3)'!MO7:MQ7,"A"))*4)+((COUNTIF('Elève (5ème3)'!MO7:MQ7,"B"))*3)+((COUNTIF('Elève (5ème3)'!MO7:MQ7,"C"))*2)+((COUNTIF('Elève (5ème3)'!MO7:MQ7,"D"))*1))/(COUNTA(MO7:MQ7)),"")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(5ème3)'!MV7:MX7,"A"))*4)+((COUNTIF('Elève (5ème3)'!MV7:MX7,"B"))*3)+((COUNTIF('Elève (5ème3)'!MV7:MX7,"C"))*2)+((COUNTIF('Elève (5ème3)'!MV7:MX7,"D"))*1))/(COUNTA(MV7:MX7)),"")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(5ème3)'!NA7:NC7,"A"))*4)+((COUNTIF('Elève (5ème3)'!NA7:NC7,"B"))*3)+((COUNTIF('Elève (5ème3)'!NA7:NC7,"C"))*2)+((COUNTIF('Elève (5ème3)'!NA7:NC7,"D"))*1))/(COUNTA(NA7:NC7)),"")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(5ème3)'!NF7:NH7,"A"))*4)+((COUNTIF('Elève (5ème3)'!NF7:NH7,"B"))*3)+((COUNTIF('Elève (5ème3)'!NF7:NH7,"C"))*2)+((COUNTIF('Elève (5ème3)'!NF7:NH7,"D"))*1))/(COUNTA(NF7:NH7)),"")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(5ème3)'!NM7:NO7,"A"))*4)+((COUNTIF('Elève (5ème3)'!NM7:NO7,"B"))*3)+((COUNTIF('Elève (5ème3)'!NM7:NO7,"C"))*2)+((COUNTIF('Elève (5ème3)'!NM7:NO7,"D"))*1))/(COUNTA(NM7:NO7)),"")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(5ème3)'!NR7:NT7,"A"))*4)+((COUNTIF('Elève (5ème3)'!NR7:NT7,"B"))*3)+((COUNTIF('Elève (5ème3)'!NR7:NT7,"C"))*2)+((COUNTIF('Elève (5ème3)'!NR7:NT7,"D"))*1))/(COUNTA(NR7:NT7)),"")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(5ème3)'!NW7:NY7,"A"))*4)+((COUNTIF('Elève (5ème3)'!NW7:NY7,"B"))*3)+((COUNTIF('Elève (5ème3)'!NW7:NY7,"C"))*2)+((COUNTIF('Elève (5ème3)'!NW7:NY7,"D"))*1))/(COUNTA(NW7:NY7)),"")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(5ème3)'!OD7:OF7,"A"))*4)+((COUNTIF('Elève (5ème3)'!OD7:OF7,"B"))*3)+((COUNTIF('Elève (5ème3)'!OD7:OF7,"C"))*2)+((COUNTIF('Elève (5ème3)'!OD7:OF7,"D"))*1))/(COUNTA(OD7:OF7)),"")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(5ème3)'!OI7:OK7,"A"))*4)+((COUNTIF('Elève (5ème3)'!OI7:OK7,"B"))*3)+((COUNTIF('Elève (5ème3)'!OI7:OK7,"C"))*2)+((COUNTIF('Elève (5ème3)'!OI7:OK7,"D"))*1))/(COUNTA(OI7:OK7)),"")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(5ème3)'!ON7:OP7,"A"))*4)+((COUNTIF('Elève (5ème3)'!ON7:OP7,"B"))*3)+((COUNTIF('Elève (5ème3)'!ON7:OP7,"C"))*2)+((COUNTIF('Elève (5ème3)'!ON7:OP7,"D"))*1))/(COUNTA(ON7:OP7)),"")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(5ème3)'!OU7:OW7,"A"))*4)+((COUNTIF('Elève (5ème3)'!OU7:OW7,"B"))*3)+((COUNTIF('Elève (5ème3)'!OU7:OW7,"C"))*2)+((COUNTIF('Elève (5ème3)'!OU7:OW7,"D"))*1))/(COUNTA(OU7:OW7)),"")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(5ème3)'!OZ7:PB7,"A"))*4)+((COUNTIF('Elève (5ème3)'!OZ7:PB7,"B"))*3)+((COUNTIF('Elève (5ème3)'!OZ7:PB7,"C"))*2)+((COUNTIF('Elève (5ème3)'!OZ7:PB7,"D"))*1))/(COUNTA(OZ7:PB7)),"")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(5ème3)'!PE7:PG7,"A"))*4)+((COUNTIF('Elève (5ème3)'!PE7:PG7,"B"))*3)+((COUNTIF('Elève (5ème3)'!PE7:PG7,"C"))*2)+((COUNTIF('Elève (5ème3)'!PE7:PG7,"D"))*1))/(COUNTA(PE7:PG7)),"")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(5ème3)'!PL7:PN7,"A"))*4)+((COUNTIF('Elève (5ème3)'!PL7:PN7,"B"))*3)+((COUNTIF('Elève (5ème3)'!PL7:PN7,"C"))*2)+((COUNTIF('Elève (5ème3)'!PL7:PN7,"D"))*1))/(COUNTA(PL7:PN7)),"")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(5ème3)'!PQ7:PS7,"A"))*4)+((COUNTIF('Elève (5ème3)'!PQ7:PS7,"B"))*3)+((COUNTIF('Elève (5ème3)'!PQ7:PS7,"C"))*2)+((COUNTIF('Elève (5ème3)'!PQ7:PS7,"D"))*1))/(COUNTA(PQ7:PS7)),"")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(5ème3)'!PV7:PX7,"A"))*4)+((COUNTIF('Elève (5ème3)'!PV7:PX7,"B"))*3)+((COUNTIF('Elève (5ème3)'!PV7:PX7,"C"))*2)+((COUNTIF('Elève (5ème3)'!PV7:PX7,"D"))*1))/(COUNTA(PV7:PX7)),"")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(5ème3)'!QC7:QE7,"A"))*4)+((COUNTIF('Elève (5ème3)'!QC7:QE7,"B"))*3)+((COUNTIF('Elève (5ème3)'!QC7:QE7,"C"))*2)+((COUNTIF('Elève (5ème3)'!QC7:QE7,"D"))*1))/(COUNTA(QC7:QE7)),"")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(5ème3)'!QH7:QJ7,"A"))*4)+((COUNTIF('Elève (5ème3)'!QH7:QJ7,"B"))*3)+((COUNTIF('Elève (5ème3)'!QH7:QJ7,"C"))*2)+((COUNTIF('Elève (5ème3)'!QH7:QJ7,"D"))*1))/(COUNTA(QH7:QJ7)),"")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(5ème3)'!QM7:QO7,"A"))*4)+((COUNTIF('Elève (5ème3)'!QM7:QO7,"B"))*3)+((COUNTIF('Elève (5ème3)'!QM7:QO7,"C"))*2)+((COUNTIF('Elève (5ème3)'!QM7:QO7,"D"))*1))/(COUNTA(QM7:QO7)),"")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(5ème3)'!QT7:QV7,"A"))*4)+((COUNTIF('Elève (5ème3)'!QT7:QV7,"B"))*3)+((COUNTIF('Elève (5ème3)'!QT7:QV7,"C"))*2)+((COUNTIF('Elève (5ème3)'!QT7:QV7,"D"))*1))/(COUNTA(QT7:QV7)),"")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(5ème3)'!QY7:RA7,"A"))*4)+((COUNTIF('Elève (5ème3)'!QY7:RA7,"B"))*3)+((COUNTIF('Elève (5ème3)'!QY7:RA7,"C"))*2)+((COUNTIF('Elève (5ème3)'!QY7:RA7,"D"))*1))/(COUNTA(QY7:RA7)),"")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(5ème3)'!RD7:RF7,"A"))*4)+((COUNTIF('Elève (5ème3)'!RD7:RF7,"B"))*3)+((COUNTIF('Elève (5ème3)'!RD7:RF7,"C"))*2)+((COUNTIF('Elève (5ème3)'!RD7:RF7,"D"))*1))/(COUNTA(RD7:RF7)),"")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(5ème3)'!RK7:RM7,"A"))*4)+((COUNTIF('Elève (5ème3)'!RK7:RM7,"B"))*3)+((COUNTIF('Elève (5ème3)'!RK7:RM7,"C"))*2)+((COUNTIF('Elève (5ème3)'!RK7:RM7,"D"))*1))/(COUNTA(RK7:RM7)),"")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(5ème3)'!RP7:RR7,"A"))*4)+((COUNTIF('Elève (5ème3)'!RP7:RR7,"B"))*3)+((COUNTIF('Elève (5ème3)'!RP7:RR7,"C"))*2)+((COUNTIF('Elève (5ème3)'!RP7:RR7,"D"))*1))/(COUNTA(RP7:RR7)),"")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(5ème3)'!RU7:RW7,"A"))*4)+((COUNTIF('Elève (5ème3)'!RU7:RW7,"B"))*3)+((COUNTIF('Elève (5ème3)'!RU7:RW7,"C"))*2)+((COUNTIF('Elève (5ème3)'!RU7:RW7,"D"))*1))/(COUNTA(RU7:RW7)),"")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(5ème3)'!SB7:SD7,"A"))*4)+((COUNTIF('Elève (5ème3)'!SB7:SD7,"B"))*3)+((COUNTIF('Elève (5ème3)'!SB7:SD7,"C"))*2)+((COUNTIF('Elève (5ème3)'!SB7:SD7,"D"))*1))/(COUNTA(SB7:SD7)),"")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(5ème3)'!SG7:SI7,"A"))*4)+((COUNTIF('Elève (5ème3)'!SG7:SI7,"B"))*3)+((COUNTIF('Elève (5ème3)'!SG7:SI7,"C"))*2)+((COUNTIF('Elève (5ème3)'!SG7:SI7,"D"))*1))/(COUNTA(SG7:SI7)),"")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(5ème3)'!SL7:SN7,"A"))*4)+((COUNTIF('Elève (5ème3)'!SL7:SN7,"B"))*3)+((COUNTIF('Elève (5ème3)'!SL7:SN7,"C"))*2)+((COUNTIF('Elève (5ème3)'!SL7:SN7,"D"))*1))/(COUNTA(SL7:SN7)),"")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7" t="s">
        <v>15</v>
      </c>
      <c r="B8" s="228"/>
      <c r="C8" s="156"/>
      <c r="D8" s="157"/>
      <c r="E8" s="158"/>
      <c r="F8" s="110" t="str">
        <f>IFERROR((((COUNTIF('Elève (5ème3)'!C8:E8,"A"))*4)+((COUNTIF('Elève (5ème3)'!C8:E8,"B"))*3)+((COUNTIF('Elève (5ème3)'!C8:E8,"C"))*2)+((COUNTIF('Elève (5ème3)'!C8:E8,"D"))*1))/(COUNTA(C8:E8)),"")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(5ème3)'!H8:J8,"A"))*4)+((COUNTIF('Elève (5ème3)'!H8:J8,"B"))*3)+((COUNTIF('Elève (5ème3)'!H8:J8,"C"))*2)+((COUNTIF('Elève (5ème3)'!H8:J8,"D"))*1))/(COUNTA(H8:J8)),"")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(5ème3)'!M8:O8,"A"))*4)+((COUNTIF('Elève (5ème3)'!M8:O8,"B"))*3)+((COUNTIF('Elève (5ème3)'!M8:O8,"C"))*2)+((COUNTIF('Elève (5ème3)'!M8:O8,"D"))*1))/(COUNTA(M8:O8)),"")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(5ème3)'!T8:V8,"A"))*4)+((COUNTIF('Elève (5ème3)'!T8:V8,"B"))*3)+((COUNTIF('Elève (5ème3)'!T8:V8,"C"))*2)+((COUNTIF('Elève (5ème3)'!T8:V8,"D"))*1))/(COUNTA(T8:V8)),"")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(5ème3)'!Y8:AA8,"A"))*4)+((COUNTIF('Elève (5ème3)'!Y8:AA8,"B"))*3)+((COUNTIF('Elève (5ème3)'!Y8:AA8,"C"))*2)+((COUNTIF('Elève (5ème3)'!Y8:AA8,"D"))*1))/(COUNTA(Y8:AA8)),"")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(5ème3)'!AD8:AF8,"A"))*4)+((COUNTIF('Elève (5ème3)'!AD8:AF8,"B"))*3)+((COUNTIF('Elève (5ème3)'!AD8:AF8,"C"))*2)+((COUNTIF('Elève (5ème3)'!AD8:AF8,"D"))*1))/(COUNTA(AD8:AF8)),"")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(5ème3)'!AK8:AM8,"A"))*4)+((COUNTIF('Elève (5ème3)'!AK8:AM8,"B"))*3)+((COUNTIF('Elève (5ème3)'!AK8:AM8,"C"))*2)+((COUNTIF('Elève (5ème3)'!AK8:AM8,"D"))*1))/(COUNTA(AK8:AM8)),"")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(5ème3)'!AP8:AR8,"A"))*4)+((COUNTIF('Elève (5ème3)'!AP8:AR8,"B"))*3)+((COUNTIF('Elève (5ème3)'!AP8:AR8,"C"))*2)+((COUNTIF('Elève (5ème3)'!AP8:AR8,"D"))*1))/(COUNTA(AP8:AR8)),"")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(5ème3)'!AU8:AW8,"A"))*4)+((COUNTIF('Elève (5ème3)'!AU8:AW8,"B"))*3)+((COUNTIF('Elève (5ème3)'!AU8:AW8,"C"))*2)+((COUNTIF('Elève (5ème3)'!AU8:AW8,"D"))*1))/(COUNTA(AU8:AW8)),"")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(5ème3)'!BB8:BD8,"A"))*4)+((COUNTIF('Elève (5ème3)'!BB8:BD8,"B"))*3)+((COUNTIF('Elève (5ème3)'!BB8:BD8,"C"))*2)+((COUNTIF('Elève (5ème3)'!BB8:BD8,"D"))*1))/(COUNTA(BB8:BD8)),"")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(5ème3)'!BG8:BI8,"A"))*4)+((COUNTIF('Elève (5ème3)'!BG8:BI8,"B"))*3)+((COUNTIF('Elève (5ème3)'!BG8:BI8,"C"))*2)+((COUNTIF('Elève (5ème3)'!BG8:BI8,"D"))*1))/(COUNTA(BG8:BI8)),"")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(5ème3)'!BL8:BN8,"A"))*4)+((COUNTIF('Elève (5ème3)'!BL8:BN8,"B"))*3)+((COUNTIF('Elève (5ème3)'!BL8:BN8,"C"))*2)+((COUNTIF('Elève (5ème3)'!BL8:BN8,"D"))*1))/(COUNTA(BL8:BN8)),"")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(5ème3)'!BS8:BU8,"A"))*4)+((COUNTIF('Elève (5ème3)'!BS8:BU8,"B"))*3)+((COUNTIF('Elève (5ème3)'!BS8:BU8,"C"))*2)+((COUNTIF('Elève (5ème3)'!BS8:BU8,"D"))*1))/(COUNTA(BS8:BU8)),"")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(5ème3)'!BX8:BZ8,"A"))*4)+((COUNTIF('Elève (5ème3)'!BX8:BZ8,"B"))*3)+((COUNTIF('Elève (5ème3)'!BX8:BZ8,"C"))*2)+((COUNTIF('Elève (5ème3)'!BX8:BZ8,"D"))*1))/(COUNTA(BX8:BZ8)),"")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(5ème3)'!CC8:CE8,"A"))*4)+((COUNTIF('Elève (5ème3)'!CC8:CE8,"B"))*3)+((COUNTIF('Elève (5ème3)'!CC8:CE8,"C"))*2)+((COUNTIF('Elève (5ème3)'!CC8:CE8,"D"))*1))/(COUNTA(CC8:CE8)),"")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(5ème3)'!CJ8:CL8,"A"))*4)+((COUNTIF('Elève (5ème3)'!CJ8:CL8,"B"))*3)+((COUNTIF('Elève (5ème3)'!CJ8:CL8,"C"))*2)+((COUNTIF('Elève (5ème3)'!CJ8:CL8,"D"))*1))/(COUNTA(CJ8:CL8)),"")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(5ème3)'!CO8:CQ8,"A"))*4)+((COUNTIF('Elève (5ème3)'!CO8:CQ8,"B"))*3)+((COUNTIF('Elève (5ème3)'!CO8:CQ8,"C"))*2)+((COUNTIF('Elève (5ème3)'!CO8:CQ8,"D"))*1))/(COUNTA(CO8:CQ8)),"")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(5ème3)'!CT8:CV8,"A"))*4)+((COUNTIF('Elève (5ème3)'!CT8:CV8,"B"))*3)+((COUNTIF('Elève (5ème3)'!CT8:CV8,"C"))*2)+((COUNTIF('Elève (5ème3)'!CT8:CV8,"D"))*1))/(COUNTA(CT8:CV8)),"")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(5ème3)'!DA8:DC8,"A"))*4)+((COUNTIF('Elève (5ème3)'!DA8:DC8,"B"))*3)+((COUNTIF('Elève (5ème3)'!DA8:DC8,"C"))*2)+((COUNTIF('Elève (5ème3)'!DA8:DC8,"D"))*1))/(COUNTA(DA8:DC8)),"")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(5ème3)'!DF8:DH8,"A"))*4)+((COUNTIF('Elève (5ème3)'!DF8:DH8,"B"))*3)+((COUNTIF('Elève (5ème3)'!DF8:DH8,"C"))*2)+((COUNTIF('Elève (5ème3)'!DF8:DH8,"D"))*1))/(COUNTA(DF8:DH8)),"")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(5ème3)'!DK8:DM8,"A"))*4)+((COUNTIF('Elève (5ème3)'!DK8:DM8,"B"))*3)+((COUNTIF('Elève (5ème3)'!DK8:DM8,"C"))*2)+((COUNTIF('Elève (5ème3)'!DK8:DM8,"D"))*1))/(COUNTA(DK8:DM8)),"")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(5ème3)'!DR8:DT8,"A"))*4)+((COUNTIF('Elève (5ème3)'!DR8:DT8,"B"))*3)+((COUNTIF('Elève (5ème3)'!DR8:DT8,"C"))*2)+((COUNTIF('Elève (5ème3)'!DR8:DT8,"D"))*1))/(COUNTA(DR8:DT8)),"")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(5ème3)'!DW8:DY8,"A"))*4)+((COUNTIF('Elève (5ème3)'!DW8:DY8,"B"))*3)+((COUNTIF('Elève (5ème3)'!DW8:DY8,"C"))*2)+((COUNTIF('Elève (5ème3)'!DW8:DY8,"D"))*1))/(COUNTA(DW8:DY8)),"")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(5ème3)'!EB8:ED8,"A"))*4)+((COUNTIF('Elève (5ème3)'!EB8:ED8,"B"))*3)+((COUNTIF('Elève (5ème3)'!EB8:ED8,"C"))*2)+((COUNTIF('Elève (5ème3)'!EB8:ED8,"D"))*1))/(COUNTA(EB8:ED8)),"")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(5ème3)'!EI8:EK8,"A"))*4)+((COUNTIF('Elève (5ème3)'!EI8:EK8,"B"))*3)+((COUNTIF('Elève (5ème3)'!EI8:EK8,"C"))*2)+((COUNTIF('Elève (5ème3)'!EI8:EK8,"D"))*1))/(COUNTA(EI8:EK8)),"")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(5ème3)'!EN8:EP8,"A"))*4)+((COUNTIF('Elève (5ème3)'!EN8:EP8,"B"))*3)+((COUNTIF('Elève (5ème3)'!EN8:EP8,"C"))*2)+((COUNTIF('Elève (5ème3)'!EN8:EP8,"D"))*1))/(COUNTA(EN8:EP8)),"")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(5ème3)'!ES8:EU8,"A"))*4)+((COUNTIF('Elève (5ème3)'!ES8:EU8,"B"))*3)+((COUNTIF('Elève (5ème3)'!ES8:EU8,"C"))*2)+((COUNTIF('Elève (5ème3)'!ES8:EU8,"D"))*1))/(COUNTA(ES8:EU8)),"")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(5ème3)'!EZ8:FB8,"A"))*4)+((COUNTIF('Elève (5ème3)'!EZ8:FB8,"B"))*3)+((COUNTIF('Elève (5ème3)'!EZ8:FB8,"C"))*2)+((COUNTIF('Elève (5ème3)'!EZ8:FB8,"D"))*1))/(COUNTA(EZ8:FB8)),"")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(5ème3)'!FE8:FG8,"A"))*4)+((COUNTIF('Elève (5ème3)'!FE8:FG8,"B"))*3)+((COUNTIF('Elève (5ème3)'!FE8:FG8,"C"))*2)+((COUNTIF('Elève (5ème3)'!FE8:FG8,"D"))*1))/(COUNTA(FE8:FG8)),"")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(5ème3)'!FJ8:FL8,"A"))*4)+((COUNTIF('Elève (5ème3)'!FJ8:FL8,"B"))*3)+((COUNTIF('Elève (5ème3)'!FJ8:FL8,"C"))*2)+((COUNTIF('Elève (5ème3)'!FJ8:FL8,"D"))*1))/(COUNTA(FJ8:FL8)),"")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(5ème3)'!FQ8:FS8,"A"))*4)+((COUNTIF('Elève (5ème3)'!FQ8:FS8,"B"))*3)+((COUNTIF('Elève (5ème3)'!FQ8:FS8,"C"))*2)+((COUNTIF('Elève (5ème3)'!FQ8:FS8,"D"))*1))/(COUNTA(FQ8:FS8)),"")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(5ème3)'!FV8:FX8,"A"))*4)+((COUNTIF('Elève (5ème3)'!FV8:FX8,"B"))*3)+((COUNTIF('Elève (5ème3)'!FV8:FX8,"C"))*2)+((COUNTIF('Elève (5ème3)'!FV8:FX8,"D"))*1))/(COUNTA(FV8:FX8)),"")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(5ème3)'!GA8:GC8,"A"))*4)+((COUNTIF('Elève (5ème3)'!GA8:GC8,"B"))*3)+((COUNTIF('Elève (5ème3)'!GA8:GC8,"C"))*2)+((COUNTIF('Elève (5ème3)'!GA8:GC8,"D"))*1))/(COUNTA(GA8:GC8)),"")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(5ème3)'!GH8:GJ8,"A"))*4)+((COUNTIF('Elève (5ème3)'!GH8:GJ8,"B"))*3)+((COUNTIF('Elève (5ème3)'!GH8:GJ8,"C"))*2)+((COUNTIF('Elève (5ème3)'!GH8:GJ8,"D"))*1))/(COUNTA(GH8:GJ8)),"")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(5ème3)'!GM8:GO8,"A"))*4)+((COUNTIF('Elève (5ème3)'!GM8:GO8,"B"))*3)+((COUNTIF('Elève (5ème3)'!GM8:GO8,"C"))*2)+((COUNTIF('Elève (5ème3)'!GM8:GO8,"D"))*1))/(COUNTA(GM8:GO8)),"")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(5ème3)'!GR8:GT8,"A"))*4)+((COUNTIF('Elève (5ème3)'!GR8:GT8,"B"))*3)+((COUNTIF('Elève (5ème3)'!GR8:GT8,"C"))*2)+((COUNTIF('Elève (5ème3)'!GR8:GT8,"D"))*1))/(COUNTA(GR8:GT8)),"")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(5ème3)'!GY8:HA8,"A"))*4)+((COUNTIF('Elève (5ème3)'!GY8:HA8,"B"))*3)+((COUNTIF('Elève (5ème3)'!GY8:HA8,"C"))*2)+((COUNTIF('Elève (5ème3)'!GY8:HA8,"D"))*1))/(COUNTA(GY8:HA8)),"")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(5ème3)'!HD8:HF8,"A"))*4)+((COUNTIF('Elève (5ème3)'!HD8:HF8,"B"))*3)+((COUNTIF('Elève (5ème3)'!HD8:HF8,"C"))*2)+((COUNTIF('Elève (5ème3)'!HD8:HF8,"D"))*1))/(COUNTA(HD8:HF8)),"")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(5ème3)'!HI8:HK8,"A"))*4)+((COUNTIF('Elève (5ème3)'!HI8:HK8,"B"))*3)+((COUNTIF('Elève (5ème3)'!HI8:HK8,"C"))*2)+((COUNTIF('Elève (5ème3)'!HI8:HK8,"D"))*1))/(COUNTA(HI8:HK8)),"")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(5ème3)'!HP8:HR8,"A"))*4)+((COUNTIF('Elève (5ème3)'!HP8:HR8,"B"))*3)+((COUNTIF('Elève (5ème3)'!HP8:HR8,"C"))*2)+((COUNTIF('Elève (5ème3)'!HP8:HR8,"D"))*1))/(COUNTA(HP8:HR8)),"")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(5ème3)'!HU8:HW8,"A"))*4)+((COUNTIF('Elève (5ème3)'!HU8:HW8,"B"))*3)+((COUNTIF('Elève (5ème3)'!HU8:HW8,"C"))*2)+((COUNTIF('Elève (5ème3)'!HU8:HW8,"D"))*1))/(COUNTA(HU8:HW8)),"")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(5ème3)'!HZ8:IB8,"A"))*4)+((COUNTIF('Elève (5ème3)'!HZ8:IB8,"B"))*3)+((COUNTIF('Elève (5ème3)'!HZ8:IB8,"C"))*2)+((COUNTIF('Elève (5ème3)'!HZ8:IB8,"D"))*1))/(COUNTA(HZ8:IB8)),"")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(5ème3)'!IG8:II8,"A"))*4)+((COUNTIF('Elève (5ème3)'!IG8:II8,"B"))*3)+((COUNTIF('Elève (5ème3)'!IG8:II8,"C"))*2)+((COUNTIF('Elève (5ème3)'!IG8:II8,"D"))*1))/(COUNTA(IG8:II8)),"")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(5ème3)'!IL8:IN8,"A"))*4)+((COUNTIF('Elève (5ème3)'!IL8:IN8,"B"))*3)+((COUNTIF('Elève (5ème3)'!IL8:IN8,"C"))*2)+((COUNTIF('Elève (5ème3)'!IL8:IN8,"D"))*1))/(COUNTA(IL8:IN8)),"")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(5ème3)'!IQ8:IS8,"A"))*4)+((COUNTIF('Elève (5ème3)'!IQ8:IS8,"B"))*3)+((COUNTIF('Elève (5ème3)'!IQ8:IS8,"C"))*2)+((COUNTIF('Elève (5ème3)'!IQ8:IS8,"D"))*1))/(COUNTA(IQ8:IS8)),"")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(5ème3)'!IX8:IZ8,"A"))*4)+((COUNTIF('Elève (5ème3)'!IX8:IZ8,"B"))*3)+((COUNTIF('Elève (5ème3)'!IX8:IZ8,"C"))*2)+((COUNTIF('Elève (5ème3)'!IX8:IZ8,"D"))*1))/(COUNTA(IX8:IZ8)),"")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(5ème3)'!JC8:JE8,"A"))*4)+((COUNTIF('Elève (5ème3)'!JC8:JE8,"B"))*3)+((COUNTIF('Elève (5ème3)'!JC8:JE8,"C"))*2)+((COUNTIF('Elève (5ème3)'!JC8:JE8,"D"))*1))/(COUNTA(JC8:JE8)),"")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(5ème3)'!JH8:JJ8,"A"))*4)+((COUNTIF('Elève (5ème3)'!JH8:JJ8,"B"))*3)+((COUNTIF('Elève (5ème3)'!JH8:JJ8,"C"))*2)+((COUNTIF('Elève (5ème3)'!JH8:JJ8,"D"))*1))/(COUNTA(JH8:JJ8)),"")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(5ème3)'!JO8:JQ8,"A"))*4)+((COUNTIF('Elève (5ème3)'!JO8:JQ8,"B"))*3)+((COUNTIF('Elève (5ème3)'!JO8:JQ8,"C"))*2)+((COUNTIF('Elève (5ème3)'!JO8:JQ8,"D"))*1))/(COUNTA(JO8:JQ8)),"")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(5ème3)'!JT8:JV8,"A"))*4)+((COUNTIF('Elève (5ème3)'!JT8:JV8,"B"))*3)+((COUNTIF('Elève (5ème3)'!JT8:JV8,"C"))*2)+((COUNTIF('Elève (5ème3)'!JT8:JV8,"D"))*1))/(COUNTA(JT8:JV8)),"")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(5ème3)'!JY8:KA8,"A"))*4)+((COUNTIF('Elève (5ème3)'!JY8:KA8,"B"))*3)+((COUNTIF('Elève (5ème3)'!JY8:KA8,"C"))*2)+((COUNTIF('Elève (5ème3)'!JY8:KA8,"D"))*1))/(COUNTA(JY8:KA8)),"")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(5ème3)'!KF8:KH8,"A"))*4)+((COUNTIF('Elève (5ème3)'!KF8:KH8,"B"))*3)+((COUNTIF('Elève (5ème3)'!KF8:KH8,"C"))*2)+((COUNTIF('Elève (5ème3)'!KF8:KH8,"D"))*1))/(COUNTA(KF8:KH8)),"")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(5ème3)'!KK8:KM8,"A"))*4)+((COUNTIF('Elève (5ème3)'!KK8:KM8,"B"))*3)+((COUNTIF('Elève (5ème3)'!KK8:KM8,"C"))*2)+((COUNTIF('Elève (5ème3)'!KK8:KM8,"D"))*1))/(COUNTA(KK8:KM8)),"")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(5ème3)'!KP8:KR8,"A"))*4)+((COUNTIF('Elève (5ème3)'!KP8:KR8,"B"))*3)+((COUNTIF('Elève (5ème3)'!KP8:KR8,"C"))*2)+((COUNTIF('Elève (5ème3)'!KP8:KR8,"D"))*1))/(COUNTA(KP8:KR8)),"")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(5ème3)'!KW8:KY8,"A"))*4)+((COUNTIF('Elève (5ème3)'!KW8:KY8,"B"))*3)+((COUNTIF('Elève (5ème3)'!KW8:KY8,"C"))*2)+((COUNTIF('Elève (5ème3)'!KW8:KY8,"D"))*1))/(COUNTA(KW8:KY8)),"")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(5ème3)'!LB8:LD8,"A"))*4)+((COUNTIF('Elève (5ème3)'!LB8:LD8,"B"))*3)+((COUNTIF('Elève (5ème3)'!LB8:LD8,"C"))*2)+((COUNTIF('Elève (5ème3)'!LB8:LD8,"D"))*1))/(COUNTA(LB8:LD8)),"")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(5ème3)'!LG8:LI8,"A"))*4)+((COUNTIF('Elève (5ème3)'!LG8:LI8,"B"))*3)+((COUNTIF('Elève (5ème3)'!LG8:LI8,"C"))*2)+((COUNTIF('Elève (5ème3)'!LG8:LI8,"D"))*1))/(COUNTA(LG8:LI8)),"")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(5ème3)'!LN8:LP8,"A"))*4)+((COUNTIF('Elève (5ème3)'!LN8:LP8,"B"))*3)+((COUNTIF('Elève (5ème3)'!LN8:LP8,"C"))*2)+((COUNTIF('Elève (5ème3)'!LN8:LP8,"D"))*1))/(COUNTA(LN8:LP8)),"")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(5ème3)'!LS8:LU8,"A"))*4)+((COUNTIF('Elève (5ème3)'!LS8:LU8,"B"))*3)+((COUNTIF('Elève (5ème3)'!LS8:LU8,"C"))*2)+((COUNTIF('Elève (5ème3)'!LS8:LU8,"D"))*1))/(COUNTA(LS8:LU8)),"")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(5ème3)'!LX8:LZ8,"A"))*4)+((COUNTIF('Elève (5ème3)'!LX8:LZ8,"B"))*3)+((COUNTIF('Elève (5ème3)'!LX8:LZ8,"C"))*2)+((COUNTIF('Elève (5ème3)'!LX8:LZ8,"D"))*1))/(COUNTA(LX8:LZ8)),"")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(5ème3)'!ME8:MG8,"A"))*4)+((COUNTIF('Elève (5ème3)'!ME8:MG8,"B"))*3)+((COUNTIF('Elève (5ème3)'!ME8:MG8,"C"))*2)+((COUNTIF('Elève (5ème3)'!ME8:MG8,"D"))*1))/(COUNTA(ME8:MG8)),"")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(5ème3)'!MJ8:ML8,"A"))*4)+((COUNTIF('Elève (5ème3)'!MJ8:ML8,"B"))*3)+((COUNTIF('Elève (5ème3)'!MJ8:ML8,"C"))*2)+((COUNTIF('Elève (5ème3)'!MJ8:ML8,"D"))*1))/(COUNTA(MJ8:ML8)),"")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(5ème3)'!MO8:MQ8,"A"))*4)+((COUNTIF('Elève (5ème3)'!MO8:MQ8,"B"))*3)+((COUNTIF('Elève (5ème3)'!MO8:MQ8,"C"))*2)+((COUNTIF('Elève (5ème3)'!MO8:MQ8,"D"))*1))/(COUNTA(MO8:MQ8)),"")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(5ème3)'!MV8:MX8,"A"))*4)+((COUNTIF('Elève (5ème3)'!MV8:MX8,"B"))*3)+((COUNTIF('Elève (5ème3)'!MV8:MX8,"C"))*2)+((COUNTIF('Elève (5ème3)'!MV8:MX8,"D"))*1))/(COUNTA(MV8:MX8)),"")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(5ème3)'!NA8:NC8,"A"))*4)+((COUNTIF('Elève (5ème3)'!NA8:NC8,"B"))*3)+((COUNTIF('Elève (5ème3)'!NA8:NC8,"C"))*2)+((COUNTIF('Elève (5ème3)'!NA8:NC8,"D"))*1))/(COUNTA(NA8:NC8)),"")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(5ème3)'!NF8:NH8,"A"))*4)+((COUNTIF('Elève (5ème3)'!NF8:NH8,"B"))*3)+((COUNTIF('Elève (5ème3)'!NF8:NH8,"C"))*2)+((COUNTIF('Elève (5ème3)'!NF8:NH8,"D"))*1))/(COUNTA(NF8:NH8)),"")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(5ème3)'!NM8:NO8,"A"))*4)+((COUNTIF('Elève (5ème3)'!NM8:NO8,"B"))*3)+((COUNTIF('Elève (5ème3)'!NM8:NO8,"C"))*2)+((COUNTIF('Elève (5ème3)'!NM8:NO8,"D"))*1))/(COUNTA(NM8:NO8)),"")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(5ème3)'!NR8:NT8,"A"))*4)+((COUNTIF('Elève (5ème3)'!NR8:NT8,"B"))*3)+((COUNTIF('Elève (5ème3)'!NR8:NT8,"C"))*2)+((COUNTIF('Elève (5ème3)'!NR8:NT8,"D"))*1))/(COUNTA(NR8:NT8)),"")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(5ème3)'!NW8:NY8,"A"))*4)+((COUNTIF('Elève (5ème3)'!NW8:NY8,"B"))*3)+((COUNTIF('Elève (5ème3)'!NW8:NY8,"C"))*2)+((COUNTIF('Elève (5ème3)'!NW8:NY8,"D"))*1))/(COUNTA(NW8:NY8)),"")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(5ème3)'!OD8:OF8,"A"))*4)+((COUNTIF('Elève (5ème3)'!OD8:OF8,"B"))*3)+((COUNTIF('Elève (5ème3)'!OD8:OF8,"C"))*2)+((COUNTIF('Elève (5ème3)'!OD8:OF8,"D"))*1))/(COUNTA(OD8:OF8)),"")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(5ème3)'!OI8:OK8,"A"))*4)+((COUNTIF('Elève (5ème3)'!OI8:OK8,"B"))*3)+((COUNTIF('Elève (5ème3)'!OI8:OK8,"C"))*2)+((COUNTIF('Elève (5ème3)'!OI8:OK8,"D"))*1))/(COUNTA(OI8:OK8)),"")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(5ème3)'!ON8:OP8,"A"))*4)+((COUNTIF('Elève (5ème3)'!ON8:OP8,"B"))*3)+((COUNTIF('Elève (5ème3)'!ON8:OP8,"C"))*2)+((COUNTIF('Elève (5ème3)'!ON8:OP8,"D"))*1))/(COUNTA(ON8:OP8)),"")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(5ème3)'!OU8:OW8,"A"))*4)+((COUNTIF('Elève (5ème3)'!OU8:OW8,"B"))*3)+((COUNTIF('Elève (5ème3)'!OU8:OW8,"C"))*2)+((COUNTIF('Elève (5ème3)'!OU8:OW8,"D"))*1))/(COUNTA(OU8:OW8)),"")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(5ème3)'!OZ8:PB8,"A"))*4)+((COUNTIF('Elève (5ème3)'!OZ8:PB8,"B"))*3)+((COUNTIF('Elève (5ème3)'!OZ8:PB8,"C"))*2)+((COUNTIF('Elève (5ème3)'!OZ8:PB8,"D"))*1))/(COUNTA(OZ8:PB8)),"")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(5ème3)'!PE8:PG8,"A"))*4)+((COUNTIF('Elève (5ème3)'!PE8:PG8,"B"))*3)+((COUNTIF('Elève (5ème3)'!PE8:PG8,"C"))*2)+((COUNTIF('Elève (5ème3)'!PE8:PG8,"D"))*1))/(COUNTA(PE8:PG8)),"")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(5ème3)'!PL8:PN8,"A"))*4)+((COUNTIF('Elève (5ème3)'!PL8:PN8,"B"))*3)+((COUNTIF('Elève (5ème3)'!PL8:PN8,"C"))*2)+((COUNTIF('Elève (5ème3)'!PL8:PN8,"D"))*1))/(COUNTA(PL8:PN8)),"")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(5ème3)'!PQ8:PS8,"A"))*4)+((COUNTIF('Elève (5ème3)'!PQ8:PS8,"B"))*3)+((COUNTIF('Elève (5ème3)'!PQ8:PS8,"C"))*2)+((COUNTIF('Elève (5ème3)'!PQ8:PS8,"D"))*1))/(COUNTA(PQ8:PS8)),"")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(5ème3)'!PV8:PX8,"A"))*4)+((COUNTIF('Elève (5ème3)'!PV8:PX8,"B"))*3)+((COUNTIF('Elève (5ème3)'!PV8:PX8,"C"))*2)+((COUNTIF('Elève (5ème3)'!PV8:PX8,"D"))*1))/(COUNTA(PV8:PX8)),"")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(5ème3)'!QC8:QE8,"A"))*4)+((COUNTIF('Elève (5ème3)'!QC8:QE8,"B"))*3)+((COUNTIF('Elève (5ème3)'!QC8:QE8,"C"))*2)+((COUNTIF('Elève (5ème3)'!QC8:QE8,"D"))*1))/(COUNTA(QC8:QE8)),"")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(5ème3)'!QH8:QJ8,"A"))*4)+((COUNTIF('Elève (5ème3)'!QH8:QJ8,"B"))*3)+((COUNTIF('Elève (5ème3)'!QH8:QJ8,"C"))*2)+((COUNTIF('Elève (5ème3)'!QH8:QJ8,"D"))*1))/(COUNTA(QH8:QJ8)),"")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(5ème3)'!QM8:QO8,"A"))*4)+((COUNTIF('Elève (5ème3)'!QM8:QO8,"B"))*3)+((COUNTIF('Elève (5ème3)'!QM8:QO8,"C"))*2)+((COUNTIF('Elève (5ème3)'!QM8:QO8,"D"))*1))/(COUNTA(QM8:QO8)),"")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(5ème3)'!QT8:QV8,"A"))*4)+((COUNTIF('Elève (5ème3)'!QT8:QV8,"B"))*3)+((COUNTIF('Elève (5ème3)'!QT8:QV8,"C"))*2)+((COUNTIF('Elève (5ème3)'!QT8:QV8,"D"))*1))/(COUNTA(QT8:QV8)),"")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(5ème3)'!QY8:RA8,"A"))*4)+((COUNTIF('Elève (5ème3)'!QY8:RA8,"B"))*3)+((COUNTIF('Elève (5ème3)'!QY8:RA8,"C"))*2)+((COUNTIF('Elève (5ème3)'!QY8:RA8,"D"))*1))/(COUNTA(QY8:RA8)),"")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(5ème3)'!RD8:RF8,"A"))*4)+((COUNTIF('Elève (5ème3)'!RD8:RF8,"B"))*3)+((COUNTIF('Elève (5ème3)'!RD8:RF8,"C"))*2)+((COUNTIF('Elève (5ème3)'!RD8:RF8,"D"))*1))/(COUNTA(RD8:RF8)),"")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(5ème3)'!RK8:RM8,"A"))*4)+((COUNTIF('Elève (5ème3)'!RK8:RM8,"B"))*3)+((COUNTIF('Elève (5ème3)'!RK8:RM8,"C"))*2)+((COUNTIF('Elève (5ème3)'!RK8:RM8,"D"))*1))/(COUNTA(RK8:RM8)),"")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(5ème3)'!RP8:RR8,"A"))*4)+((COUNTIF('Elève (5ème3)'!RP8:RR8,"B"))*3)+((COUNTIF('Elève (5ème3)'!RP8:RR8,"C"))*2)+((COUNTIF('Elève (5ème3)'!RP8:RR8,"D"))*1))/(COUNTA(RP8:RR8)),"")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(5ème3)'!RU8:RW8,"A"))*4)+((COUNTIF('Elève (5ème3)'!RU8:RW8,"B"))*3)+((COUNTIF('Elève (5ème3)'!RU8:RW8,"C"))*2)+((COUNTIF('Elève (5ème3)'!RU8:RW8,"D"))*1))/(COUNTA(RU8:RW8)),"")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(5ème3)'!SB8:SD8,"A"))*4)+((COUNTIF('Elève (5ème3)'!SB8:SD8,"B"))*3)+((COUNTIF('Elève (5ème3)'!SB8:SD8,"C"))*2)+((COUNTIF('Elève (5ème3)'!SB8:SD8,"D"))*1))/(COUNTA(SB8:SD8)),"")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(5ème3)'!SG8:SI8,"A"))*4)+((COUNTIF('Elève (5ème3)'!SG8:SI8,"B"))*3)+((COUNTIF('Elève (5ème3)'!SG8:SI8,"C"))*2)+((COUNTIF('Elève (5ème3)'!SG8:SI8,"D"))*1))/(COUNTA(SG8:SI8)),"")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(5ème3)'!SL8:SN8,"A"))*4)+((COUNTIF('Elève (5ème3)'!SL8:SN8,"B"))*3)+((COUNTIF('Elève (5ème3)'!SL8:SN8,"C"))*2)+((COUNTIF('Elève (5ème3)'!SL8:SN8,"D"))*1))/(COUNTA(SL8:SN8)),"")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25" t="s">
        <v>16</v>
      </c>
      <c r="B9" s="226"/>
      <c r="C9" s="159"/>
      <c r="D9" s="160"/>
      <c r="E9" s="161"/>
      <c r="F9" s="112" t="str">
        <f>IFERROR((((COUNTIF('Elève (5ème3)'!C9:E9,"A"))*4)+((COUNTIF('Elève (5ème3)'!C9:E9,"B"))*3)+((COUNTIF('Elève (5ème3)'!C9:E9,"C"))*2)+((COUNTIF('Elève (5ème3)'!C9:E9,"D"))*1))/(COUNTA(C9:E9)),"")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(5ème3)'!H9:J9,"A"))*4)+((COUNTIF('Elève (5ème3)'!H9:J9,"B"))*3)+((COUNTIF('Elève (5ème3)'!H9:J9,"C"))*2)+((COUNTIF('Elève (5ème3)'!H9:J9,"D"))*1))/(COUNTA(H9:J9)),"")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(5ème3)'!M9:O9,"A"))*4)+((COUNTIF('Elève (5ème3)'!M9:O9,"B"))*3)+((COUNTIF('Elève (5ème3)'!M9:O9,"C"))*2)+((COUNTIF('Elève (5ème3)'!M9:O9,"D"))*1))/(COUNTA(M9:O9)),"")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(5ème3)'!T9:V9,"A"))*4)+((COUNTIF('Elève (5ème3)'!T9:V9,"B"))*3)+((COUNTIF('Elève (5ème3)'!T9:V9,"C"))*2)+((COUNTIF('Elève (5ème3)'!T9:V9,"D"))*1))/(COUNTA(T9:V9)),"")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(5ème3)'!Y9:AA9,"A"))*4)+((COUNTIF('Elève (5ème3)'!Y9:AA9,"B"))*3)+((COUNTIF('Elève (5ème3)'!Y9:AA9,"C"))*2)+((COUNTIF('Elève (5ème3)'!Y9:AA9,"D"))*1))/(COUNTA(Y9:AA9)),"")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(5ème3)'!AD9:AF9,"A"))*4)+((COUNTIF('Elève (5ème3)'!AD9:AF9,"B"))*3)+((COUNTIF('Elève (5ème3)'!AD9:AF9,"C"))*2)+((COUNTIF('Elève (5ème3)'!AD9:AF9,"D"))*1))/(COUNTA(AD9:AF9)),"")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(5ème3)'!AK9:AM9,"A"))*4)+((COUNTIF('Elève (5ème3)'!AK9:AM9,"B"))*3)+((COUNTIF('Elève (5ème3)'!AK9:AM9,"C"))*2)+((COUNTIF('Elève (5ème3)'!AK9:AM9,"D"))*1))/(COUNTA(AK9:AM9)),"")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(5ème3)'!AP9:AR9,"A"))*4)+((COUNTIF('Elève (5ème3)'!AP9:AR9,"B"))*3)+((COUNTIF('Elève (5ème3)'!AP9:AR9,"C"))*2)+((COUNTIF('Elève (5ème3)'!AP9:AR9,"D"))*1))/(COUNTA(AP9:AR9)),"")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(5ème3)'!AU9:AW9,"A"))*4)+((COUNTIF('Elève (5ème3)'!AU9:AW9,"B"))*3)+((COUNTIF('Elève (5ème3)'!AU9:AW9,"C"))*2)+((COUNTIF('Elève (5ème3)'!AU9:AW9,"D"))*1))/(COUNTA(AU9:AW9)),"")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(5ème3)'!BB9:BD9,"A"))*4)+((COUNTIF('Elève (5ème3)'!BB9:BD9,"B"))*3)+((COUNTIF('Elève (5ème3)'!BB9:BD9,"C"))*2)+((COUNTIF('Elève (5ème3)'!BB9:BD9,"D"))*1))/(COUNTA(BB9:BD9)),"")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(5ème3)'!BG9:BI9,"A"))*4)+((COUNTIF('Elève (5ème3)'!BG9:BI9,"B"))*3)+((COUNTIF('Elève (5ème3)'!BG9:BI9,"C"))*2)+((COUNTIF('Elève (5ème3)'!BG9:BI9,"D"))*1))/(COUNTA(BG9:BI9)),"")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(5ème3)'!BL9:BN9,"A"))*4)+((COUNTIF('Elève (5ème3)'!BL9:BN9,"B"))*3)+((COUNTIF('Elève (5ème3)'!BL9:BN9,"C"))*2)+((COUNTIF('Elève (5ème3)'!BL9:BN9,"D"))*1))/(COUNTA(BL9:BN9)),"")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(5ème3)'!BS9:BU9,"A"))*4)+((COUNTIF('Elève (5ème3)'!BS9:BU9,"B"))*3)+((COUNTIF('Elève (5ème3)'!BS9:BU9,"C"))*2)+((COUNTIF('Elève (5ème3)'!BS9:BU9,"D"))*1))/(COUNTA(BS9:BU9)),"")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(5ème3)'!BX9:BZ9,"A"))*4)+((COUNTIF('Elève (5ème3)'!BX9:BZ9,"B"))*3)+((COUNTIF('Elève (5ème3)'!BX9:BZ9,"C"))*2)+((COUNTIF('Elève (5ème3)'!BX9:BZ9,"D"))*1))/(COUNTA(BX9:BZ9)),"")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(5ème3)'!CC9:CE9,"A"))*4)+((COUNTIF('Elève (5ème3)'!CC9:CE9,"B"))*3)+((COUNTIF('Elève (5ème3)'!CC9:CE9,"C"))*2)+((COUNTIF('Elève (5ème3)'!CC9:CE9,"D"))*1))/(COUNTA(CC9:CE9)),"")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(5ème3)'!CJ9:CL9,"A"))*4)+((COUNTIF('Elève (5ème3)'!CJ9:CL9,"B"))*3)+((COUNTIF('Elève (5ème3)'!CJ9:CL9,"C"))*2)+((COUNTIF('Elève (5ème3)'!CJ9:CL9,"D"))*1))/(COUNTA(CJ9:CL9)),"")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(5ème3)'!CO9:CQ9,"A"))*4)+((COUNTIF('Elève (5ème3)'!CO9:CQ9,"B"))*3)+((COUNTIF('Elève (5ème3)'!CO9:CQ9,"C"))*2)+((COUNTIF('Elève (5ème3)'!CO9:CQ9,"D"))*1))/(COUNTA(CO9:CQ9)),"")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(5ème3)'!CT9:CV9,"A"))*4)+((COUNTIF('Elève (5ème3)'!CT9:CV9,"B"))*3)+((COUNTIF('Elève (5ème3)'!CT9:CV9,"C"))*2)+((COUNTIF('Elève (5ème3)'!CT9:CV9,"D"))*1))/(COUNTA(CT9:CV9)),"")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(5ème3)'!DA9:DC9,"A"))*4)+((COUNTIF('Elève (5ème3)'!DA9:DC9,"B"))*3)+((COUNTIF('Elève (5ème3)'!DA9:DC9,"C"))*2)+((COUNTIF('Elève (5ème3)'!DA9:DC9,"D"))*1))/(COUNTA(DA9:DC9)),"")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(5ème3)'!DF9:DH9,"A"))*4)+((COUNTIF('Elève (5ème3)'!DF9:DH9,"B"))*3)+((COUNTIF('Elève (5ème3)'!DF9:DH9,"C"))*2)+((COUNTIF('Elève (5ème3)'!DF9:DH9,"D"))*1))/(COUNTA(DF9:DH9)),"")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(5ème3)'!DK9:DM9,"A"))*4)+((COUNTIF('Elève (5ème3)'!DK9:DM9,"B"))*3)+((COUNTIF('Elève (5ème3)'!DK9:DM9,"C"))*2)+((COUNTIF('Elève (5ème3)'!DK9:DM9,"D"))*1))/(COUNTA(DK9:DM9)),"")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(5ème3)'!DR9:DT9,"A"))*4)+((COUNTIF('Elève (5ème3)'!DR9:DT9,"B"))*3)+((COUNTIF('Elève (5ème3)'!DR9:DT9,"C"))*2)+((COUNTIF('Elève (5ème3)'!DR9:DT9,"D"))*1))/(COUNTA(DR9:DT9)),"")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(5ème3)'!DW9:DY9,"A"))*4)+((COUNTIF('Elève (5ème3)'!DW9:DY9,"B"))*3)+((COUNTIF('Elève (5ème3)'!DW9:DY9,"C"))*2)+((COUNTIF('Elève (5ème3)'!DW9:DY9,"D"))*1))/(COUNTA(DW9:DY9)),"")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(5ème3)'!EB9:ED9,"A"))*4)+((COUNTIF('Elève (5ème3)'!EB9:ED9,"B"))*3)+((COUNTIF('Elève (5ème3)'!EB9:ED9,"C"))*2)+((COUNTIF('Elève (5ème3)'!EB9:ED9,"D"))*1))/(COUNTA(EB9:ED9)),"")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(5ème3)'!EI9:EK9,"A"))*4)+((COUNTIF('Elève (5ème3)'!EI9:EK9,"B"))*3)+((COUNTIF('Elève (5ème3)'!EI9:EK9,"C"))*2)+((COUNTIF('Elève (5ème3)'!EI9:EK9,"D"))*1))/(COUNTA(EI9:EK9)),"")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(5ème3)'!EN9:EP9,"A"))*4)+((COUNTIF('Elève (5ème3)'!EN9:EP9,"B"))*3)+((COUNTIF('Elève (5ème3)'!EN9:EP9,"C"))*2)+((COUNTIF('Elève (5ème3)'!EN9:EP9,"D"))*1))/(COUNTA(EN9:EP9)),"")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(5ème3)'!ES9:EU9,"A"))*4)+((COUNTIF('Elève (5ème3)'!ES9:EU9,"B"))*3)+((COUNTIF('Elève (5ème3)'!ES9:EU9,"C"))*2)+((COUNTIF('Elève (5ème3)'!ES9:EU9,"D"))*1))/(COUNTA(ES9:EU9)),"")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(5ème3)'!EZ9:FB9,"A"))*4)+((COUNTIF('Elève (5ème3)'!EZ9:FB9,"B"))*3)+((COUNTIF('Elève (5ème3)'!EZ9:FB9,"C"))*2)+((COUNTIF('Elève (5ème3)'!EZ9:FB9,"D"))*1))/(COUNTA(EZ9:FB9)),"")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(5ème3)'!FE9:FG9,"A"))*4)+((COUNTIF('Elève (5ème3)'!FE9:FG9,"B"))*3)+((COUNTIF('Elève (5ème3)'!FE9:FG9,"C"))*2)+((COUNTIF('Elève (5ème3)'!FE9:FG9,"D"))*1))/(COUNTA(FE9:FG9)),"")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(5ème3)'!FJ9:FL9,"A"))*4)+((COUNTIF('Elève (5ème3)'!FJ9:FL9,"B"))*3)+((COUNTIF('Elève (5ème3)'!FJ9:FL9,"C"))*2)+((COUNTIF('Elève (5ème3)'!FJ9:FL9,"D"))*1))/(COUNTA(FJ9:FL9)),"")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(5ème3)'!FQ9:FS9,"A"))*4)+((COUNTIF('Elève (5ème3)'!FQ9:FS9,"B"))*3)+((COUNTIF('Elève (5ème3)'!FQ9:FS9,"C"))*2)+((COUNTIF('Elève (5ème3)'!FQ9:FS9,"D"))*1))/(COUNTA(FQ9:FS9)),"")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(5ème3)'!FV9:FX9,"A"))*4)+((COUNTIF('Elève (5ème3)'!FV9:FX9,"B"))*3)+((COUNTIF('Elève (5ème3)'!FV9:FX9,"C"))*2)+((COUNTIF('Elève (5ème3)'!FV9:FX9,"D"))*1))/(COUNTA(FV9:FX9)),"")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(5ème3)'!GA9:GC9,"A"))*4)+((COUNTIF('Elève (5ème3)'!GA9:GC9,"B"))*3)+((COUNTIF('Elève (5ème3)'!GA9:GC9,"C"))*2)+((COUNTIF('Elève (5ème3)'!GA9:GC9,"D"))*1))/(COUNTA(GA9:GC9)),"")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(5ème3)'!GH9:GJ9,"A"))*4)+((COUNTIF('Elève (5ème3)'!GH9:GJ9,"B"))*3)+((COUNTIF('Elève (5ème3)'!GH9:GJ9,"C"))*2)+((COUNTIF('Elève (5ème3)'!GH9:GJ9,"D"))*1))/(COUNTA(GH9:GJ9)),"")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(5ème3)'!GM9:GO9,"A"))*4)+((COUNTIF('Elève (5ème3)'!GM9:GO9,"B"))*3)+((COUNTIF('Elève (5ème3)'!GM9:GO9,"C"))*2)+((COUNTIF('Elève (5ème3)'!GM9:GO9,"D"))*1))/(COUNTA(GM9:GO9)),"")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(5ème3)'!GR9:GT9,"A"))*4)+((COUNTIF('Elève (5ème3)'!GR9:GT9,"B"))*3)+((COUNTIF('Elève (5ème3)'!GR9:GT9,"C"))*2)+((COUNTIF('Elève (5ème3)'!GR9:GT9,"D"))*1))/(COUNTA(GR9:GT9)),"")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(5ème3)'!GY9:HA9,"A"))*4)+((COUNTIF('Elève (5ème3)'!GY9:HA9,"B"))*3)+((COUNTIF('Elève (5ème3)'!GY9:HA9,"C"))*2)+((COUNTIF('Elève (5ème3)'!GY9:HA9,"D"))*1))/(COUNTA(GY9:HA9)),"")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(5ème3)'!HD9:HF9,"A"))*4)+((COUNTIF('Elève (5ème3)'!HD9:HF9,"B"))*3)+((COUNTIF('Elève (5ème3)'!HD9:HF9,"C"))*2)+((COUNTIF('Elève (5ème3)'!HD9:HF9,"D"))*1))/(COUNTA(HD9:HF9)),"")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(5ème3)'!HI9:HK9,"A"))*4)+((COUNTIF('Elève (5ème3)'!HI9:HK9,"B"))*3)+((COUNTIF('Elève (5ème3)'!HI9:HK9,"C"))*2)+((COUNTIF('Elève (5ème3)'!HI9:HK9,"D"))*1))/(COUNTA(HI9:HK9)),"")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(5ème3)'!HP9:HR9,"A"))*4)+((COUNTIF('Elève (5ème3)'!HP9:HR9,"B"))*3)+((COUNTIF('Elève (5ème3)'!HP9:HR9,"C"))*2)+((COUNTIF('Elève (5ème3)'!HP9:HR9,"D"))*1))/(COUNTA(HP9:HR9)),"")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(5ème3)'!HU9:HW9,"A"))*4)+((COUNTIF('Elève (5ème3)'!HU9:HW9,"B"))*3)+((COUNTIF('Elève (5ème3)'!HU9:HW9,"C"))*2)+((COUNTIF('Elève (5ème3)'!HU9:HW9,"D"))*1))/(COUNTA(HU9:HW9)),"")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(5ème3)'!HZ9:IB9,"A"))*4)+((COUNTIF('Elève (5ème3)'!HZ9:IB9,"B"))*3)+((COUNTIF('Elève (5ème3)'!HZ9:IB9,"C"))*2)+((COUNTIF('Elève (5ème3)'!HZ9:IB9,"D"))*1))/(COUNTA(HZ9:IB9)),"")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(5ème3)'!IG9:II9,"A"))*4)+((COUNTIF('Elève (5ème3)'!IG9:II9,"B"))*3)+((COUNTIF('Elève (5ème3)'!IG9:II9,"C"))*2)+((COUNTIF('Elève (5ème3)'!IG9:II9,"D"))*1))/(COUNTA(IG9:II9)),"")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(5ème3)'!IL9:IN9,"A"))*4)+((COUNTIF('Elève (5ème3)'!IL9:IN9,"B"))*3)+((COUNTIF('Elève (5ème3)'!IL9:IN9,"C"))*2)+((COUNTIF('Elève (5ème3)'!IL9:IN9,"D"))*1))/(COUNTA(IL9:IN9)),"")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(5ème3)'!IQ9:IS9,"A"))*4)+((COUNTIF('Elève (5ème3)'!IQ9:IS9,"B"))*3)+((COUNTIF('Elève (5ème3)'!IQ9:IS9,"C"))*2)+((COUNTIF('Elève (5ème3)'!IQ9:IS9,"D"))*1))/(COUNTA(IQ9:IS9)),"")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(5ème3)'!IX9:IZ9,"A"))*4)+((COUNTIF('Elève (5ème3)'!IX9:IZ9,"B"))*3)+((COUNTIF('Elève (5ème3)'!IX9:IZ9,"C"))*2)+((COUNTIF('Elève (5ème3)'!IX9:IZ9,"D"))*1))/(COUNTA(IX9:IZ9)),"")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(5ème3)'!JC9:JE9,"A"))*4)+((COUNTIF('Elève (5ème3)'!JC9:JE9,"B"))*3)+((COUNTIF('Elève (5ème3)'!JC9:JE9,"C"))*2)+((COUNTIF('Elève (5ème3)'!JC9:JE9,"D"))*1))/(COUNTA(JC9:JE9)),"")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(5ème3)'!JH9:JJ9,"A"))*4)+((COUNTIF('Elève (5ème3)'!JH9:JJ9,"B"))*3)+((COUNTIF('Elève (5ème3)'!JH9:JJ9,"C"))*2)+((COUNTIF('Elève (5ème3)'!JH9:JJ9,"D"))*1))/(COUNTA(JH9:JJ9)),"")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(5ème3)'!JO9:JQ9,"A"))*4)+((COUNTIF('Elève (5ème3)'!JO9:JQ9,"B"))*3)+((COUNTIF('Elève (5ème3)'!JO9:JQ9,"C"))*2)+((COUNTIF('Elève (5ème3)'!JO9:JQ9,"D"))*1))/(COUNTA(JO9:JQ9)),"")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(5ème3)'!JT9:JV9,"A"))*4)+((COUNTIF('Elève (5ème3)'!JT9:JV9,"B"))*3)+((COUNTIF('Elève (5ème3)'!JT9:JV9,"C"))*2)+((COUNTIF('Elève (5ème3)'!JT9:JV9,"D"))*1))/(COUNTA(JT9:JV9)),"")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(5ème3)'!JY9:KA9,"A"))*4)+((COUNTIF('Elève (5ème3)'!JY9:KA9,"B"))*3)+((COUNTIF('Elève (5ème3)'!JY9:KA9,"C"))*2)+((COUNTIF('Elève (5ème3)'!JY9:KA9,"D"))*1))/(COUNTA(JY9:KA9)),"")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(5ème3)'!KF9:KH9,"A"))*4)+((COUNTIF('Elève (5ème3)'!KF9:KH9,"B"))*3)+((COUNTIF('Elève (5ème3)'!KF9:KH9,"C"))*2)+((COUNTIF('Elève (5ème3)'!KF9:KH9,"D"))*1))/(COUNTA(KF9:KH9)),"")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(5ème3)'!KK9:KM9,"A"))*4)+((COUNTIF('Elève (5ème3)'!KK9:KM9,"B"))*3)+((COUNTIF('Elève (5ème3)'!KK9:KM9,"C"))*2)+((COUNTIF('Elève (5ème3)'!KK9:KM9,"D"))*1))/(COUNTA(KK9:KM9)),"")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(5ème3)'!KP9:KR9,"A"))*4)+((COUNTIF('Elève (5ème3)'!KP9:KR9,"B"))*3)+((COUNTIF('Elève (5ème3)'!KP9:KR9,"C"))*2)+((COUNTIF('Elève (5ème3)'!KP9:KR9,"D"))*1))/(COUNTA(KP9:KR9)),"")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(5ème3)'!KW9:KY9,"A"))*4)+((COUNTIF('Elève (5ème3)'!KW9:KY9,"B"))*3)+((COUNTIF('Elève (5ème3)'!KW9:KY9,"C"))*2)+((COUNTIF('Elève (5ème3)'!KW9:KY9,"D"))*1))/(COUNTA(KW9:KY9)),"")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(5ème3)'!LB9:LD9,"A"))*4)+((COUNTIF('Elève (5ème3)'!LB9:LD9,"B"))*3)+((COUNTIF('Elève (5ème3)'!LB9:LD9,"C"))*2)+((COUNTIF('Elève (5ème3)'!LB9:LD9,"D"))*1))/(COUNTA(LB9:LD9)),"")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(5ème3)'!LG9:LI9,"A"))*4)+((COUNTIF('Elève (5ème3)'!LG9:LI9,"B"))*3)+((COUNTIF('Elève (5ème3)'!LG9:LI9,"C"))*2)+((COUNTIF('Elève (5ème3)'!LG9:LI9,"D"))*1))/(COUNTA(LG9:LI9)),"")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(5ème3)'!LN9:LP9,"A"))*4)+((COUNTIF('Elève (5ème3)'!LN9:LP9,"B"))*3)+((COUNTIF('Elève (5ème3)'!LN9:LP9,"C"))*2)+((COUNTIF('Elève (5ème3)'!LN9:LP9,"D"))*1))/(COUNTA(LN9:LP9)),"")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(5ème3)'!LS9:LU9,"A"))*4)+((COUNTIF('Elève (5ème3)'!LS9:LU9,"B"))*3)+((COUNTIF('Elève (5ème3)'!LS9:LU9,"C"))*2)+((COUNTIF('Elève (5ème3)'!LS9:LU9,"D"))*1))/(COUNTA(LS9:LU9)),"")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(5ème3)'!LX9:LZ9,"A"))*4)+((COUNTIF('Elève (5ème3)'!LX9:LZ9,"B"))*3)+((COUNTIF('Elève (5ème3)'!LX9:LZ9,"C"))*2)+((COUNTIF('Elève (5ème3)'!LX9:LZ9,"D"))*1))/(COUNTA(LX9:LZ9)),"")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(5ème3)'!ME9:MG9,"A"))*4)+((COUNTIF('Elève (5ème3)'!ME9:MG9,"B"))*3)+((COUNTIF('Elève (5ème3)'!ME9:MG9,"C"))*2)+((COUNTIF('Elève (5ème3)'!ME9:MG9,"D"))*1))/(COUNTA(ME9:MG9)),"")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(5ème3)'!MJ9:ML9,"A"))*4)+((COUNTIF('Elève (5ème3)'!MJ9:ML9,"B"))*3)+((COUNTIF('Elève (5ème3)'!MJ9:ML9,"C"))*2)+((COUNTIF('Elève (5ème3)'!MJ9:ML9,"D"))*1))/(COUNTA(MJ9:ML9)),"")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(5ème3)'!MO9:MQ9,"A"))*4)+((COUNTIF('Elève (5ème3)'!MO9:MQ9,"B"))*3)+((COUNTIF('Elève (5ème3)'!MO9:MQ9,"C"))*2)+((COUNTIF('Elève (5ème3)'!MO9:MQ9,"D"))*1))/(COUNTA(MO9:MQ9)),"")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(5ème3)'!MV9:MX9,"A"))*4)+((COUNTIF('Elève (5ème3)'!MV9:MX9,"B"))*3)+((COUNTIF('Elève (5ème3)'!MV9:MX9,"C"))*2)+((COUNTIF('Elève (5ème3)'!MV9:MX9,"D"))*1))/(COUNTA(MV9:MX9)),"")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(5ème3)'!NA9:NC9,"A"))*4)+((COUNTIF('Elève (5ème3)'!NA9:NC9,"B"))*3)+((COUNTIF('Elève (5ème3)'!NA9:NC9,"C"))*2)+((COUNTIF('Elève (5ème3)'!NA9:NC9,"D"))*1))/(COUNTA(NA9:NC9)),"")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(5ème3)'!NF9:NH9,"A"))*4)+((COUNTIF('Elève (5ème3)'!NF9:NH9,"B"))*3)+((COUNTIF('Elève (5ème3)'!NF9:NH9,"C"))*2)+((COUNTIF('Elève (5ème3)'!NF9:NH9,"D"))*1))/(COUNTA(NF9:NH9)),"")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(5ème3)'!NM9:NO9,"A"))*4)+((COUNTIF('Elève (5ème3)'!NM9:NO9,"B"))*3)+((COUNTIF('Elève (5ème3)'!NM9:NO9,"C"))*2)+((COUNTIF('Elève (5ème3)'!NM9:NO9,"D"))*1))/(COUNTA(NM9:NO9)),"")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(5ème3)'!NR9:NT9,"A"))*4)+((COUNTIF('Elève (5ème3)'!NR9:NT9,"B"))*3)+((COUNTIF('Elève (5ème3)'!NR9:NT9,"C"))*2)+((COUNTIF('Elève (5ème3)'!NR9:NT9,"D"))*1))/(COUNTA(NR9:NT9)),"")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(5ème3)'!NW9:NY9,"A"))*4)+((COUNTIF('Elève (5ème3)'!NW9:NY9,"B"))*3)+((COUNTIF('Elève (5ème3)'!NW9:NY9,"C"))*2)+((COUNTIF('Elève (5ème3)'!NW9:NY9,"D"))*1))/(COUNTA(NW9:NY9)),"")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(5ème3)'!OD9:OF9,"A"))*4)+((COUNTIF('Elève (5ème3)'!OD9:OF9,"B"))*3)+((COUNTIF('Elève (5ème3)'!OD9:OF9,"C"))*2)+((COUNTIF('Elève (5ème3)'!OD9:OF9,"D"))*1))/(COUNTA(OD9:OF9)),"")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(5ème3)'!OI9:OK9,"A"))*4)+((COUNTIF('Elève (5ème3)'!OI9:OK9,"B"))*3)+((COUNTIF('Elève (5ème3)'!OI9:OK9,"C"))*2)+((COUNTIF('Elève (5ème3)'!OI9:OK9,"D"))*1))/(COUNTA(OI9:OK9)),"")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(5ème3)'!ON9:OP9,"A"))*4)+((COUNTIF('Elève (5ème3)'!ON9:OP9,"B"))*3)+((COUNTIF('Elève (5ème3)'!ON9:OP9,"C"))*2)+((COUNTIF('Elève (5ème3)'!ON9:OP9,"D"))*1))/(COUNTA(ON9:OP9)),"")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(5ème3)'!OU9:OW9,"A"))*4)+((COUNTIF('Elève (5ème3)'!OU9:OW9,"B"))*3)+((COUNTIF('Elève (5ème3)'!OU9:OW9,"C"))*2)+((COUNTIF('Elève (5ème3)'!OU9:OW9,"D"))*1))/(COUNTA(OU9:OW9)),"")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(5ème3)'!OZ9:PB9,"A"))*4)+((COUNTIF('Elève (5ème3)'!OZ9:PB9,"B"))*3)+((COUNTIF('Elève (5ème3)'!OZ9:PB9,"C"))*2)+((COUNTIF('Elève (5ème3)'!OZ9:PB9,"D"))*1))/(COUNTA(OZ9:PB9)),"")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(5ème3)'!PE9:PG9,"A"))*4)+((COUNTIF('Elève (5ème3)'!PE9:PG9,"B"))*3)+((COUNTIF('Elève (5ème3)'!PE9:PG9,"C"))*2)+((COUNTIF('Elève (5ème3)'!PE9:PG9,"D"))*1))/(COUNTA(PE9:PG9)),"")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(5ème3)'!PL9:PN9,"A"))*4)+((COUNTIF('Elève (5ème3)'!PL9:PN9,"B"))*3)+((COUNTIF('Elève (5ème3)'!PL9:PN9,"C"))*2)+((COUNTIF('Elève (5ème3)'!PL9:PN9,"D"))*1))/(COUNTA(PL9:PN9)),"")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(5ème3)'!PQ9:PS9,"A"))*4)+((COUNTIF('Elève (5ème3)'!PQ9:PS9,"B"))*3)+((COUNTIF('Elève (5ème3)'!PQ9:PS9,"C"))*2)+((COUNTIF('Elève (5ème3)'!PQ9:PS9,"D"))*1))/(COUNTA(PQ9:PS9)),"")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(5ème3)'!PV9:PX9,"A"))*4)+((COUNTIF('Elève (5ème3)'!PV9:PX9,"B"))*3)+((COUNTIF('Elève (5ème3)'!PV9:PX9,"C"))*2)+((COUNTIF('Elève (5ème3)'!PV9:PX9,"D"))*1))/(COUNTA(PV9:PX9)),"")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(5ème3)'!QC9:QE9,"A"))*4)+((COUNTIF('Elève (5ème3)'!QC9:QE9,"B"))*3)+((COUNTIF('Elève (5ème3)'!QC9:QE9,"C"))*2)+((COUNTIF('Elève (5ème3)'!QC9:QE9,"D"))*1))/(COUNTA(QC9:QE9)),"")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(5ème3)'!QH9:QJ9,"A"))*4)+((COUNTIF('Elève (5ème3)'!QH9:QJ9,"B"))*3)+((COUNTIF('Elève (5ème3)'!QH9:QJ9,"C"))*2)+((COUNTIF('Elève (5ème3)'!QH9:QJ9,"D"))*1))/(COUNTA(QH9:QJ9)),"")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(5ème3)'!QM9:QO9,"A"))*4)+((COUNTIF('Elève (5ème3)'!QM9:QO9,"B"))*3)+((COUNTIF('Elève (5ème3)'!QM9:QO9,"C"))*2)+((COUNTIF('Elève (5ème3)'!QM9:QO9,"D"))*1))/(COUNTA(QM9:QO9)),"")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(5ème3)'!QT9:QV9,"A"))*4)+((COUNTIF('Elève (5ème3)'!QT9:QV9,"B"))*3)+((COUNTIF('Elève (5ème3)'!QT9:QV9,"C"))*2)+((COUNTIF('Elève (5ème3)'!QT9:QV9,"D"))*1))/(COUNTA(QT9:QV9)),"")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(5ème3)'!QY9:RA9,"A"))*4)+((COUNTIF('Elève (5ème3)'!QY9:RA9,"B"))*3)+((COUNTIF('Elève (5ème3)'!QY9:RA9,"C"))*2)+((COUNTIF('Elève (5ème3)'!QY9:RA9,"D"))*1))/(COUNTA(QY9:RA9)),"")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(5ème3)'!RD9:RF9,"A"))*4)+((COUNTIF('Elève (5ème3)'!RD9:RF9,"B"))*3)+((COUNTIF('Elève (5ème3)'!RD9:RF9,"C"))*2)+((COUNTIF('Elève (5ème3)'!RD9:RF9,"D"))*1))/(COUNTA(RD9:RF9)),"")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(5ème3)'!RK9:RM9,"A"))*4)+((COUNTIF('Elève (5ème3)'!RK9:RM9,"B"))*3)+((COUNTIF('Elève (5ème3)'!RK9:RM9,"C"))*2)+((COUNTIF('Elève (5ème3)'!RK9:RM9,"D"))*1))/(COUNTA(RK9:RM9)),"")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(5ème3)'!RP9:RR9,"A"))*4)+((COUNTIF('Elève (5ème3)'!RP9:RR9,"B"))*3)+((COUNTIF('Elève (5ème3)'!RP9:RR9,"C"))*2)+((COUNTIF('Elève (5ème3)'!RP9:RR9,"D"))*1))/(COUNTA(RP9:RR9)),"")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(5ème3)'!RU9:RW9,"A"))*4)+((COUNTIF('Elève (5ème3)'!RU9:RW9,"B"))*3)+((COUNTIF('Elève (5ème3)'!RU9:RW9,"C"))*2)+((COUNTIF('Elève (5ème3)'!RU9:RW9,"D"))*1))/(COUNTA(RU9:RW9)),"")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(5ème3)'!SB9:SD9,"A"))*4)+((COUNTIF('Elève (5ème3)'!SB9:SD9,"B"))*3)+((COUNTIF('Elève (5ème3)'!SB9:SD9,"C"))*2)+((COUNTIF('Elève (5ème3)'!SB9:SD9,"D"))*1))/(COUNTA(SB9:SD9)),"")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(5ème3)'!SG9:SI9,"A"))*4)+((COUNTIF('Elève (5ème3)'!SG9:SI9,"B"))*3)+((COUNTIF('Elève (5ème3)'!SG9:SI9,"C"))*2)+((COUNTIF('Elève (5ème3)'!SG9:SI9,"D"))*1))/(COUNTA(SG9:SI9)),"")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(5ème3)'!SL9:SN9,"A"))*4)+((COUNTIF('Elève (5ème3)'!SL9:SN9,"B"))*3)+((COUNTIF('Elève (5ème3)'!SL9:SN9,"C"))*2)+((COUNTIF('Elève (5ème3)'!SL9:SN9,"D"))*1))/(COUNTA(SL9:SN9)),"")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>
        <f>IFERROR((((COUNTIF('Elève (5ème3)'!C11:E12,"A"))*4)+((COUNTIF('Elève (5ème3)'!C11:E12,"B"))*3)+((COUNTIF('Elève (5ème3)'!C11:E12,"C"))*2)+((COUNTIF('Elève (5ème3)'!C11:E12,"D"))*1))/(COUNTA(C11:E12)),"")</f>
        <v>3</v>
      </c>
      <c r="G10" s="107" t="str">
        <f t="shared" si="0"/>
        <v>B</v>
      </c>
      <c r="H10" s="100"/>
      <c r="I10" s="187"/>
      <c r="J10" s="188"/>
      <c r="K10" s="106" t="str">
        <f>IFERROR((((COUNTIF('Elève (5ème3)'!H11:J12,"A"))*4)+((COUNTIF('Elève (5ème3)'!H11:J12,"B"))*3)+((COUNTIF('Elève (5ème3)'!H11:J12,"C"))*2)+((COUNTIF('Elève (5ème3)'!H11:J12,"D"))*1))/(COUNTA(H11:J12)),"")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(5ème3)'!M11:O12,"A"))*4)+((COUNTIF('Elève (5ème3)'!M11:O12,"B"))*3)+((COUNTIF('Elève (5ème3)'!M11:O12,"C"))*2)+((COUNTIF('Elève (5ème3)'!M11:O12,"D"))*1))/(COUNTA(M11:O12)),"")</f>
        <v/>
      </c>
      <c r="Q10" s="128" t="str">
        <f t="shared" si="2"/>
        <v/>
      </c>
      <c r="R10" s="177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>3</v>
      </c>
      <c r="S10" s="130" t="str">
        <f t="shared" si="3"/>
        <v>B</v>
      </c>
      <c r="T10" s="162"/>
      <c r="U10" s="189"/>
      <c r="V10" s="189"/>
      <c r="W10" s="106">
        <f>IFERROR((((COUNTIF('Elève (5ème3)'!T11:V12,"A"))*4)+((COUNTIF('Elève (5ème3)'!T11:V12,"B"))*3)+((COUNTIF('Elève (5ème3)'!T11:V12,"C"))*2)+((COUNTIF('Elève (5ème3)'!T11:V12,"D"))*1))/(COUNTA(T11:V12)),"")</f>
        <v>4</v>
      </c>
      <c r="X10" s="107" t="str">
        <f t="shared" si="4"/>
        <v>A</v>
      </c>
      <c r="Y10" s="100"/>
      <c r="Z10" s="187"/>
      <c r="AA10" s="188"/>
      <c r="AB10" s="106" t="str">
        <f>IFERROR((((COUNTIF('Elève (5ème3)'!Y11:AA12,"A"))*4)+((COUNTIF('Elève (5ème3)'!Y11:AA12,"B"))*3)+((COUNTIF('Elève (5ème3)'!Y11:AA12,"C"))*2)+((COUNTIF('Elève (5ème3)'!Y11:AA12,"D"))*1))/(COUNTA(Y11:AA12)),"")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(5ème3)'!AD11:AF12,"A"))*4)+((COUNTIF('Elève (5ème3)'!AD11:AF12,"B"))*3)+((COUNTIF('Elève (5ème3)'!AD11:AF12,"C"))*2)+((COUNTIF('Elève (5ème3)'!AD11:AF12,"D"))*1))/(COUNTA(AD11:AF12)),"")</f>
        <v/>
      </c>
      <c r="AH10" s="128" t="str">
        <f t="shared" si="6"/>
        <v/>
      </c>
      <c r="AI10" s="177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>4</v>
      </c>
      <c r="AJ10" s="130" t="str">
        <f t="shared" si="7"/>
        <v>A</v>
      </c>
      <c r="AK10" s="162"/>
      <c r="AL10" s="189"/>
      <c r="AM10" s="189"/>
      <c r="AN10" s="106">
        <f>IFERROR((((COUNTIF('Elève (5ème3)'!AK11:AM12,"A"))*4)+((COUNTIF('Elève (5ème3)'!AK11:AM12,"B"))*3)+((COUNTIF('Elève (5ème3)'!AK11:AM12,"C"))*2)+((COUNTIF('Elève (5ème3)'!AK11:AM12,"D"))*1))/(COUNTA(AK11:AM12)),"")</f>
        <v>4</v>
      </c>
      <c r="AO10" s="107" t="str">
        <f t="shared" si="8"/>
        <v>A</v>
      </c>
      <c r="AP10" s="100"/>
      <c r="AQ10" s="187"/>
      <c r="AR10" s="188"/>
      <c r="AS10" s="106" t="str">
        <f>IFERROR((((COUNTIF('Elève (5ème3)'!AP11:AR12,"A"))*4)+((COUNTIF('Elève (5ème3)'!AP11:AR12,"B"))*3)+((COUNTIF('Elève (5ème3)'!AP11:AR12,"C"))*2)+((COUNTIF('Elève (5ème3)'!AP11:AR12,"D"))*1))/(COUNTA(AP11:AR12)),"")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(5ème3)'!AU11:AW12,"A"))*4)+((COUNTIF('Elève (5ème3)'!AU11:AW12,"B"))*3)+((COUNTIF('Elève (5ème3)'!AU11:AW12,"C"))*2)+((COUNTIF('Elève (5ème3)'!AU11:AW12,"D"))*1))/(COUNTA(AU11:AW12)),"")</f>
        <v/>
      </c>
      <c r="AY10" s="128" t="str">
        <f t="shared" si="10"/>
        <v/>
      </c>
      <c r="AZ10" s="177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>4</v>
      </c>
      <c r="BA10" s="130" t="str">
        <f t="shared" si="11"/>
        <v>A</v>
      </c>
      <c r="BB10" s="162"/>
      <c r="BC10" s="189"/>
      <c r="BD10" s="189"/>
      <c r="BE10" s="106">
        <f>IFERROR((((COUNTIF('Elève (5ème3)'!BB11:BD12,"A"))*4)+((COUNTIF('Elève (5ème3)'!BB11:BD12,"B"))*3)+((COUNTIF('Elève (5ème3)'!BB11:BD12,"C"))*2)+((COUNTIF('Elève (5ème3)'!BB11:BD12,"D"))*1))/(COUNTA(BB11:BD12)),"")</f>
        <v>4</v>
      </c>
      <c r="BF10" s="107" t="str">
        <f t="shared" si="12"/>
        <v>A</v>
      </c>
      <c r="BG10" s="100"/>
      <c r="BH10" s="187"/>
      <c r="BI10" s="188"/>
      <c r="BJ10" s="106" t="str">
        <f>IFERROR((((COUNTIF('Elève (5ème3)'!BG11:BI12,"A"))*4)+((COUNTIF('Elève (5ème3)'!BG11:BI12,"B"))*3)+((COUNTIF('Elève (5ème3)'!BG11:BI12,"C"))*2)+((COUNTIF('Elève (5ème3)'!BG11:BI12,"D"))*1))/(COUNTA(BG11:BI12)),"")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(5ème3)'!BL11:BN12,"A"))*4)+((COUNTIF('Elève (5ème3)'!BL11:BN12,"B"))*3)+((COUNTIF('Elève (5ème3)'!BL11:BN12,"C"))*2)+((COUNTIF('Elève (5ème3)'!BL11:BN12,"D"))*1))/(COUNTA(BL11:BN12)),"")</f>
        <v/>
      </c>
      <c r="BP10" s="128" t="str">
        <f t="shared" si="14"/>
        <v/>
      </c>
      <c r="BQ10" s="177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>4</v>
      </c>
      <c r="BR10" s="130" t="str">
        <f t="shared" si="15"/>
        <v>A</v>
      </c>
      <c r="BS10" s="162"/>
      <c r="BT10" s="189"/>
      <c r="BU10" s="189"/>
      <c r="BV10" s="106">
        <f>IFERROR((((COUNTIF('Elève (5ème3)'!BS11:BU12,"A"))*4)+((COUNTIF('Elève (5ème3)'!BS11:BU12,"B"))*3)+((COUNTIF('Elève (5ème3)'!BS11:BU12,"C"))*2)+((COUNTIF('Elève (5ème3)'!BS11:BU12,"D"))*1))/(COUNTA(BS11:BU12)),"")</f>
        <v>3</v>
      </c>
      <c r="BW10" s="107" t="str">
        <f t="shared" si="16"/>
        <v>B</v>
      </c>
      <c r="BX10" s="100"/>
      <c r="BY10" s="187"/>
      <c r="BZ10" s="188"/>
      <c r="CA10" s="106" t="str">
        <f>IFERROR((((COUNTIF('Elève (5ème3)'!BX11:BZ12,"A"))*4)+((COUNTIF('Elève (5ème3)'!BX11:BZ12,"B"))*3)+((COUNTIF('Elève (5ème3)'!BX11:BZ12,"C"))*2)+((COUNTIF('Elève (5ème3)'!BX11:BZ12,"D"))*1))/(COUNTA(BX11:BZ12)),"")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(5ème3)'!CC11:CE12,"A"))*4)+((COUNTIF('Elève (5ème3)'!CC11:CE12,"B"))*3)+((COUNTIF('Elève (5ème3)'!CC11:CE12,"C"))*2)+((COUNTIF('Elève (5ème3)'!CC11:CE12,"D"))*1))/(COUNTA(CC11:CE12)),"")</f>
        <v/>
      </c>
      <c r="CG10" s="128" t="str">
        <f t="shared" si="18"/>
        <v/>
      </c>
      <c r="CH10" s="177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>3</v>
      </c>
      <c r="CI10" s="130" t="str">
        <f t="shared" si="19"/>
        <v>B</v>
      </c>
      <c r="CJ10" s="162"/>
      <c r="CK10" s="189"/>
      <c r="CL10" s="189"/>
      <c r="CM10" s="106">
        <f>IFERROR((((COUNTIF('Elève (5ème3)'!CJ11:CL12,"A"))*4)+((COUNTIF('Elève (5ème3)'!CJ11:CL12,"B"))*3)+((COUNTIF('Elève (5ème3)'!CJ11:CL12,"C"))*2)+((COUNTIF('Elève (5ème3)'!CJ11:CL12,"D"))*1))/(COUNTA(CJ11:CL12)),"")</f>
        <v>4</v>
      </c>
      <c r="CN10" s="107" t="str">
        <f t="shared" si="20"/>
        <v>A</v>
      </c>
      <c r="CO10" s="100"/>
      <c r="CP10" s="187"/>
      <c r="CQ10" s="188"/>
      <c r="CR10" s="106" t="str">
        <f>IFERROR((((COUNTIF('Elève (5ème3)'!CO11:CQ12,"A"))*4)+((COUNTIF('Elève (5ème3)'!CO11:CQ12,"B"))*3)+((COUNTIF('Elève (5ème3)'!CO11:CQ12,"C"))*2)+((COUNTIF('Elève (5ème3)'!CO11:CQ12,"D"))*1))/(COUNTA(CO11:CQ12)),"")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(5ème3)'!CT11:CV12,"A"))*4)+((COUNTIF('Elève (5ème3)'!CT11:CV12,"B"))*3)+((COUNTIF('Elève (5ème3)'!CT11:CV12,"C"))*2)+((COUNTIF('Elève (5ème3)'!CT11:CV12,"D"))*1))/(COUNTA(CT11:CV12)),"")</f>
        <v/>
      </c>
      <c r="CX10" s="128" t="str">
        <f t="shared" si="22"/>
        <v/>
      </c>
      <c r="CY10" s="177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>4</v>
      </c>
      <c r="CZ10" s="130" t="str">
        <f t="shared" si="23"/>
        <v>A</v>
      </c>
      <c r="DA10" s="162"/>
      <c r="DB10" s="189"/>
      <c r="DC10" s="189"/>
      <c r="DD10" s="106">
        <f>IFERROR((((COUNTIF('Elève (5ème3)'!DA11:DC12,"A"))*4)+((COUNTIF('Elève (5ème3)'!DA11:DC12,"B"))*3)+((COUNTIF('Elève (5ème3)'!DA11:DC12,"C"))*2)+((COUNTIF('Elève (5ème3)'!DA11:DC12,"D"))*1))/(COUNTA(DA11:DC12)),"")</f>
        <v>3.5</v>
      </c>
      <c r="DE10" s="107" t="str">
        <f t="shared" si="24"/>
        <v>B</v>
      </c>
      <c r="DF10" s="100"/>
      <c r="DG10" s="187"/>
      <c r="DH10" s="188"/>
      <c r="DI10" s="106" t="str">
        <f>IFERROR((((COUNTIF('Elève (5ème3)'!DF11:DH12,"A"))*4)+((COUNTIF('Elève (5ème3)'!DF11:DH12,"B"))*3)+((COUNTIF('Elève (5ème3)'!DF11:DH12,"C"))*2)+((COUNTIF('Elève (5ème3)'!DF11:DH12,"D"))*1))/(COUNTA(DF11:DH12)),"")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(5ème3)'!DK11:DM12,"A"))*4)+((COUNTIF('Elève (5ème3)'!DK11:DM12,"B"))*3)+((COUNTIF('Elève (5ème3)'!DK11:DM12,"C"))*2)+((COUNTIF('Elève (5ème3)'!DK11:DM12,"D"))*1))/(COUNTA(DK11:DM12)),"")</f>
        <v/>
      </c>
      <c r="DO10" s="128" t="str">
        <f t="shared" si="26"/>
        <v/>
      </c>
      <c r="DP10" s="177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>3.5</v>
      </c>
      <c r="DQ10" s="130" t="str">
        <f t="shared" si="27"/>
        <v>B</v>
      </c>
      <c r="DR10" s="162"/>
      <c r="DS10" s="189"/>
      <c r="DT10" s="189"/>
      <c r="DU10" s="106">
        <f>IFERROR((((COUNTIF('Elève (5ème3)'!DR11:DT12,"A"))*4)+((COUNTIF('Elève (5ème3)'!DR11:DT12,"B"))*3)+((COUNTIF('Elève (5ème3)'!DR11:DT12,"C"))*2)+((COUNTIF('Elève (5ème3)'!DR11:DT12,"D"))*1))/(COUNTA(DR11:DT12)),"")</f>
        <v>4</v>
      </c>
      <c r="DV10" s="107" t="str">
        <f t="shared" si="28"/>
        <v>A</v>
      </c>
      <c r="DW10" s="100"/>
      <c r="DX10" s="187"/>
      <c r="DY10" s="188"/>
      <c r="DZ10" s="106" t="str">
        <f>IFERROR((((COUNTIF('Elève (5ème3)'!DW11:DY12,"A"))*4)+((COUNTIF('Elève (5ème3)'!DW11:DY12,"B"))*3)+((COUNTIF('Elève (5ème3)'!DW11:DY12,"C"))*2)+((COUNTIF('Elève (5ème3)'!DW11:DY12,"D"))*1))/(COUNTA(DW11:DY12)),"")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(5ème3)'!EB11:ED12,"A"))*4)+((COUNTIF('Elève (5ème3)'!EB11:ED12,"B"))*3)+((COUNTIF('Elève (5ème3)'!EB11:ED12,"C"))*2)+((COUNTIF('Elève (5ème3)'!EB11:ED12,"D"))*1))/(COUNTA(EB11:ED12)),"")</f>
        <v/>
      </c>
      <c r="EF10" s="128" t="str">
        <f t="shared" si="30"/>
        <v/>
      </c>
      <c r="EG10" s="177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>4</v>
      </c>
      <c r="EH10" s="130" t="str">
        <f t="shared" si="31"/>
        <v>A</v>
      </c>
      <c r="EI10" s="162"/>
      <c r="EJ10" s="189"/>
      <c r="EK10" s="189"/>
      <c r="EL10" s="106">
        <f>IFERROR((((COUNTIF('Elève (5ème3)'!EI11:EK12,"A"))*4)+((COUNTIF('Elève (5ème3)'!EI11:EK12,"B"))*3)+((COUNTIF('Elève (5ème3)'!EI11:EK12,"C"))*2)+((COUNTIF('Elève (5ème3)'!EI11:EK12,"D"))*1))/(COUNTA(EI11:EK12)),"")</f>
        <v>3.5</v>
      </c>
      <c r="EM10" s="107" t="str">
        <f t="shared" si="32"/>
        <v>B</v>
      </c>
      <c r="EN10" s="100"/>
      <c r="EO10" s="187"/>
      <c r="EP10" s="188"/>
      <c r="EQ10" s="106" t="str">
        <f>IFERROR((((COUNTIF('Elève (5ème3)'!EN11:EP12,"A"))*4)+((COUNTIF('Elève (5ème3)'!EN11:EP12,"B"))*3)+((COUNTIF('Elève (5ème3)'!EN11:EP12,"C"))*2)+((COUNTIF('Elève (5ème3)'!EN11:EP12,"D"))*1))/(COUNTA(EN11:EP12)),"")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(5ème3)'!ES11:EU12,"A"))*4)+((COUNTIF('Elève (5ème3)'!ES11:EU12,"B"))*3)+((COUNTIF('Elève (5ème3)'!ES11:EU12,"C"))*2)+((COUNTIF('Elève (5ème3)'!ES11:EU12,"D"))*1))/(COUNTA(ES11:EU12)),"")</f>
        <v/>
      </c>
      <c r="EW10" s="128" t="str">
        <f t="shared" si="34"/>
        <v/>
      </c>
      <c r="EX10" s="177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>3.5</v>
      </c>
      <c r="EY10" s="130" t="str">
        <f t="shared" si="35"/>
        <v>B</v>
      </c>
      <c r="EZ10" s="162"/>
      <c r="FA10" s="189"/>
      <c r="FB10" s="189"/>
      <c r="FC10" s="106">
        <f>IFERROR((((COUNTIF('Elève (5ème3)'!EZ11:FB12,"A"))*4)+((COUNTIF('Elève (5ème3)'!EZ11:FB12,"B"))*3)+((COUNTIF('Elève (5ème3)'!EZ11:FB12,"C"))*2)+((COUNTIF('Elève (5ème3)'!EZ11:FB12,"D"))*1))/(COUNTA(EZ11:FB12)),"")</f>
        <v>3.5</v>
      </c>
      <c r="FD10" s="107" t="str">
        <f t="shared" si="36"/>
        <v>B</v>
      </c>
      <c r="FE10" s="100"/>
      <c r="FF10" s="187"/>
      <c r="FG10" s="188"/>
      <c r="FH10" s="106" t="str">
        <f>IFERROR((((COUNTIF('Elève (5ème3)'!FE11:FG12,"A"))*4)+((COUNTIF('Elève (5ème3)'!FE11:FG12,"B"))*3)+((COUNTIF('Elève (5ème3)'!FE11:FG12,"C"))*2)+((COUNTIF('Elève (5ème3)'!FE11:FG12,"D"))*1))/(COUNTA(FE11:FG12)),"")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(5ème3)'!FJ11:FL12,"A"))*4)+((COUNTIF('Elève (5ème3)'!FJ11:FL12,"B"))*3)+((COUNTIF('Elève (5ème3)'!FJ11:FL12,"C"))*2)+((COUNTIF('Elève (5ème3)'!FJ11:FL12,"D"))*1))/(COUNTA(FJ11:FL12)),"")</f>
        <v/>
      </c>
      <c r="FN10" s="128" t="str">
        <f t="shared" si="38"/>
        <v/>
      </c>
      <c r="FO10" s="177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>3.5</v>
      </c>
      <c r="FP10" s="130" t="str">
        <f t="shared" si="39"/>
        <v>B</v>
      </c>
      <c r="FQ10" s="162"/>
      <c r="FR10" s="189"/>
      <c r="FS10" s="189"/>
      <c r="FT10" s="106">
        <f>IFERROR((((COUNTIF('Elève (5ème3)'!FQ11:FS12,"A"))*4)+((COUNTIF('Elève (5ème3)'!FQ11:FS12,"B"))*3)+((COUNTIF('Elève (5ème3)'!FQ11:FS12,"C"))*2)+((COUNTIF('Elève (5ème3)'!FQ11:FS12,"D"))*1))/(COUNTA(FQ11:FS12)),"")</f>
        <v>3</v>
      </c>
      <c r="FU10" s="107" t="str">
        <f t="shared" si="40"/>
        <v>B</v>
      </c>
      <c r="FV10" s="100"/>
      <c r="FW10" s="187"/>
      <c r="FX10" s="188"/>
      <c r="FY10" s="106" t="str">
        <f>IFERROR((((COUNTIF('Elève (5ème3)'!FV11:FX12,"A"))*4)+((COUNTIF('Elève (5ème3)'!FV11:FX12,"B"))*3)+((COUNTIF('Elève (5ème3)'!FV11:FX12,"C"))*2)+((COUNTIF('Elève (5ème3)'!FV11:FX12,"D"))*1))/(COUNTA(FV11:FX12)),"")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(5ème3)'!GA11:GC12,"A"))*4)+((COUNTIF('Elève (5ème3)'!GA11:GC12,"B"))*3)+((COUNTIF('Elève (5ème3)'!GA11:GC12,"C"))*2)+((COUNTIF('Elève (5ème3)'!GA11:GC12,"D"))*1))/(COUNTA(GA11:GC12)),"")</f>
        <v/>
      </c>
      <c r="GE10" s="128" t="str">
        <f t="shared" si="42"/>
        <v/>
      </c>
      <c r="GF10" s="177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>3</v>
      </c>
      <c r="GG10" s="130" t="str">
        <f t="shared" si="43"/>
        <v>B</v>
      </c>
      <c r="GH10" s="162"/>
      <c r="GI10" s="189"/>
      <c r="GJ10" s="189"/>
      <c r="GK10" s="106">
        <f>IFERROR((((COUNTIF('Elève (5ème3)'!GH11:GJ12,"A"))*4)+((COUNTIF('Elève (5ème3)'!GH11:GJ12,"B"))*3)+((COUNTIF('Elève (5ème3)'!GH11:GJ12,"C"))*2)+((COUNTIF('Elève (5ème3)'!GH11:GJ12,"D"))*1))/(COUNTA(GH11:GJ12)),"")</f>
        <v>4</v>
      </c>
      <c r="GL10" s="107" t="str">
        <f t="shared" si="44"/>
        <v>A</v>
      </c>
      <c r="GM10" s="100"/>
      <c r="GN10" s="187"/>
      <c r="GO10" s="188"/>
      <c r="GP10" s="106" t="str">
        <f>IFERROR((((COUNTIF('Elève (5ème3)'!GM11:GO12,"A"))*4)+((COUNTIF('Elève (5ème3)'!GM11:GO12,"B"))*3)+((COUNTIF('Elève (5ème3)'!GM11:GO12,"C"))*2)+((COUNTIF('Elève (5ème3)'!GM11:GO12,"D"))*1))/(COUNTA(GM11:GO12)),"")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(5ème3)'!GR11:GT12,"A"))*4)+((COUNTIF('Elève (5ème3)'!GR11:GT12,"B"))*3)+((COUNTIF('Elève (5ème3)'!GR11:GT12,"C"))*2)+((COUNTIF('Elève (5ème3)'!GR11:GT12,"D"))*1))/(COUNTA(GR11:GT12)),"")</f>
        <v/>
      </c>
      <c r="GV10" s="128" t="str">
        <f t="shared" si="46"/>
        <v/>
      </c>
      <c r="GW10" s="177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>4</v>
      </c>
      <c r="GX10" s="130" t="str">
        <f t="shared" si="47"/>
        <v>A</v>
      </c>
      <c r="GY10" s="162"/>
      <c r="GZ10" s="189"/>
      <c r="HA10" s="189"/>
      <c r="HB10" s="106">
        <f>IFERROR((((COUNTIF('Elève (5ème3)'!GY11:HA12,"A"))*4)+((COUNTIF('Elève (5ème3)'!GY11:HA12,"B"))*3)+((COUNTIF('Elève (5ème3)'!GY11:HA12,"C"))*2)+((COUNTIF('Elève (5ème3)'!GY11:HA12,"D"))*1))/(COUNTA(GY11:HA12)),"")</f>
        <v>4</v>
      </c>
      <c r="HC10" s="107" t="str">
        <f t="shared" si="48"/>
        <v>A</v>
      </c>
      <c r="HD10" s="100"/>
      <c r="HE10" s="187"/>
      <c r="HF10" s="188"/>
      <c r="HG10" s="106" t="str">
        <f>IFERROR((((COUNTIF('Elève (5ème3)'!HD11:HF12,"A"))*4)+((COUNTIF('Elève (5ème3)'!HD11:HF12,"B"))*3)+((COUNTIF('Elève (5ème3)'!HD11:HF12,"C"))*2)+((COUNTIF('Elève (5ème3)'!HD11:HF12,"D"))*1))/(COUNTA(HD11:HF12)),"")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(5ème3)'!HI11:HK12,"A"))*4)+((COUNTIF('Elève (5ème3)'!HI11:HK12,"B"))*3)+((COUNTIF('Elève (5ème3)'!HI11:HK12,"C"))*2)+((COUNTIF('Elève (5ème3)'!HI11:HK12,"D"))*1))/(COUNTA(HI11:HK12)),"")</f>
        <v/>
      </c>
      <c r="HM10" s="128" t="str">
        <f t="shared" si="50"/>
        <v/>
      </c>
      <c r="HN10" s="177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>4</v>
      </c>
      <c r="HO10" s="130" t="str">
        <f t="shared" si="51"/>
        <v>A</v>
      </c>
      <c r="HP10" s="162"/>
      <c r="HQ10" s="189"/>
      <c r="HR10" s="189"/>
      <c r="HS10" s="106">
        <f>IFERROR((((COUNTIF('Elève (5ème3)'!HP11:HR12,"A"))*4)+((COUNTIF('Elève (5ème3)'!HP11:HR12,"B"))*3)+((COUNTIF('Elève (5ème3)'!HP11:HR12,"C"))*2)+((COUNTIF('Elève (5ème3)'!HP11:HR12,"D"))*1))/(COUNTA(HP11:HR12)),"")</f>
        <v>3</v>
      </c>
      <c r="HT10" s="107" t="str">
        <f t="shared" si="52"/>
        <v>B</v>
      </c>
      <c r="HU10" s="100"/>
      <c r="HV10" s="187"/>
      <c r="HW10" s="188"/>
      <c r="HX10" s="106" t="str">
        <f>IFERROR((((COUNTIF('Elève (5ème3)'!HU11:HW12,"A"))*4)+((COUNTIF('Elève (5ème3)'!HU11:HW12,"B"))*3)+((COUNTIF('Elève (5ème3)'!HU11:HW12,"C"))*2)+((COUNTIF('Elève (5ème3)'!HU11:HW12,"D"))*1))/(COUNTA(HU11:HW12)),"")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(5ème3)'!HZ11:IB12,"A"))*4)+((COUNTIF('Elève (5ème3)'!HZ11:IB12,"B"))*3)+((COUNTIF('Elève (5ème3)'!HZ11:IB12,"C"))*2)+((COUNTIF('Elève (5ème3)'!HZ11:IB12,"D"))*1))/(COUNTA(HZ11:IB12)),"")</f>
        <v/>
      </c>
      <c r="ID10" s="128" t="str">
        <f t="shared" si="54"/>
        <v/>
      </c>
      <c r="IE10" s="177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>3</v>
      </c>
      <c r="IF10" s="130" t="str">
        <f t="shared" si="55"/>
        <v>B</v>
      </c>
      <c r="IG10" s="162"/>
      <c r="IH10" s="189"/>
      <c r="II10" s="189"/>
      <c r="IJ10" s="106">
        <f>IFERROR((((COUNTIF('Elève (5ème3)'!IG11:II12,"A"))*4)+((COUNTIF('Elève (5ème3)'!IG11:II12,"B"))*3)+((COUNTIF('Elève (5ème3)'!IG11:II12,"C"))*2)+((COUNTIF('Elève (5ème3)'!IG11:II12,"D"))*1))/(COUNTA(IG11:II12)),"")</f>
        <v>3</v>
      </c>
      <c r="IK10" s="107" t="str">
        <f t="shared" si="56"/>
        <v>B</v>
      </c>
      <c r="IL10" s="100"/>
      <c r="IM10" s="187"/>
      <c r="IN10" s="188"/>
      <c r="IO10" s="106" t="str">
        <f>IFERROR((((COUNTIF('Elève (5ème3)'!IL11:IN12,"A"))*4)+((COUNTIF('Elève (5ème3)'!IL11:IN12,"B"))*3)+((COUNTIF('Elève (5ème3)'!IL11:IN12,"C"))*2)+((COUNTIF('Elève (5ème3)'!IL11:IN12,"D"))*1))/(COUNTA(IL11:IN12)),"")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(5ème3)'!IQ11:IS12,"A"))*4)+((COUNTIF('Elève (5ème3)'!IQ11:IS12,"B"))*3)+((COUNTIF('Elève (5ème3)'!IQ11:IS12,"C"))*2)+((COUNTIF('Elève (5ème3)'!IQ11:IS12,"D"))*1))/(COUNTA(IQ11:IS12)),"")</f>
        <v/>
      </c>
      <c r="IU10" s="128" t="str">
        <f t="shared" si="58"/>
        <v/>
      </c>
      <c r="IV10" s="177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>3</v>
      </c>
      <c r="IW10" s="130" t="str">
        <f t="shared" si="59"/>
        <v>B</v>
      </c>
      <c r="IX10" s="162"/>
      <c r="IY10" s="189"/>
      <c r="IZ10" s="189"/>
      <c r="JA10" s="106">
        <f>IFERROR((((COUNTIF('Elève (5ème3)'!IX11:IZ12,"A"))*4)+((COUNTIF('Elève (5ème3)'!IX11:IZ12,"B"))*3)+((COUNTIF('Elève (5ème3)'!IX11:IZ12,"C"))*2)+((COUNTIF('Elève (5ème3)'!IX11:IZ12,"D"))*1))/(COUNTA(IX11:IZ12)),"")</f>
        <v>4</v>
      </c>
      <c r="JB10" s="107" t="str">
        <f t="shared" si="60"/>
        <v>A</v>
      </c>
      <c r="JC10" s="100"/>
      <c r="JD10" s="187"/>
      <c r="JE10" s="188"/>
      <c r="JF10" s="106" t="str">
        <f>IFERROR((((COUNTIF('Elève (5ème3)'!JC11:JE12,"A"))*4)+((COUNTIF('Elève (5ème3)'!JC11:JE12,"B"))*3)+((COUNTIF('Elève (5ème3)'!JC11:JE12,"C"))*2)+((COUNTIF('Elève (5ème3)'!JC11:JE12,"D"))*1))/(COUNTA(JC11:JE12)),"")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(5ème3)'!JH11:JJ12,"A"))*4)+((COUNTIF('Elève (5ème3)'!JH11:JJ12,"B"))*3)+((COUNTIF('Elève (5ème3)'!JH11:JJ12,"C"))*2)+((COUNTIF('Elève (5ème3)'!JH11:JJ12,"D"))*1))/(COUNTA(JH11:JJ12)),"")</f>
        <v/>
      </c>
      <c r="JL10" s="128" t="str">
        <f t="shared" si="62"/>
        <v/>
      </c>
      <c r="JM10" s="177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>4</v>
      </c>
      <c r="JN10" s="130" t="str">
        <f t="shared" si="63"/>
        <v>A</v>
      </c>
      <c r="JO10" s="162"/>
      <c r="JP10" s="189"/>
      <c r="JQ10" s="189"/>
      <c r="JR10" s="106">
        <f>IFERROR((((COUNTIF('Elève (5ème3)'!JO11:JQ12,"A"))*4)+((COUNTIF('Elève (5ème3)'!JO11:JQ12,"B"))*3)+((COUNTIF('Elève (5ème3)'!JO11:JQ12,"C"))*2)+((COUNTIF('Elève (5ème3)'!JO11:JQ12,"D"))*1))/(COUNTA(JO11:JQ12)),"")</f>
        <v>3</v>
      </c>
      <c r="JS10" s="107" t="str">
        <f t="shared" si="64"/>
        <v>B</v>
      </c>
      <c r="JT10" s="100"/>
      <c r="JU10" s="187"/>
      <c r="JV10" s="188"/>
      <c r="JW10" s="106" t="str">
        <f>IFERROR((((COUNTIF('Elève (5ème3)'!JT11:JV12,"A"))*4)+((COUNTIF('Elève (5ème3)'!JT11:JV12,"B"))*3)+((COUNTIF('Elève (5ème3)'!JT11:JV12,"C"))*2)+((COUNTIF('Elève (5ème3)'!JT11:JV12,"D"))*1))/(COUNTA(JT11:JV12)),"")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(5ème3)'!JY11:KA12,"A"))*4)+((COUNTIF('Elève (5ème3)'!JY11:KA12,"B"))*3)+((COUNTIF('Elève (5ème3)'!JY11:KA12,"C"))*2)+((COUNTIF('Elève (5ème3)'!JY11:KA12,"D"))*1))/(COUNTA(JY11:KA12)),"")</f>
        <v/>
      </c>
      <c r="KC10" s="128" t="str">
        <f t="shared" si="66"/>
        <v/>
      </c>
      <c r="KD10" s="177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>3</v>
      </c>
      <c r="KE10" s="130" t="str">
        <f t="shared" si="67"/>
        <v>B</v>
      </c>
      <c r="KF10" s="162"/>
      <c r="KG10" s="189"/>
      <c r="KH10" s="189"/>
      <c r="KI10" s="106">
        <f>IFERROR((((COUNTIF('Elève (5ème3)'!KF11:KH12,"A"))*4)+((COUNTIF('Elève (5ème3)'!KF11:KH12,"B"))*3)+((COUNTIF('Elève (5ème3)'!KF11:KH12,"C"))*2)+((COUNTIF('Elève (5ème3)'!KF11:KH12,"D"))*1))/(COUNTA(KF11:KH12)),"")</f>
        <v>4</v>
      </c>
      <c r="KJ10" s="107" t="str">
        <f t="shared" si="68"/>
        <v>A</v>
      </c>
      <c r="KK10" s="100"/>
      <c r="KL10" s="187"/>
      <c r="KM10" s="188"/>
      <c r="KN10" s="106" t="str">
        <f>IFERROR((((COUNTIF('Elève (5ème3)'!KK11:KM12,"A"))*4)+((COUNTIF('Elève (5ème3)'!KK11:KM12,"B"))*3)+((COUNTIF('Elève (5ème3)'!KK11:KM12,"C"))*2)+((COUNTIF('Elève (5ème3)'!KK11:KM12,"D"))*1))/(COUNTA(KK11:KM12)),"")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(5ème3)'!KP11:KR12,"A"))*4)+((COUNTIF('Elève (5ème3)'!KP11:KR12,"B"))*3)+((COUNTIF('Elève (5ème3)'!KP11:KR12,"C"))*2)+((COUNTIF('Elève (5ème3)'!KP11:KR12,"D"))*1))/(COUNTA(KP11:KR12)),"")</f>
        <v/>
      </c>
      <c r="KT10" s="128" t="str">
        <f t="shared" si="70"/>
        <v/>
      </c>
      <c r="KU10" s="177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>4</v>
      </c>
      <c r="KV10" s="130" t="str">
        <f t="shared" si="71"/>
        <v>A</v>
      </c>
      <c r="KW10" s="162"/>
      <c r="KX10" s="189"/>
      <c r="KY10" s="189"/>
      <c r="KZ10" s="106">
        <f>IFERROR((((COUNTIF('Elève (5ème3)'!KW11:KY12,"A"))*4)+((COUNTIF('Elève (5ème3)'!KW11:KY12,"B"))*3)+((COUNTIF('Elève (5ème3)'!KW11:KY12,"C"))*2)+((COUNTIF('Elève (5ème3)'!KW11:KY12,"D"))*1))/(COUNTA(KW11:KY12)),"")</f>
        <v>2</v>
      </c>
      <c r="LA10" s="107" t="str">
        <f t="shared" si="72"/>
        <v>C</v>
      </c>
      <c r="LB10" s="100"/>
      <c r="LC10" s="187"/>
      <c r="LD10" s="188"/>
      <c r="LE10" s="106" t="str">
        <f>IFERROR((((COUNTIF('Elève (5ème3)'!LB11:LD12,"A"))*4)+((COUNTIF('Elève (5ème3)'!LB11:LD12,"B"))*3)+((COUNTIF('Elève (5ème3)'!LB11:LD12,"C"))*2)+((COUNTIF('Elève (5ème3)'!LB11:LD12,"D"))*1))/(COUNTA(LB11:LD12)),"")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(5ème3)'!LG11:LI12,"A"))*4)+((COUNTIF('Elève (5ème3)'!LG11:LI12,"B"))*3)+((COUNTIF('Elève (5ème3)'!LG11:LI12,"C"))*2)+((COUNTIF('Elève (5ème3)'!LG11:LI12,"D"))*1))/(COUNTA(LG11:LI12)),"")</f>
        <v/>
      </c>
      <c r="LK10" s="128" t="str">
        <f t="shared" si="74"/>
        <v/>
      </c>
      <c r="LL10" s="177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>2</v>
      </c>
      <c r="LM10" s="130" t="str">
        <f t="shared" si="75"/>
        <v>C</v>
      </c>
      <c r="LN10" s="162"/>
      <c r="LO10" s="189"/>
      <c r="LP10" s="189"/>
      <c r="LQ10" s="106">
        <f>IFERROR((((COUNTIF('Elève (5ème3)'!LN11:LP12,"A"))*4)+((COUNTIF('Elève (5ème3)'!LN11:LP12,"B"))*3)+((COUNTIF('Elève (5ème3)'!LN11:LP12,"C"))*2)+((COUNTIF('Elève (5ème3)'!LN11:LP12,"D"))*1))/(COUNTA(LN11:LP12)),"")</f>
        <v>3</v>
      </c>
      <c r="LR10" s="107" t="str">
        <f t="shared" si="76"/>
        <v>B</v>
      </c>
      <c r="LS10" s="100"/>
      <c r="LT10" s="187"/>
      <c r="LU10" s="188"/>
      <c r="LV10" s="106" t="str">
        <f>IFERROR((((COUNTIF('Elève (5ème3)'!LS11:LU12,"A"))*4)+((COUNTIF('Elève (5ème3)'!LS11:LU12,"B"))*3)+((COUNTIF('Elève (5ème3)'!LS11:LU12,"C"))*2)+((COUNTIF('Elève (5ème3)'!LS11:LU12,"D"))*1))/(COUNTA(LS11:LU12)),"")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(5ème3)'!LX11:LZ12,"A"))*4)+((COUNTIF('Elève (5ème3)'!LX11:LZ12,"B"))*3)+((COUNTIF('Elève (5ème3)'!LX11:LZ12,"C"))*2)+((COUNTIF('Elève (5ème3)'!LX11:LZ12,"D"))*1))/(COUNTA(LX11:LZ12)),"")</f>
        <v/>
      </c>
      <c r="MB10" s="128" t="str">
        <f t="shared" si="78"/>
        <v/>
      </c>
      <c r="MC10" s="177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>3</v>
      </c>
      <c r="MD10" s="130" t="str">
        <f t="shared" si="79"/>
        <v>B</v>
      </c>
      <c r="ME10" s="162"/>
      <c r="MF10" s="189"/>
      <c r="MG10" s="189"/>
      <c r="MH10" s="106">
        <f>IFERROR((((COUNTIF('Elève (5ème3)'!ME11:MG12,"A"))*4)+((COUNTIF('Elève (5ème3)'!ME11:MG12,"B"))*3)+((COUNTIF('Elève (5ème3)'!ME11:MG12,"C"))*2)+((COUNTIF('Elève (5ème3)'!ME11:MG12,"D"))*1))/(COUNTA(ME11:MG12)),"")</f>
        <v>3.5</v>
      </c>
      <c r="MI10" s="107" t="str">
        <f t="shared" si="80"/>
        <v>B</v>
      </c>
      <c r="MJ10" s="100"/>
      <c r="MK10" s="187"/>
      <c r="ML10" s="188"/>
      <c r="MM10" s="106" t="str">
        <f>IFERROR((((COUNTIF('Elève (5ème3)'!MJ11:ML12,"A"))*4)+((COUNTIF('Elève (5ème3)'!MJ11:ML12,"B"))*3)+((COUNTIF('Elève (5ème3)'!MJ11:ML12,"C"))*2)+((COUNTIF('Elève (5ème3)'!MJ11:ML12,"D"))*1))/(COUNTA(MJ11:ML12)),"")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(5ème3)'!MO11:MQ12,"A"))*4)+((COUNTIF('Elève (5ème3)'!MO11:MQ12,"B"))*3)+((COUNTIF('Elève (5ème3)'!MO11:MQ12,"C"))*2)+((COUNTIF('Elève (5ème3)'!MO11:MQ12,"D"))*1))/(COUNTA(MO11:MQ12)),"")</f>
        <v/>
      </c>
      <c r="MS10" s="128" t="str">
        <f t="shared" si="82"/>
        <v/>
      </c>
      <c r="MT10" s="177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>3.5</v>
      </c>
      <c r="MU10" s="130" t="str">
        <f t="shared" si="83"/>
        <v>B</v>
      </c>
      <c r="MV10" s="162"/>
      <c r="MW10" s="189"/>
      <c r="MX10" s="189"/>
      <c r="MY10" s="106">
        <f>IFERROR((((COUNTIF('Elève (5ème3)'!MV11:MX12,"A"))*4)+((COUNTIF('Elève (5ème3)'!MV11:MX12,"B"))*3)+((COUNTIF('Elève (5ème3)'!MV11:MX12,"C"))*2)+((COUNTIF('Elève (5ème3)'!MV11:MX12,"D"))*1))/(COUNTA(MV11:MX12)),"")</f>
        <v>4</v>
      </c>
      <c r="MZ10" s="107" t="str">
        <f t="shared" si="84"/>
        <v>A</v>
      </c>
      <c r="NA10" s="100"/>
      <c r="NB10" s="187"/>
      <c r="NC10" s="188"/>
      <c r="ND10" s="106" t="str">
        <f>IFERROR((((COUNTIF('Elève (5ème3)'!NA11:NC12,"A"))*4)+((COUNTIF('Elève (5ème3)'!NA11:NC12,"B"))*3)+((COUNTIF('Elève (5ème3)'!NA11:NC12,"C"))*2)+((COUNTIF('Elève (5ème3)'!NA11:NC12,"D"))*1))/(COUNTA(NA11:NC12)),"")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(5ème3)'!NF11:NH12,"A"))*4)+((COUNTIF('Elève (5ème3)'!NF11:NH12,"B"))*3)+((COUNTIF('Elève (5ème3)'!NF11:NH12,"C"))*2)+((COUNTIF('Elève (5ème3)'!NF11:NH12,"D"))*1))/(COUNTA(NF11:NH12)),"")</f>
        <v/>
      </c>
      <c r="NJ10" s="128" t="str">
        <f t="shared" si="86"/>
        <v/>
      </c>
      <c r="NK10" s="177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>4</v>
      </c>
      <c r="NL10" s="130" t="str">
        <f t="shared" si="87"/>
        <v>A</v>
      </c>
      <c r="NM10" s="162"/>
      <c r="NN10" s="189"/>
      <c r="NO10" s="189"/>
      <c r="NP10" s="106">
        <f>IFERROR((((COUNTIF('Elève (5ème3)'!NM11:NO12,"A"))*4)+((COUNTIF('Elève (5ème3)'!NM11:NO12,"B"))*3)+((COUNTIF('Elève (5ème3)'!NM11:NO12,"C"))*2)+((COUNTIF('Elève (5ème3)'!NM11:NO12,"D"))*1))/(COUNTA(NM11:NO12)),"")</f>
        <v>4</v>
      </c>
      <c r="NQ10" s="107" t="str">
        <f t="shared" si="88"/>
        <v>A</v>
      </c>
      <c r="NR10" s="100"/>
      <c r="NS10" s="187"/>
      <c r="NT10" s="188"/>
      <c r="NU10" s="106" t="str">
        <f>IFERROR((((COUNTIF('Elève (5ème3)'!NR11:NT12,"A"))*4)+((COUNTIF('Elève (5ème3)'!NR11:NT12,"B"))*3)+((COUNTIF('Elève (5ème3)'!NR11:NT12,"C"))*2)+((COUNTIF('Elève (5ème3)'!NR11:NT12,"D"))*1))/(COUNTA(NR11:NT12)),"")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(5ème3)'!NW11:NY12,"A"))*4)+((COUNTIF('Elève (5ème3)'!NW11:NY12,"B"))*3)+((COUNTIF('Elève (5ème3)'!NW11:NY12,"C"))*2)+((COUNTIF('Elève (5ème3)'!NW11:NY12,"D"))*1))/(COUNTA(NW11:NY12)),"")</f>
        <v/>
      </c>
      <c r="OA10" s="128" t="str">
        <f t="shared" si="90"/>
        <v/>
      </c>
      <c r="OB10" s="177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>4</v>
      </c>
      <c r="OC10" s="130" t="str">
        <f t="shared" si="91"/>
        <v>A</v>
      </c>
      <c r="OD10" s="162"/>
      <c r="OE10" s="189"/>
      <c r="OF10" s="189"/>
      <c r="OG10" s="106">
        <f>IFERROR((((COUNTIF('Elève (5ème3)'!OD11:OF12,"A"))*4)+((COUNTIF('Elève (5ème3)'!OD11:OF12,"B"))*3)+((COUNTIF('Elève (5ème3)'!OD11:OF12,"C"))*2)+((COUNTIF('Elève (5ème3)'!OD11:OF12,"D"))*1))/(COUNTA(OD11:OF12)),"")</f>
        <v>3</v>
      </c>
      <c r="OH10" s="107" t="str">
        <f t="shared" si="92"/>
        <v>B</v>
      </c>
      <c r="OI10" s="100"/>
      <c r="OJ10" s="187"/>
      <c r="OK10" s="188"/>
      <c r="OL10" s="106" t="str">
        <f>IFERROR((((COUNTIF('Elève (5ème3)'!OI11:OK12,"A"))*4)+((COUNTIF('Elève (5ème3)'!OI11:OK12,"B"))*3)+((COUNTIF('Elève (5ème3)'!OI11:OK12,"C"))*2)+((COUNTIF('Elève (5ème3)'!OI11:OK12,"D"))*1))/(COUNTA(OI11:OK12)),"")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(5ème3)'!ON11:OP12,"A"))*4)+((COUNTIF('Elève (5ème3)'!ON11:OP12,"B"))*3)+((COUNTIF('Elève (5ème3)'!ON11:OP12,"C"))*2)+((COUNTIF('Elève (5ème3)'!ON11:OP12,"D"))*1))/(COUNTA(ON11:OP12)),"")</f>
        <v/>
      </c>
      <c r="OR10" s="128" t="str">
        <f t="shared" si="94"/>
        <v/>
      </c>
      <c r="OS10" s="177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>3</v>
      </c>
      <c r="OT10" s="130" t="str">
        <f t="shared" si="95"/>
        <v>B</v>
      </c>
      <c r="OU10" s="162"/>
      <c r="OV10" s="189"/>
      <c r="OW10" s="189"/>
      <c r="OX10" s="106">
        <f>IFERROR((((COUNTIF('Elève (5ème3)'!OU11:OW12,"A"))*4)+((COUNTIF('Elève (5ème3)'!OU11:OW12,"B"))*3)+((COUNTIF('Elève (5ème3)'!OU11:OW12,"C"))*2)+((COUNTIF('Elève (5ème3)'!OU11:OW12,"D"))*1))/(COUNTA(OU11:OW12)),"")</f>
        <v>3.5</v>
      </c>
      <c r="OY10" s="107" t="str">
        <f t="shared" si="96"/>
        <v>B</v>
      </c>
      <c r="OZ10" s="100"/>
      <c r="PA10" s="187"/>
      <c r="PB10" s="188"/>
      <c r="PC10" s="106" t="str">
        <f>IFERROR((((COUNTIF('Elève (5ème3)'!OZ11:PB12,"A"))*4)+((COUNTIF('Elève (5ème3)'!OZ11:PB12,"B"))*3)+((COUNTIF('Elève (5ème3)'!OZ11:PB12,"C"))*2)+((COUNTIF('Elève (5ème3)'!OZ11:PB12,"D"))*1))/(COUNTA(OZ11:PB12)),"")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(5ème3)'!PE11:PG12,"A"))*4)+((COUNTIF('Elève (5ème3)'!PE11:PG12,"B"))*3)+((COUNTIF('Elève (5ème3)'!PE11:PG12,"C"))*2)+((COUNTIF('Elève (5ème3)'!PE11:PG12,"D"))*1))/(COUNTA(PE11:PG12)),"")</f>
        <v/>
      </c>
      <c r="PI10" s="128" t="str">
        <f t="shared" si="98"/>
        <v/>
      </c>
      <c r="PJ10" s="177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>3.5</v>
      </c>
      <c r="PK10" s="130" t="str">
        <f t="shared" si="99"/>
        <v>B</v>
      </c>
      <c r="PL10" s="162"/>
      <c r="PM10" s="189"/>
      <c r="PN10" s="189"/>
      <c r="PO10" s="106">
        <f>IFERROR((((COUNTIF('Elève (5ème3)'!PL11:PN12,"A"))*4)+((COUNTIF('Elève (5ème3)'!PL11:PN12,"B"))*3)+((COUNTIF('Elève (5ème3)'!PL11:PN12,"C"))*2)+((COUNTIF('Elève (5ème3)'!PL11:PN12,"D"))*1))/(COUNTA(PL11:PN12)),"")</f>
        <v>4</v>
      </c>
      <c r="PP10" s="107" t="str">
        <f t="shared" si="100"/>
        <v>A</v>
      </c>
      <c r="PQ10" s="100"/>
      <c r="PR10" s="187"/>
      <c r="PS10" s="188"/>
      <c r="PT10" s="106" t="str">
        <f>IFERROR((((COUNTIF('Elève (5ème3)'!PQ11:PS12,"A"))*4)+((COUNTIF('Elève (5ème3)'!PQ11:PS12,"B"))*3)+((COUNTIF('Elève (5ème3)'!PQ11:PS12,"C"))*2)+((COUNTIF('Elève (5ème3)'!PQ11:PS12,"D"))*1))/(COUNTA(PQ11:PS12)),"")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(5ème3)'!PV11:PX12,"A"))*4)+((COUNTIF('Elève (5ème3)'!PV11:PX12,"B"))*3)+((COUNTIF('Elève (5ème3)'!PV11:PX12,"C"))*2)+((COUNTIF('Elève (5ème3)'!PV11:PX12,"D"))*1))/(COUNTA(PV11:PX12)),"")</f>
        <v/>
      </c>
      <c r="PZ10" s="128" t="str">
        <f t="shared" si="102"/>
        <v/>
      </c>
      <c r="QA10" s="177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>4</v>
      </c>
      <c r="QB10" s="130" t="str">
        <f t="shared" si="103"/>
        <v>A</v>
      </c>
      <c r="QC10" s="162"/>
      <c r="QD10" s="189"/>
      <c r="QE10" s="189"/>
      <c r="QF10" s="106">
        <f>IFERROR((((COUNTIF('Elève (5ème3)'!QC11:QE12,"A"))*4)+((COUNTIF('Elève (5ème3)'!QC11:QE12,"B"))*3)+((COUNTIF('Elève (5ème3)'!QC11:QE12,"C"))*2)+((COUNTIF('Elève (5ème3)'!QC11:QE12,"D"))*1))/(COUNTA(QC11:QE12)),"")</f>
        <v>4</v>
      </c>
      <c r="QG10" s="107" t="str">
        <f t="shared" si="104"/>
        <v>A</v>
      </c>
      <c r="QH10" s="100"/>
      <c r="QI10" s="187"/>
      <c r="QJ10" s="188"/>
      <c r="QK10" s="106" t="str">
        <f>IFERROR((((COUNTIF('Elève (5ème3)'!QH11:QJ12,"A"))*4)+((COUNTIF('Elève (5ème3)'!QH11:QJ12,"B"))*3)+((COUNTIF('Elève (5ème3)'!QH11:QJ12,"C"))*2)+((COUNTIF('Elève (5ème3)'!QH11:QJ12,"D"))*1))/(COUNTA(QH11:QJ12)),"")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(5ème3)'!QM11:QO12,"A"))*4)+((COUNTIF('Elève (5ème3)'!QM11:QO12,"B"))*3)+((COUNTIF('Elève (5ème3)'!QM11:QO12,"C"))*2)+((COUNTIF('Elève (5ème3)'!QM11:QO12,"D"))*1))/(COUNTA(QM11:QO12)),"")</f>
        <v/>
      </c>
      <c r="QQ10" s="128" t="str">
        <f t="shared" si="106"/>
        <v/>
      </c>
      <c r="QR10" s="177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>4</v>
      </c>
      <c r="QS10" s="130" t="str">
        <f t="shared" si="107"/>
        <v>A</v>
      </c>
      <c r="QT10" s="162"/>
      <c r="QU10" s="189"/>
      <c r="QV10" s="189"/>
      <c r="QW10" s="106">
        <f>IFERROR((((COUNTIF('Elève (5ème3)'!QT11:QV12,"A"))*4)+((COUNTIF('Elève (5ème3)'!QT11:QV12,"B"))*3)+((COUNTIF('Elève (5ème3)'!QT11:QV12,"C"))*2)+((COUNTIF('Elève (5ème3)'!QT11:QV12,"D"))*1))/(COUNTA(QT11:QV12)),"")</f>
        <v>3.5</v>
      </c>
      <c r="QX10" s="107" t="str">
        <f t="shared" si="108"/>
        <v>B</v>
      </c>
      <c r="QY10" s="100"/>
      <c r="QZ10" s="187"/>
      <c r="RA10" s="188"/>
      <c r="RB10" s="106" t="str">
        <f>IFERROR((((COUNTIF('Elève (5ème3)'!QY11:RA12,"A"))*4)+((COUNTIF('Elève (5ème3)'!QY11:RA12,"B"))*3)+((COUNTIF('Elève (5ème3)'!QY11:RA12,"C"))*2)+((COUNTIF('Elève (5ème3)'!QY11:RA12,"D"))*1))/(COUNTA(QY11:RA12)),"")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(5ème3)'!RD11:RF12,"A"))*4)+((COUNTIF('Elève (5ème3)'!RD11:RF12,"B"))*3)+((COUNTIF('Elève (5ème3)'!RD11:RF12,"C"))*2)+((COUNTIF('Elève (5ème3)'!RD11:RF12,"D"))*1))/(COUNTA(RD11:RF12)),"")</f>
        <v/>
      </c>
      <c r="RH10" s="128" t="str">
        <f t="shared" si="110"/>
        <v/>
      </c>
      <c r="RI10" s="177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>3.5</v>
      </c>
      <c r="RJ10" s="130" t="str">
        <f t="shared" si="111"/>
        <v>B</v>
      </c>
      <c r="RK10" s="162"/>
      <c r="RL10" s="189"/>
      <c r="RM10" s="189"/>
      <c r="RN10" s="106" t="str">
        <f>IFERROR((((COUNTIF('Elève (5ème3)'!RK11:RM12,"A"))*4)+((COUNTIF('Elève (5ème3)'!RK11:RM12,"B"))*3)+((COUNTIF('Elève (5ème3)'!RK11:RM12,"C"))*2)+((COUNTIF('Elève (5ème3)'!RK11:RM12,"D"))*1))/(COUNTA(RK11:RM12)),"")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(5ème3)'!RP11:RR12,"A"))*4)+((COUNTIF('Elève (5ème3)'!RP11:RR12,"B"))*3)+((COUNTIF('Elève (5ème3)'!RP11:RR12,"C"))*2)+((COUNTIF('Elève (5ème3)'!RP11:RR12,"D"))*1))/(COUNTA(RP11:RR12)),"")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(5ème3)'!RU11:RW12,"A"))*4)+((COUNTIF('Elève (5ème3)'!RU11:RW12,"B"))*3)+((COUNTIF('Elève (5ème3)'!RU11:RW12,"C"))*2)+((COUNTIF('Elève (5ème3)'!RU11:RW12,"D"))*1))/(COUNTA(RU11:RW12)),"")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(5ème3)'!SB11:SD12,"A"))*4)+((COUNTIF('Elève (5ème3)'!SB11:SD12,"B"))*3)+((COUNTIF('Elève (5ème3)'!SB11:SD12,"C"))*2)+((COUNTIF('Elève (5ème3)'!SB11:SD12,"D"))*1))/(COUNTA(SB11:SD12)),"")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(5ème3)'!SG11:SI12,"A"))*4)+((COUNTIF('Elève (5ème3)'!SG11:SI12,"B"))*3)+((COUNTIF('Elève (5ème3)'!SG11:SI12,"C"))*2)+((COUNTIF('Elève (5ème3)'!SG11:SI12,"D"))*1))/(COUNTA(SG11:SI12)),"")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(5ème3)'!SL11:SN12,"A"))*4)+((COUNTIF('Elève (5ème3)'!SL11:SN12,"B"))*3)+((COUNTIF('Elève (5ème3)'!SL11:SN12,"C"))*2)+((COUNTIF('Elève (5ème3)'!SL11:SN12,"D"))*1))/(COUNTA(SL11:SN12)),"")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1" t="s">
        <v>44</v>
      </c>
      <c r="B11" s="222"/>
      <c r="C11" s="156" t="s">
        <v>28</v>
      </c>
      <c r="D11" s="157"/>
      <c r="E11" s="158"/>
      <c r="F11" s="108">
        <f>IFERROR((((COUNTIF('Elève (5ème3)'!C11:E11,"A"))*4)+((COUNTIF('Elève (5ème3)'!C11:E11,"B"))*3)+((COUNTIF('Elève (5ème3)'!C11:E11,"C"))*2)+((COUNTIF('Elève (5ème3)'!C11:E11,"D"))*1))/(COUNTA(C11:E11)),"")</f>
        <v>3</v>
      </c>
      <c r="G11" s="109" t="str">
        <f t="shared" si="0"/>
        <v>B</v>
      </c>
      <c r="H11" s="81"/>
      <c r="I11" s="82"/>
      <c r="J11" s="83"/>
      <c r="K11" s="108" t="str">
        <f>IFERROR((((COUNTIF('Elève (5ème3)'!H11:J11,"A"))*4)+((COUNTIF('Elève (5ème3)'!H11:J11,"B"))*3)+((COUNTIF('Elève (5ème3)'!H11:J11,"C"))*2)+((COUNTIF('Elève (5ème3)'!H11:J11,"D"))*1))/(COUNTA(H11:J11)),"")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(5ème3)'!M11:O11,"A"))*4)+((COUNTIF('Elève (5ème3)'!M11:O11,"B"))*3)+((COUNTIF('Elève (5ème3)'!M11:O11,"C"))*2)+((COUNTIF('Elève (5ème3)'!M11:O11,"D"))*1))/(COUNTA(M11:O11)),"")</f>
        <v/>
      </c>
      <c r="Q11" s="109" t="str">
        <f t="shared" si="2"/>
        <v/>
      </c>
      <c r="R11" s="178">
        <f>IF(COUNT(F11,K11,P11)=0,"",SUM(F11,K11,P11)/COUNT(F11,K11,P11))</f>
        <v>3</v>
      </c>
      <c r="S11" s="131" t="str">
        <f t="shared" si="3"/>
        <v>B</v>
      </c>
      <c r="T11" s="156" t="s">
        <v>27</v>
      </c>
      <c r="U11" s="157"/>
      <c r="V11" s="158"/>
      <c r="W11" s="108">
        <f>IFERROR((((COUNTIF('Elève (5ème3)'!T11:V11,"A"))*4)+((COUNTIF('Elève (5ème3)'!T11:V11,"B"))*3)+((COUNTIF('Elève (5ème3)'!T11:V11,"C"))*2)+((COUNTIF('Elève (5ème3)'!T11:V11,"D"))*1))/(COUNTA(T11:V11)),"")</f>
        <v>4</v>
      </c>
      <c r="X11" s="109" t="str">
        <f t="shared" si="4"/>
        <v>A</v>
      </c>
      <c r="Y11" s="81"/>
      <c r="Z11" s="82"/>
      <c r="AA11" s="83"/>
      <c r="AB11" s="108" t="str">
        <f>IFERROR((((COUNTIF('Elève (5ème3)'!Y11:AA11,"A"))*4)+((COUNTIF('Elève (5ème3)'!Y11:AA11,"B"))*3)+((COUNTIF('Elève (5ème3)'!Y11:AA11,"C"))*2)+((COUNTIF('Elève (5ème3)'!Y11:AA11,"D"))*1))/(COUNTA(Y11:AA11)),"")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(5ème3)'!AD11:AF11,"A"))*4)+((COUNTIF('Elève (5ème3)'!AD11:AF11,"B"))*3)+((COUNTIF('Elève (5ème3)'!AD11:AF11,"C"))*2)+((COUNTIF('Elève (5ème3)'!AD11:AF11,"D"))*1))/(COUNTA(AD11:AF11)),"")</f>
        <v/>
      </c>
      <c r="AH11" s="109" t="str">
        <f t="shared" si="6"/>
        <v/>
      </c>
      <c r="AI11" s="178">
        <f>IF(COUNT(W11,AB11,AG11)=0,"",SUM(W11,AB11,AG11)/COUNT(W11,AB11,AG11))</f>
        <v>4</v>
      </c>
      <c r="AJ11" s="131" t="str">
        <f t="shared" si="7"/>
        <v>A</v>
      </c>
      <c r="AK11" s="156" t="s">
        <v>27</v>
      </c>
      <c r="AL11" s="157"/>
      <c r="AM11" s="158"/>
      <c r="AN11" s="108">
        <f>IFERROR((((COUNTIF('Elève (5ème3)'!AK11:AM11,"A"))*4)+((COUNTIF('Elève (5ème3)'!AK11:AM11,"B"))*3)+((COUNTIF('Elève (5ème3)'!AK11:AM11,"C"))*2)+((COUNTIF('Elève (5ème3)'!AK11:AM11,"D"))*1))/(COUNTA(AK11:AM11)),"")</f>
        <v>4</v>
      </c>
      <c r="AO11" s="109" t="str">
        <f t="shared" si="8"/>
        <v>A</v>
      </c>
      <c r="AP11" s="81"/>
      <c r="AQ11" s="82"/>
      <c r="AR11" s="83"/>
      <c r="AS11" s="108" t="str">
        <f>IFERROR((((COUNTIF('Elève (5ème3)'!AP11:AR11,"A"))*4)+((COUNTIF('Elève (5ème3)'!AP11:AR11,"B"))*3)+((COUNTIF('Elève (5ème3)'!AP11:AR11,"C"))*2)+((COUNTIF('Elève (5ème3)'!AP11:AR11,"D"))*1))/(COUNTA(AP11:AR11)),"")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(5ème3)'!AU11:AW11,"A"))*4)+((COUNTIF('Elève (5ème3)'!AU11:AW11,"B"))*3)+((COUNTIF('Elève (5ème3)'!AU11:AW11,"C"))*2)+((COUNTIF('Elève (5ème3)'!AU11:AW11,"D"))*1))/(COUNTA(AU11:AW11)),"")</f>
        <v/>
      </c>
      <c r="AY11" s="109" t="str">
        <f t="shared" si="10"/>
        <v/>
      </c>
      <c r="AZ11" s="178">
        <f>IF(COUNT(AN11,AS11,AX11)=0,"",SUM(AN11,AS11,AX11)/COUNT(AN11,AS11,AX11))</f>
        <v>4</v>
      </c>
      <c r="BA11" s="131" t="str">
        <f t="shared" si="11"/>
        <v>A</v>
      </c>
      <c r="BB11" s="156" t="s">
        <v>27</v>
      </c>
      <c r="BC11" s="157"/>
      <c r="BD11" s="158"/>
      <c r="BE11" s="108">
        <f>IFERROR((((COUNTIF('Elève (5ème3)'!BB11:BD11,"A"))*4)+((COUNTIF('Elève (5ème3)'!BB11:BD11,"B"))*3)+((COUNTIF('Elève (5ème3)'!BB11:BD11,"C"))*2)+((COUNTIF('Elève (5ème3)'!BB11:BD11,"D"))*1))/(COUNTA(BB11:BD11)),"")</f>
        <v>4</v>
      </c>
      <c r="BF11" s="109" t="str">
        <f t="shared" si="12"/>
        <v>A</v>
      </c>
      <c r="BG11" s="81"/>
      <c r="BH11" s="82"/>
      <c r="BI11" s="83"/>
      <c r="BJ11" s="108" t="str">
        <f>IFERROR((((COUNTIF('Elève (5ème3)'!BG11:BI11,"A"))*4)+((COUNTIF('Elève (5ème3)'!BG11:BI11,"B"))*3)+((COUNTIF('Elève (5ème3)'!BG11:BI11,"C"))*2)+((COUNTIF('Elève (5ème3)'!BG11:BI11,"D"))*1))/(COUNTA(BG11:BI11)),"")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(5ème3)'!BL11:BN11,"A"))*4)+((COUNTIF('Elève (5ème3)'!BL11:BN11,"B"))*3)+((COUNTIF('Elève (5ème3)'!BL11:BN11,"C"))*2)+((COUNTIF('Elève (5ème3)'!BL11:BN11,"D"))*1))/(COUNTA(BL11:BN11)),"")</f>
        <v/>
      </c>
      <c r="BP11" s="109" t="str">
        <f t="shared" si="14"/>
        <v/>
      </c>
      <c r="BQ11" s="178">
        <f>IF(COUNT(BE11,BJ11,BO11)=0,"",SUM(BE11,BJ11,BO11)/COUNT(BE11,BJ11,BO11))</f>
        <v>4</v>
      </c>
      <c r="BR11" s="131" t="str">
        <f t="shared" si="15"/>
        <v>A</v>
      </c>
      <c r="BS11" s="156" t="s">
        <v>28</v>
      </c>
      <c r="BT11" s="157"/>
      <c r="BU11" s="158"/>
      <c r="BV11" s="108">
        <f>IFERROR((((COUNTIF('Elève (5ème3)'!BS11:BU11,"A"))*4)+((COUNTIF('Elève (5ème3)'!BS11:BU11,"B"))*3)+((COUNTIF('Elève (5ème3)'!BS11:BU11,"C"))*2)+((COUNTIF('Elève (5ème3)'!BS11:BU11,"D"))*1))/(COUNTA(BS11:BU11)),"")</f>
        <v>3</v>
      </c>
      <c r="BW11" s="109" t="str">
        <f t="shared" si="16"/>
        <v>B</v>
      </c>
      <c r="BX11" s="81"/>
      <c r="BY11" s="82"/>
      <c r="BZ11" s="83"/>
      <c r="CA11" s="108" t="str">
        <f>IFERROR((((COUNTIF('Elève (5ème3)'!BX11:BZ11,"A"))*4)+((COUNTIF('Elève (5ème3)'!BX11:BZ11,"B"))*3)+((COUNTIF('Elève (5ème3)'!BX11:BZ11,"C"))*2)+((COUNTIF('Elève (5ème3)'!BX11:BZ11,"D"))*1))/(COUNTA(BX11:BZ11)),"")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(5ème3)'!CC11:CE11,"A"))*4)+((COUNTIF('Elève (5ème3)'!CC11:CE11,"B"))*3)+((COUNTIF('Elève (5ème3)'!CC11:CE11,"C"))*2)+((COUNTIF('Elève (5ème3)'!CC11:CE11,"D"))*1))/(COUNTA(CC11:CE11)),"")</f>
        <v/>
      </c>
      <c r="CG11" s="109" t="str">
        <f t="shared" si="18"/>
        <v/>
      </c>
      <c r="CH11" s="178">
        <f>IF(COUNT(BV11,CA11,CF11)=0,"",SUM(BV11,CA11,CF11)/COUNT(BV11,CA11,CF11))</f>
        <v>3</v>
      </c>
      <c r="CI11" s="131" t="str">
        <f t="shared" si="19"/>
        <v>B</v>
      </c>
      <c r="CJ11" s="156" t="s">
        <v>27</v>
      </c>
      <c r="CK11" s="157"/>
      <c r="CL11" s="158"/>
      <c r="CM11" s="108">
        <f>IFERROR((((COUNTIF('Elève (5ème3)'!CJ11:CL11,"A"))*4)+((COUNTIF('Elève (5ème3)'!CJ11:CL11,"B"))*3)+((COUNTIF('Elève (5ème3)'!CJ11:CL11,"C"))*2)+((COUNTIF('Elève (5ème3)'!CJ11:CL11,"D"))*1))/(COUNTA(CJ11:CL11)),"")</f>
        <v>4</v>
      </c>
      <c r="CN11" s="109" t="str">
        <f t="shared" si="20"/>
        <v>A</v>
      </c>
      <c r="CO11" s="81"/>
      <c r="CP11" s="82"/>
      <c r="CQ11" s="83"/>
      <c r="CR11" s="108" t="str">
        <f>IFERROR((((COUNTIF('Elève (5ème3)'!CO11:CQ11,"A"))*4)+((COUNTIF('Elève (5ème3)'!CO11:CQ11,"B"))*3)+((COUNTIF('Elève (5ème3)'!CO11:CQ11,"C"))*2)+((COUNTIF('Elève (5ème3)'!CO11:CQ11,"D"))*1))/(COUNTA(CO11:CQ11)),"")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(5ème3)'!CT11:CV11,"A"))*4)+((COUNTIF('Elève (5ème3)'!CT11:CV11,"B"))*3)+((COUNTIF('Elève (5ème3)'!CT11:CV11,"C"))*2)+((COUNTIF('Elève (5ème3)'!CT11:CV11,"D"))*1))/(COUNTA(CT11:CV11)),"")</f>
        <v/>
      </c>
      <c r="CX11" s="109" t="str">
        <f t="shared" si="22"/>
        <v/>
      </c>
      <c r="CY11" s="178">
        <f>IF(COUNT(CM11,CR11,CW11)=0,"",SUM(CM11,CR11,CW11)/COUNT(CM11,CR11,CW11))</f>
        <v>4</v>
      </c>
      <c r="CZ11" s="131" t="str">
        <f t="shared" si="23"/>
        <v>A</v>
      </c>
      <c r="DA11" s="156" t="s">
        <v>28</v>
      </c>
      <c r="DB11" s="157"/>
      <c r="DC11" s="158"/>
      <c r="DD11" s="108">
        <f>IFERROR((((COUNTIF('Elève (5ème3)'!DA11:DC11,"A"))*4)+((COUNTIF('Elève (5ème3)'!DA11:DC11,"B"))*3)+((COUNTIF('Elève (5ème3)'!DA11:DC11,"C"))*2)+((COUNTIF('Elève (5ème3)'!DA11:DC11,"D"))*1))/(COUNTA(DA11:DC11)),"")</f>
        <v>3</v>
      </c>
      <c r="DE11" s="109" t="str">
        <f t="shared" si="24"/>
        <v>B</v>
      </c>
      <c r="DF11" s="81"/>
      <c r="DG11" s="82"/>
      <c r="DH11" s="83"/>
      <c r="DI11" s="108" t="str">
        <f>IFERROR((((COUNTIF('Elève (5ème3)'!DF11:DH11,"A"))*4)+((COUNTIF('Elève (5ème3)'!DF11:DH11,"B"))*3)+((COUNTIF('Elève (5ème3)'!DF11:DH11,"C"))*2)+((COUNTIF('Elève (5ème3)'!DF11:DH11,"D"))*1))/(COUNTA(DF11:DH11)),"")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(5ème3)'!DK11:DM11,"A"))*4)+((COUNTIF('Elève (5ème3)'!DK11:DM11,"B"))*3)+((COUNTIF('Elève (5ème3)'!DK11:DM11,"C"))*2)+((COUNTIF('Elève (5ème3)'!DK11:DM11,"D"))*1))/(COUNTA(DK11:DM11)),"")</f>
        <v/>
      </c>
      <c r="DO11" s="109" t="str">
        <f t="shared" si="26"/>
        <v/>
      </c>
      <c r="DP11" s="178">
        <f>IF(COUNT(DD11,DI11,DN11)=0,"",SUM(DD11,DI11,DN11)/COUNT(DD11,DI11,DN11))</f>
        <v>3</v>
      </c>
      <c r="DQ11" s="131" t="str">
        <f t="shared" si="27"/>
        <v>B</v>
      </c>
      <c r="DR11" s="156" t="s">
        <v>27</v>
      </c>
      <c r="DS11" s="157"/>
      <c r="DT11" s="158"/>
      <c r="DU11" s="108">
        <f>IFERROR((((COUNTIF('Elève (5ème3)'!DR11:DT11,"A"))*4)+((COUNTIF('Elève (5ème3)'!DR11:DT11,"B"))*3)+((COUNTIF('Elève (5ème3)'!DR11:DT11,"C"))*2)+((COUNTIF('Elève (5ème3)'!DR11:DT11,"D"))*1))/(COUNTA(DR11:DT11)),"")</f>
        <v>4</v>
      </c>
      <c r="DV11" s="109" t="str">
        <f t="shared" si="28"/>
        <v>A</v>
      </c>
      <c r="DW11" s="81"/>
      <c r="DX11" s="82"/>
      <c r="DY11" s="83"/>
      <c r="DZ11" s="108" t="str">
        <f>IFERROR((((COUNTIF('Elève (5ème3)'!DW11:DY11,"A"))*4)+((COUNTIF('Elève (5ème3)'!DW11:DY11,"B"))*3)+((COUNTIF('Elève (5ème3)'!DW11:DY11,"C"))*2)+((COUNTIF('Elève (5ème3)'!DW11:DY11,"D"))*1))/(COUNTA(DW11:DY11)),"")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(5ème3)'!EB11:ED11,"A"))*4)+((COUNTIF('Elève (5ème3)'!EB11:ED11,"B"))*3)+((COUNTIF('Elève (5ème3)'!EB11:ED11,"C"))*2)+((COUNTIF('Elève (5ème3)'!EB11:ED11,"D"))*1))/(COUNTA(EB11:ED11)),"")</f>
        <v/>
      </c>
      <c r="EF11" s="109" t="str">
        <f t="shared" si="30"/>
        <v/>
      </c>
      <c r="EG11" s="178">
        <f>IF(COUNT(DU11,DZ11,EE11)=0,"",SUM(DU11,DZ11,EE11)/COUNT(DU11,DZ11,EE11))</f>
        <v>4</v>
      </c>
      <c r="EH11" s="131" t="str">
        <f t="shared" si="31"/>
        <v>A</v>
      </c>
      <c r="EI11" s="156" t="s">
        <v>28</v>
      </c>
      <c r="EJ11" s="157"/>
      <c r="EK11" s="158"/>
      <c r="EL11" s="108">
        <f>IFERROR((((COUNTIF('Elève (5ème3)'!EI11:EK11,"A"))*4)+((COUNTIF('Elève (5ème3)'!EI11:EK11,"B"))*3)+((COUNTIF('Elève (5ème3)'!EI11:EK11,"C"))*2)+((COUNTIF('Elève (5ème3)'!EI11:EK11,"D"))*1))/(COUNTA(EI11:EK11)),"")</f>
        <v>3</v>
      </c>
      <c r="EM11" s="109" t="str">
        <f t="shared" si="32"/>
        <v>B</v>
      </c>
      <c r="EN11" s="81"/>
      <c r="EO11" s="82"/>
      <c r="EP11" s="83"/>
      <c r="EQ11" s="108" t="str">
        <f>IFERROR((((COUNTIF('Elève (5ème3)'!EN11:EP11,"A"))*4)+((COUNTIF('Elève (5ème3)'!EN11:EP11,"B"))*3)+((COUNTIF('Elève (5ème3)'!EN11:EP11,"C"))*2)+((COUNTIF('Elève (5ème3)'!EN11:EP11,"D"))*1))/(COUNTA(EN11:EP11)),"")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(5ème3)'!ES11:EU11,"A"))*4)+((COUNTIF('Elève (5ème3)'!ES11:EU11,"B"))*3)+((COUNTIF('Elève (5ème3)'!ES11:EU11,"C"))*2)+((COUNTIF('Elève (5ème3)'!ES11:EU11,"D"))*1))/(COUNTA(ES11:EU11)),"")</f>
        <v/>
      </c>
      <c r="EW11" s="109" t="str">
        <f t="shared" si="34"/>
        <v/>
      </c>
      <c r="EX11" s="178">
        <f>IF(COUNT(EL11,EQ11,EV11)=0,"",SUM(EL11,EQ11,EV11)/COUNT(EL11,EQ11,EV11))</f>
        <v>3</v>
      </c>
      <c r="EY11" s="131" t="str">
        <f t="shared" si="35"/>
        <v>B</v>
      </c>
      <c r="EZ11" s="156" t="s">
        <v>28</v>
      </c>
      <c r="FA11" s="157"/>
      <c r="FB11" s="158"/>
      <c r="FC11" s="108">
        <f>IFERROR((((COUNTIF('Elève (5ème3)'!EZ11:FB11,"A"))*4)+((COUNTIF('Elève (5ème3)'!EZ11:FB11,"B"))*3)+((COUNTIF('Elève (5ème3)'!EZ11:FB11,"C"))*2)+((COUNTIF('Elève (5ème3)'!EZ11:FB11,"D"))*1))/(COUNTA(EZ11:FB11)),"")</f>
        <v>3</v>
      </c>
      <c r="FD11" s="109" t="str">
        <f t="shared" si="36"/>
        <v>B</v>
      </c>
      <c r="FE11" s="81"/>
      <c r="FF11" s="82"/>
      <c r="FG11" s="83"/>
      <c r="FH11" s="108" t="str">
        <f>IFERROR((((COUNTIF('Elève (5ème3)'!FE11:FG11,"A"))*4)+((COUNTIF('Elève (5ème3)'!FE11:FG11,"B"))*3)+((COUNTIF('Elève (5ème3)'!FE11:FG11,"C"))*2)+((COUNTIF('Elève (5ème3)'!FE11:FG11,"D"))*1))/(COUNTA(FE11:FG11)),"")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(5ème3)'!FJ11:FL11,"A"))*4)+((COUNTIF('Elève (5ème3)'!FJ11:FL11,"B"))*3)+((COUNTIF('Elève (5ème3)'!FJ11:FL11,"C"))*2)+((COUNTIF('Elève (5ème3)'!FJ11:FL11,"D"))*1))/(COUNTA(FJ11:FL11)),"")</f>
        <v/>
      </c>
      <c r="FN11" s="109" t="str">
        <f t="shared" si="38"/>
        <v/>
      </c>
      <c r="FO11" s="178">
        <f>IF(COUNT(FC11,FH11,FM11)=0,"",SUM(FC11,FH11,FM11)/COUNT(FC11,FH11,FM11))</f>
        <v>3</v>
      </c>
      <c r="FP11" s="131" t="str">
        <f t="shared" si="39"/>
        <v>B</v>
      </c>
      <c r="FQ11" s="156" t="s">
        <v>28</v>
      </c>
      <c r="FR11" s="157"/>
      <c r="FS11" s="158"/>
      <c r="FT11" s="108">
        <f>IFERROR((((COUNTIF('Elève (5ème3)'!FQ11:FS11,"A"))*4)+((COUNTIF('Elève (5ème3)'!FQ11:FS11,"B"))*3)+((COUNTIF('Elève (5ème3)'!FQ11:FS11,"C"))*2)+((COUNTIF('Elève (5ème3)'!FQ11:FS11,"D"))*1))/(COUNTA(FQ11:FS11)),"")</f>
        <v>3</v>
      </c>
      <c r="FU11" s="109" t="str">
        <f t="shared" si="40"/>
        <v>B</v>
      </c>
      <c r="FV11" s="81"/>
      <c r="FW11" s="82"/>
      <c r="FX11" s="83"/>
      <c r="FY11" s="108" t="str">
        <f>IFERROR((((COUNTIF('Elève (5ème3)'!FV11:FX11,"A"))*4)+((COUNTIF('Elève (5ème3)'!FV11:FX11,"B"))*3)+((COUNTIF('Elève (5ème3)'!FV11:FX11,"C"))*2)+((COUNTIF('Elève (5ème3)'!FV11:FX11,"D"))*1))/(COUNTA(FV11:FX11)),"")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(5ème3)'!GA11:GC11,"A"))*4)+((COUNTIF('Elève (5ème3)'!GA11:GC11,"B"))*3)+((COUNTIF('Elève (5ème3)'!GA11:GC11,"C"))*2)+((COUNTIF('Elève (5ème3)'!GA11:GC11,"D"))*1))/(COUNTA(GA11:GC11)),"")</f>
        <v/>
      </c>
      <c r="GE11" s="109" t="str">
        <f t="shared" si="42"/>
        <v/>
      </c>
      <c r="GF11" s="178">
        <f>IF(COUNT(FT11,FY11,GD11)=0,"",SUM(FT11,FY11,GD11)/COUNT(FT11,FY11,GD11))</f>
        <v>3</v>
      </c>
      <c r="GG11" s="131" t="str">
        <f t="shared" si="43"/>
        <v>B</v>
      </c>
      <c r="GH11" s="156" t="s">
        <v>27</v>
      </c>
      <c r="GI11" s="157"/>
      <c r="GJ11" s="158"/>
      <c r="GK11" s="108">
        <f>IFERROR((((COUNTIF('Elève (5ème3)'!GH11:GJ11,"A"))*4)+((COUNTIF('Elève (5ème3)'!GH11:GJ11,"B"))*3)+((COUNTIF('Elève (5ème3)'!GH11:GJ11,"C"))*2)+((COUNTIF('Elève (5ème3)'!GH11:GJ11,"D"))*1))/(COUNTA(GH11:GJ11)),"")</f>
        <v>4</v>
      </c>
      <c r="GL11" s="109" t="str">
        <f t="shared" si="44"/>
        <v>A</v>
      </c>
      <c r="GM11" s="81"/>
      <c r="GN11" s="82"/>
      <c r="GO11" s="83"/>
      <c r="GP11" s="108" t="str">
        <f>IFERROR((((COUNTIF('Elève (5ème3)'!GM11:GO11,"A"))*4)+((COUNTIF('Elève (5ème3)'!GM11:GO11,"B"))*3)+((COUNTIF('Elève (5ème3)'!GM11:GO11,"C"))*2)+((COUNTIF('Elève (5ème3)'!GM11:GO11,"D"))*1))/(COUNTA(GM11:GO11)),"")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(5ème3)'!GR11:GT11,"A"))*4)+((COUNTIF('Elève (5ème3)'!GR11:GT11,"B"))*3)+((COUNTIF('Elève (5ème3)'!GR11:GT11,"C"))*2)+((COUNTIF('Elève (5ème3)'!GR11:GT11,"D"))*1))/(COUNTA(GR11:GT11)),"")</f>
        <v/>
      </c>
      <c r="GV11" s="109" t="str">
        <f t="shared" si="46"/>
        <v/>
      </c>
      <c r="GW11" s="178">
        <f>IF(COUNT(GK11,GP11,GU11)=0,"",SUM(GK11,GP11,GU11)/COUNT(GK11,GP11,GU11))</f>
        <v>4</v>
      </c>
      <c r="GX11" s="131" t="str">
        <f t="shared" si="47"/>
        <v>A</v>
      </c>
      <c r="GY11" s="156" t="s">
        <v>27</v>
      </c>
      <c r="GZ11" s="157"/>
      <c r="HA11" s="158"/>
      <c r="HB11" s="108">
        <f>IFERROR((((COUNTIF('Elève (5ème3)'!GY11:HA11,"A"))*4)+((COUNTIF('Elève (5ème3)'!GY11:HA11,"B"))*3)+((COUNTIF('Elève (5ème3)'!GY11:HA11,"C"))*2)+((COUNTIF('Elève (5ème3)'!GY11:HA11,"D"))*1))/(COUNTA(GY11:HA11)),"")</f>
        <v>4</v>
      </c>
      <c r="HC11" s="109" t="str">
        <f t="shared" si="48"/>
        <v>A</v>
      </c>
      <c r="HD11" s="81"/>
      <c r="HE11" s="82"/>
      <c r="HF11" s="83"/>
      <c r="HG11" s="108" t="str">
        <f>IFERROR((((COUNTIF('Elève (5ème3)'!HD11:HF11,"A"))*4)+((COUNTIF('Elève (5ème3)'!HD11:HF11,"B"))*3)+((COUNTIF('Elève (5ème3)'!HD11:HF11,"C"))*2)+((COUNTIF('Elève (5ème3)'!HD11:HF11,"D"))*1))/(COUNTA(HD11:HF11)),"")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(5ème3)'!HI11:HK11,"A"))*4)+((COUNTIF('Elève (5ème3)'!HI11:HK11,"B"))*3)+((COUNTIF('Elève (5ème3)'!HI11:HK11,"C"))*2)+((COUNTIF('Elève (5ème3)'!HI11:HK11,"D"))*1))/(COUNTA(HI11:HK11)),"")</f>
        <v/>
      </c>
      <c r="HM11" s="109" t="str">
        <f t="shared" si="50"/>
        <v/>
      </c>
      <c r="HN11" s="178">
        <f>IF(COUNT(HB11,HG11,HL11)=0,"",SUM(HB11,HG11,HL11)/COUNT(HB11,HG11,HL11))</f>
        <v>4</v>
      </c>
      <c r="HO11" s="131" t="str">
        <f t="shared" si="51"/>
        <v>A</v>
      </c>
      <c r="HP11" s="156" t="s">
        <v>28</v>
      </c>
      <c r="HQ11" s="157"/>
      <c r="HR11" s="158"/>
      <c r="HS11" s="108">
        <f>IFERROR((((COUNTIF('Elève (5ème3)'!HP11:HR11,"A"))*4)+((COUNTIF('Elève (5ème3)'!HP11:HR11,"B"))*3)+((COUNTIF('Elève (5ème3)'!HP11:HR11,"C"))*2)+((COUNTIF('Elève (5ème3)'!HP11:HR11,"D"))*1))/(COUNTA(HP11:HR11)),"")</f>
        <v>3</v>
      </c>
      <c r="HT11" s="109" t="str">
        <f t="shared" si="52"/>
        <v>B</v>
      </c>
      <c r="HU11" s="81"/>
      <c r="HV11" s="82"/>
      <c r="HW11" s="83"/>
      <c r="HX11" s="108" t="str">
        <f>IFERROR((((COUNTIF('Elève (5ème3)'!HU11:HW11,"A"))*4)+((COUNTIF('Elève (5ème3)'!HU11:HW11,"B"))*3)+((COUNTIF('Elève (5ème3)'!HU11:HW11,"C"))*2)+((COUNTIF('Elève (5ème3)'!HU11:HW11,"D"))*1))/(COUNTA(HU11:HW11)),"")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(5ème3)'!HZ11:IB11,"A"))*4)+((COUNTIF('Elève (5ème3)'!HZ11:IB11,"B"))*3)+((COUNTIF('Elève (5ème3)'!HZ11:IB11,"C"))*2)+((COUNTIF('Elève (5ème3)'!HZ11:IB11,"D"))*1))/(COUNTA(HZ11:IB11)),"")</f>
        <v/>
      </c>
      <c r="ID11" s="109" t="str">
        <f t="shared" si="54"/>
        <v/>
      </c>
      <c r="IE11" s="178">
        <f>IF(COUNT(HS11,HX11,IC11)=0,"",SUM(HS11,HX11,IC11)/COUNT(HS11,HX11,IC11))</f>
        <v>3</v>
      </c>
      <c r="IF11" s="131" t="str">
        <f t="shared" si="55"/>
        <v>B</v>
      </c>
      <c r="IG11" s="156" t="s">
        <v>28</v>
      </c>
      <c r="IH11" s="157"/>
      <c r="II11" s="158"/>
      <c r="IJ11" s="108">
        <f>IFERROR((((COUNTIF('Elève (5ème3)'!IG11:II11,"A"))*4)+((COUNTIF('Elève (5ème3)'!IG11:II11,"B"))*3)+((COUNTIF('Elève (5ème3)'!IG11:II11,"C"))*2)+((COUNTIF('Elève (5ème3)'!IG11:II11,"D"))*1))/(COUNTA(IG11:II11)),"")</f>
        <v>3</v>
      </c>
      <c r="IK11" s="109" t="str">
        <f t="shared" si="56"/>
        <v>B</v>
      </c>
      <c r="IL11" s="81"/>
      <c r="IM11" s="82"/>
      <c r="IN11" s="83"/>
      <c r="IO11" s="108" t="str">
        <f>IFERROR((((COUNTIF('Elève (5ème3)'!IL11:IN11,"A"))*4)+((COUNTIF('Elève (5ème3)'!IL11:IN11,"B"))*3)+((COUNTIF('Elève (5ème3)'!IL11:IN11,"C"))*2)+((COUNTIF('Elève (5ème3)'!IL11:IN11,"D"))*1))/(COUNTA(IL11:IN11)),"")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(5ème3)'!IQ11:IS11,"A"))*4)+((COUNTIF('Elève (5ème3)'!IQ11:IS11,"B"))*3)+((COUNTIF('Elève (5ème3)'!IQ11:IS11,"C"))*2)+((COUNTIF('Elève (5ème3)'!IQ11:IS11,"D"))*1))/(COUNTA(IQ11:IS11)),"")</f>
        <v/>
      </c>
      <c r="IU11" s="109" t="str">
        <f t="shared" si="58"/>
        <v/>
      </c>
      <c r="IV11" s="178">
        <f>IF(COUNT(IJ11,IO11,IT11)=0,"",SUM(IJ11,IO11,IT11)/COUNT(IJ11,IO11,IT11))</f>
        <v>3</v>
      </c>
      <c r="IW11" s="131" t="str">
        <f t="shared" si="59"/>
        <v>B</v>
      </c>
      <c r="IX11" s="156" t="s">
        <v>27</v>
      </c>
      <c r="IY11" s="157"/>
      <c r="IZ11" s="158"/>
      <c r="JA11" s="108">
        <f>IFERROR((((COUNTIF('Elève (5ème3)'!IX11:IZ11,"A"))*4)+((COUNTIF('Elève (5ème3)'!IX11:IZ11,"B"))*3)+((COUNTIF('Elève (5ème3)'!IX11:IZ11,"C"))*2)+((COUNTIF('Elève (5ème3)'!IX11:IZ11,"D"))*1))/(COUNTA(IX11:IZ11)),"")</f>
        <v>4</v>
      </c>
      <c r="JB11" s="109" t="str">
        <f t="shared" si="60"/>
        <v>A</v>
      </c>
      <c r="JC11" s="81"/>
      <c r="JD11" s="82"/>
      <c r="JE11" s="83"/>
      <c r="JF11" s="108" t="str">
        <f>IFERROR((((COUNTIF('Elève (5ème3)'!JC11:JE11,"A"))*4)+((COUNTIF('Elève (5ème3)'!JC11:JE11,"B"))*3)+((COUNTIF('Elève (5ème3)'!JC11:JE11,"C"))*2)+((COUNTIF('Elève (5ème3)'!JC11:JE11,"D"))*1))/(COUNTA(JC11:JE11)),"")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(5ème3)'!JH11:JJ11,"A"))*4)+((COUNTIF('Elève (5ème3)'!JH11:JJ11,"B"))*3)+((COUNTIF('Elève (5ème3)'!JH11:JJ11,"C"))*2)+((COUNTIF('Elève (5ème3)'!JH11:JJ11,"D"))*1))/(COUNTA(JH11:JJ11)),"")</f>
        <v/>
      </c>
      <c r="JL11" s="109" t="str">
        <f t="shared" si="62"/>
        <v/>
      </c>
      <c r="JM11" s="178">
        <f>IF(COUNT(JA11,JF11,JK11)=0,"",SUM(JA11,JF11,JK11)/COUNT(JA11,JF11,JK11))</f>
        <v>4</v>
      </c>
      <c r="JN11" s="131" t="str">
        <f t="shared" si="63"/>
        <v>A</v>
      </c>
      <c r="JO11" s="156" t="s">
        <v>28</v>
      </c>
      <c r="JP11" s="157"/>
      <c r="JQ11" s="158"/>
      <c r="JR11" s="108">
        <f>IFERROR((((COUNTIF('Elève (5ème3)'!JO11:JQ11,"A"))*4)+((COUNTIF('Elève (5ème3)'!JO11:JQ11,"B"))*3)+((COUNTIF('Elève (5ème3)'!JO11:JQ11,"C"))*2)+((COUNTIF('Elève (5ème3)'!JO11:JQ11,"D"))*1))/(COUNTA(JO11:JQ11)),"")</f>
        <v>3</v>
      </c>
      <c r="JS11" s="109" t="str">
        <f t="shared" si="64"/>
        <v>B</v>
      </c>
      <c r="JT11" s="81"/>
      <c r="JU11" s="82"/>
      <c r="JV11" s="83"/>
      <c r="JW11" s="108" t="str">
        <f>IFERROR((((COUNTIF('Elève (5ème3)'!JT11:JV11,"A"))*4)+((COUNTIF('Elève (5ème3)'!JT11:JV11,"B"))*3)+((COUNTIF('Elève (5ème3)'!JT11:JV11,"C"))*2)+((COUNTIF('Elève (5ème3)'!JT11:JV11,"D"))*1))/(COUNTA(JT11:JV11)),"")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(5ème3)'!JY11:KA11,"A"))*4)+((COUNTIF('Elève (5ème3)'!JY11:KA11,"B"))*3)+((COUNTIF('Elève (5ème3)'!JY11:KA11,"C"))*2)+((COUNTIF('Elève (5ème3)'!JY11:KA11,"D"))*1))/(COUNTA(JY11:KA11)),"")</f>
        <v/>
      </c>
      <c r="KC11" s="109" t="str">
        <f t="shared" si="66"/>
        <v/>
      </c>
      <c r="KD11" s="178">
        <f>IF(COUNT(JR11,JW11,KB11)=0,"",SUM(JR11,JW11,KB11)/COUNT(JR11,JW11,KB11))</f>
        <v>3</v>
      </c>
      <c r="KE11" s="131" t="str">
        <f t="shared" si="67"/>
        <v>B</v>
      </c>
      <c r="KF11" s="156" t="s">
        <v>27</v>
      </c>
      <c r="KG11" s="157"/>
      <c r="KH11" s="158"/>
      <c r="KI11" s="108">
        <f>IFERROR((((COUNTIF('Elève (5ème3)'!KF11:KH11,"A"))*4)+((COUNTIF('Elève (5ème3)'!KF11:KH11,"B"))*3)+((COUNTIF('Elève (5ème3)'!KF11:KH11,"C"))*2)+((COUNTIF('Elève (5ème3)'!KF11:KH11,"D"))*1))/(COUNTA(KF11:KH11)),"")</f>
        <v>4</v>
      </c>
      <c r="KJ11" s="109" t="str">
        <f t="shared" si="68"/>
        <v>A</v>
      </c>
      <c r="KK11" s="81"/>
      <c r="KL11" s="82"/>
      <c r="KM11" s="83"/>
      <c r="KN11" s="108" t="str">
        <f>IFERROR((((COUNTIF('Elève (5ème3)'!KK11:KM11,"A"))*4)+((COUNTIF('Elève (5ème3)'!KK11:KM11,"B"))*3)+((COUNTIF('Elève (5ème3)'!KK11:KM11,"C"))*2)+((COUNTIF('Elève (5ème3)'!KK11:KM11,"D"))*1))/(COUNTA(KK11:KM11)),"")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(5ème3)'!KP11:KR11,"A"))*4)+((COUNTIF('Elève (5ème3)'!KP11:KR11,"B"))*3)+((COUNTIF('Elève (5ème3)'!KP11:KR11,"C"))*2)+((COUNTIF('Elève (5ème3)'!KP11:KR11,"D"))*1))/(COUNTA(KP11:KR11)),"")</f>
        <v/>
      </c>
      <c r="KT11" s="109" t="str">
        <f t="shared" si="70"/>
        <v/>
      </c>
      <c r="KU11" s="178">
        <f>IF(COUNT(KI11,KN11,KS11)=0,"",SUM(KI11,KN11,KS11)/COUNT(KI11,KN11,KS11))</f>
        <v>4</v>
      </c>
      <c r="KV11" s="131" t="str">
        <f t="shared" si="71"/>
        <v>A</v>
      </c>
      <c r="KW11" s="156" t="s">
        <v>29</v>
      </c>
      <c r="KX11" s="157"/>
      <c r="KY11" s="158"/>
      <c r="KZ11" s="108">
        <f>IFERROR((((COUNTIF('Elève (5ème3)'!KW11:KY11,"A"))*4)+((COUNTIF('Elève (5ème3)'!KW11:KY11,"B"))*3)+((COUNTIF('Elève (5ème3)'!KW11:KY11,"C"))*2)+((COUNTIF('Elève (5ème3)'!KW11:KY11,"D"))*1))/(COUNTA(KW11:KY11)),"")</f>
        <v>2</v>
      </c>
      <c r="LA11" s="109" t="str">
        <f t="shared" si="72"/>
        <v>C</v>
      </c>
      <c r="LB11" s="81"/>
      <c r="LC11" s="82"/>
      <c r="LD11" s="83"/>
      <c r="LE11" s="108" t="str">
        <f>IFERROR((((COUNTIF('Elève (5ème3)'!LB11:LD11,"A"))*4)+((COUNTIF('Elève (5ème3)'!LB11:LD11,"B"))*3)+((COUNTIF('Elève (5ème3)'!LB11:LD11,"C"))*2)+((COUNTIF('Elève (5ème3)'!LB11:LD11,"D"))*1))/(COUNTA(LB11:LD11)),"")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(5ème3)'!LG11:LI11,"A"))*4)+((COUNTIF('Elève (5ème3)'!LG11:LI11,"B"))*3)+((COUNTIF('Elève (5ème3)'!LG11:LI11,"C"))*2)+((COUNTIF('Elève (5ème3)'!LG11:LI11,"D"))*1))/(COUNTA(LG11:LI11)),"")</f>
        <v/>
      </c>
      <c r="LK11" s="109" t="str">
        <f t="shared" si="74"/>
        <v/>
      </c>
      <c r="LL11" s="178">
        <f>IF(COUNT(KZ11,LE11,LJ11)=0,"",SUM(KZ11,LE11,LJ11)/COUNT(KZ11,LE11,LJ11))</f>
        <v>2</v>
      </c>
      <c r="LM11" s="131" t="str">
        <f t="shared" si="75"/>
        <v>C</v>
      </c>
      <c r="LN11" s="156" t="s">
        <v>28</v>
      </c>
      <c r="LO11" s="157"/>
      <c r="LP11" s="158"/>
      <c r="LQ11" s="108">
        <f>IFERROR((((COUNTIF('Elève (5ème3)'!LN11:LP11,"A"))*4)+((COUNTIF('Elève (5ème3)'!LN11:LP11,"B"))*3)+((COUNTIF('Elève (5ème3)'!LN11:LP11,"C"))*2)+((COUNTIF('Elève (5ème3)'!LN11:LP11,"D"))*1))/(COUNTA(LN11:LP11)),"")</f>
        <v>3</v>
      </c>
      <c r="LR11" s="109" t="str">
        <f t="shared" si="76"/>
        <v>B</v>
      </c>
      <c r="LS11" s="81"/>
      <c r="LT11" s="82"/>
      <c r="LU11" s="83"/>
      <c r="LV11" s="108" t="str">
        <f>IFERROR((((COUNTIF('Elève (5ème3)'!LS11:LU11,"A"))*4)+((COUNTIF('Elève (5ème3)'!LS11:LU11,"B"))*3)+((COUNTIF('Elève (5ème3)'!LS11:LU11,"C"))*2)+((COUNTIF('Elève (5ème3)'!LS11:LU11,"D"))*1))/(COUNTA(LS11:LU11)),"")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(5ème3)'!LX11:LZ11,"A"))*4)+((COUNTIF('Elève (5ème3)'!LX11:LZ11,"B"))*3)+((COUNTIF('Elève (5ème3)'!LX11:LZ11,"C"))*2)+((COUNTIF('Elève (5ème3)'!LX11:LZ11,"D"))*1))/(COUNTA(LX11:LZ11)),"")</f>
        <v/>
      </c>
      <c r="MB11" s="109" t="str">
        <f t="shared" si="78"/>
        <v/>
      </c>
      <c r="MC11" s="178">
        <f>IF(COUNT(LQ11,LV11,MA11)=0,"",SUM(LQ11,LV11,MA11)/COUNT(LQ11,LV11,MA11))</f>
        <v>3</v>
      </c>
      <c r="MD11" s="131" t="str">
        <f t="shared" si="79"/>
        <v>B</v>
      </c>
      <c r="ME11" s="156" t="s">
        <v>27</v>
      </c>
      <c r="MF11" s="157"/>
      <c r="MG11" s="158"/>
      <c r="MH11" s="108">
        <f>IFERROR((((COUNTIF('Elève (5ème3)'!ME11:MG11,"A"))*4)+((COUNTIF('Elève (5ème3)'!ME11:MG11,"B"))*3)+((COUNTIF('Elève (5ème3)'!ME11:MG11,"C"))*2)+((COUNTIF('Elève (5ème3)'!ME11:MG11,"D"))*1))/(COUNTA(ME11:MG11)),"")</f>
        <v>4</v>
      </c>
      <c r="MI11" s="109" t="str">
        <f t="shared" si="80"/>
        <v>A</v>
      </c>
      <c r="MJ11" s="81"/>
      <c r="MK11" s="82"/>
      <c r="ML11" s="83"/>
      <c r="MM11" s="108" t="str">
        <f>IFERROR((((COUNTIF('Elève (5ème3)'!MJ11:ML11,"A"))*4)+((COUNTIF('Elève (5ème3)'!MJ11:ML11,"B"))*3)+((COUNTIF('Elève (5ème3)'!MJ11:ML11,"C"))*2)+((COUNTIF('Elève (5ème3)'!MJ11:ML11,"D"))*1))/(COUNTA(MJ11:ML11)),"")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(5ème3)'!MO11:MQ11,"A"))*4)+((COUNTIF('Elève (5ème3)'!MO11:MQ11,"B"))*3)+((COUNTIF('Elève (5ème3)'!MO11:MQ11,"C"))*2)+((COUNTIF('Elève (5ème3)'!MO11:MQ11,"D"))*1))/(COUNTA(MO11:MQ11)),"")</f>
        <v/>
      </c>
      <c r="MS11" s="109" t="str">
        <f t="shared" si="82"/>
        <v/>
      </c>
      <c r="MT11" s="178">
        <f>IF(COUNT(MH11,MM11,MR11)=0,"",SUM(MH11,MM11,MR11)/COUNT(MH11,MM11,MR11))</f>
        <v>4</v>
      </c>
      <c r="MU11" s="131" t="str">
        <f t="shared" si="83"/>
        <v>A</v>
      </c>
      <c r="MV11" s="156" t="s">
        <v>27</v>
      </c>
      <c r="MW11" s="157"/>
      <c r="MX11" s="158"/>
      <c r="MY11" s="108">
        <f>IFERROR((((COUNTIF('Elève (5ème3)'!MV11:MX11,"A"))*4)+((COUNTIF('Elève (5ème3)'!MV11:MX11,"B"))*3)+((COUNTIF('Elève (5ème3)'!MV11:MX11,"C"))*2)+((COUNTIF('Elève (5ème3)'!MV11:MX11,"D"))*1))/(COUNTA(MV11:MX11)),"")</f>
        <v>4</v>
      </c>
      <c r="MZ11" s="109" t="str">
        <f t="shared" si="84"/>
        <v>A</v>
      </c>
      <c r="NA11" s="81"/>
      <c r="NB11" s="82"/>
      <c r="NC11" s="83"/>
      <c r="ND11" s="108" t="str">
        <f>IFERROR((((COUNTIF('Elève (5ème3)'!NA11:NC11,"A"))*4)+((COUNTIF('Elève (5ème3)'!NA11:NC11,"B"))*3)+((COUNTIF('Elève (5ème3)'!NA11:NC11,"C"))*2)+((COUNTIF('Elève (5ème3)'!NA11:NC11,"D"))*1))/(COUNTA(NA11:NC11)),"")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(5ème3)'!NF11:NH11,"A"))*4)+((COUNTIF('Elève (5ème3)'!NF11:NH11,"B"))*3)+((COUNTIF('Elève (5ème3)'!NF11:NH11,"C"))*2)+((COUNTIF('Elève (5ème3)'!NF11:NH11,"D"))*1))/(COUNTA(NF11:NH11)),"")</f>
        <v/>
      </c>
      <c r="NJ11" s="109" t="str">
        <f t="shared" si="86"/>
        <v/>
      </c>
      <c r="NK11" s="178">
        <f>IF(COUNT(MY11,ND11,NI11)=0,"",SUM(MY11,ND11,NI11)/COUNT(MY11,ND11,NI11))</f>
        <v>4</v>
      </c>
      <c r="NL11" s="131" t="str">
        <f t="shared" si="87"/>
        <v>A</v>
      </c>
      <c r="NM11" s="156" t="s">
        <v>27</v>
      </c>
      <c r="NN11" s="157"/>
      <c r="NO11" s="158"/>
      <c r="NP11" s="108">
        <f>IFERROR((((COUNTIF('Elève (5ème3)'!NM11:NO11,"A"))*4)+((COUNTIF('Elève (5ème3)'!NM11:NO11,"B"))*3)+((COUNTIF('Elève (5ème3)'!NM11:NO11,"C"))*2)+((COUNTIF('Elève (5ème3)'!NM11:NO11,"D"))*1))/(COUNTA(NM11:NO11)),"")</f>
        <v>4</v>
      </c>
      <c r="NQ11" s="109" t="str">
        <f t="shared" si="88"/>
        <v>A</v>
      </c>
      <c r="NR11" s="81"/>
      <c r="NS11" s="82"/>
      <c r="NT11" s="83"/>
      <c r="NU11" s="108" t="str">
        <f>IFERROR((((COUNTIF('Elève (5ème3)'!NR11:NT11,"A"))*4)+((COUNTIF('Elève (5ème3)'!NR11:NT11,"B"))*3)+((COUNTIF('Elève (5ème3)'!NR11:NT11,"C"))*2)+((COUNTIF('Elève (5ème3)'!NR11:NT11,"D"))*1))/(COUNTA(NR11:NT11)),"")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(5ème3)'!NW11:NY11,"A"))*4)+((COUNTIF('Elève (5ème3)'!NW11:NY11,"B"))*3)+((COUNTIF('Elève (5ème3)'!NW11:NY11,"C"))*2)+((COUNTIF('Elève (5ème3)'!NW11:NY11,"D"))*1))/(COUNTA(NW11:NY11)),"")</f>
        <v/>
      </c>
      <c r="OA11" s="109" t="str">
        <f t="shared" si="90"/>
        <v/>
      </c>
      <c r="OB11" s="178">
        <f>IF(COUNT(NP11,NU11,NZ11)=0,"",SUM(NP11,NU11,NZ11)/COUNT(NP11,NU11,NZ11))</f>
        <v>4</v>
      </c>
      <c r="OC11" s="131" t="str">
        <f t="shared" si="91"/>
        <v>A</v>
      </c>
      <c r="OD11" s="156" t="s">
        <v>28</v>
      </c>
      <c r="OE11" s="157"/>
      <c r="OF11" s="158"/>
      <c r="OG11" s="108">
        <f>IFERROR((((COUNTIF('Elève (5ème3)'!OD11:OF11,"A"))*4)+((COUNTIF('Elève (5ème3)'!OD11:OF11,"B"))*3)+((COUNTIF('Elève (5ème3)'!OD11:OF11,"C"))*2)+((COUNTIF('Elève (5ème3)'!OD11:OF11,"D"))*1))/(COUNTA(OD11:OF11)),"")</f>
        <v>3</v>
      </c>
      <c r="OH11" s="109" t="str">
        <f t="shared" si="92"/>
        <v>B</v>
      </c>
      <c r="OI11" s="81"/>
      <c r="OJ11" s="82"/>
      <c r="OK11" s="83"/>
      <c r="OL11" s="108" t="str">
        <f>IFERROR((((COUNTIF('Elève (5ème3)'!OI11:OK11,"A"))*4)+((COUNTIF('Elève (5ème3)'!OI11:OK11,"B"))*3)+((COUNTIF('Elève (5ème3)'!OI11:OK11,"C"))*2)+((COUNTIF('Elève (5ème3)'!OI11:OK11,"D"))*1))/(COUNTA(OI11:OK11)),"")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(5ème3)'!ON11:OP11,"A"))*4)+((COUNTIF('Elève (5ème3)'!ON11:OP11,"B"))*3)+((COUNTIF('Elève (5ème3)'!ON11:OP11,"C"))*2)+((COUNTIF('Elève (5ème3)'!ON11:OP11,"D"))*1))/(COUNTA(ON11:OP11)),"")</f>
        <v/>
      </c>
      <c r="OR11" s="109" t="str">
        <f t="shared" si="94"/>
        <v/>
      </c>
      <c r="OS11" s="178">
        <f>IF(COUNT(OG11,OL11,OQ11)=0,"",SUM(OG11,OL11,OQ11)/COUNT(OG11,OL11,OQ11))</f>
        <v>3</v>
      </c>
      <c r="OT11" s="131" t="str">
        <f t="shared" si="95"/>
        <v>B</v>
      </c>
      <c r="OU11" s="156" t="s">
        <v>28</v>
      </c>
      <c r="OV11" s="157"/>
      <c r="OW11" s="158"/>
      <c r="OX11" s="108">
        <f>IFERROR((((COUNTIF('Elève (5ème3)'!OU11:OW11,"A"))*4)+((COUNTIF('Elève (5ème3)'!OU11:OW11,"B"))*3)+((COUNTIF('Elève (5ème3)'!OU11:OW11,"C"))*2)+((COUNTIF('Elève (5ème3)'!OU11:OW11,"D"))*1))/(COUNTA(OU11:OW11)),"")</f>
        <v>3</v>
      </c>
      <c r="OY11" s="109" t="str">
        <f t="shared" si="96"/>
        <v>B</v>
      </c>
      <c r="OZ11" s="81"/>
      <c r="PA11" s="82"/>
      <c r="PB11" s="83"/>
      <c r="PC11" s="108" t="str">
        <f>IFERROR((((COUNTIF('Elève (5ème3)'!OZ11:PB11,"A"))*4)+((COUNTIF('Elève (5ème3)'!OZ11:PB11,"B"))*3)+((COUNTIF('Elève (5ème3)'!OZ11:PB11,"C"))*2)+((COUNTIF('Elève (5ème3)'!OZ11:PB11,"D"))*1))/(COUNTA(OZ11:PB11)),"")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(5ème3)'!PE11:PG11,"A"))*4)+((COUNTIF('Elève (5ème3)'!PE11:PG11,"B"))*3)+((COUNTIF('Elève (5ème3)'!PE11:PG11,"C"))*2)+((COUNTIF('Elève (5ème3)'!PE11:PG11,"D"))*1))/(COUNTA(PE11:PG11)),"")</f>
        <v/>
      </c>
      <c r="PI11" s="109" t="str">
        <f t="shared" si="98"/>
        <v/>
      </c>
      <c r="PJ11" s="178">
        <f>IF(COUNT(OX11,PC11,PH11)=0,"",SUM(OX11,PC11,PH11)/COUNT(OX11,PC11,PH11))</f>
        <v>3</v>
      </c>
      <c r="PK11" s="131" t="str">
        <f t="shared" si="99"/>
        <v>B</v>
      </c>
      <c r="PL11" s="156" t="s">
        <v>27</v>
      </c>
      <c r="PM11" s="157"/>
      <c r="PN11" s="158"/>
      <c r="PO11" s="108">
        <f>IFERROR((((COUNTIF('Elève (5ème3)'!PL11:PN11,"A"))*4)+((COUNTIF('Elève (5ème3)'!PL11:PN11,"B"))*3)+((COUNTIF('Elève (5ème3)'!PL11:PN11,"C"))*2)+((COUNTIF('Elève (5ème3)'!PL11:PN11,"D"))*1))/(COUNTA(PL11:PN11)),"")</f>
        <v>4</v>
      </c>
      <c r="PP11" s="109" t="str">
        <f t="shared" si="100"/>
        <v>A</v>
      </c>
      <c r="PQ11" s="81"/>
      <c r="PR11" s="82"/>
      <c r="PS11" s="83"/>
      <c r="PT11" s="108" t="str">
        <f>IFERROR((((COUNTIF('Elève (5ème3)'!PQ11:PS11,"A"))*4)+((COUNTIF('Elève (5ème3)'!PQ11:PS11,"B"))*3)+((COUNTIF('Elève (5ème3)'!PQ11:PS11,"C"))*2)+((COUNTIF('Elève (5ème3)'!PQ11:PS11,"D"))*1))/(COUNTA(PQ11:PS11)),"")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(5ème3)'!PV11:PX11,"A"))*4)+((COUNTIF('Elève (5ème3)'!PV11:PX11,"B"))*3)+((COUNTIF('Elève (5ème3)'!PV11:PX11,"C"))*2)+((COUNTIF('Elève (5ème3)'!PV11:PX11,"D"))*1))/(COUNTA(PV11:PX11)),"")</f>
        <v/>
      </c>
      <c r="PZ11" s="109" t="str">
        <f t="shared" si="102"/>
        <v/>
      </c>
      <c r="QA11" s="178">
        <f>IF(COUNT(PO11,PT11,PY11)=0,"",SUM(PO11,PT11,PY11)/COUNT(PO11,PT11,PY11))</f>
        <v>4</v>
      </c>
      <c r="QB11" s="131" t="str">
        <f t="shared" si="103"/>
        <v>A</v>
      </c>
      <c r="QC11" s="156" t="s">
        <v>27</v>
      </c>
      <c r="QD11" s="157"/>
      <c r="QE11" s="158"/>
      <c r="QF11" s="108">
        <f>IFERROR((((COUNTIF('Elève (5ème3)'!QC11:QE11,"A"))*4)+((COUNTIF('Elève (5ème3)'!QC11:QE11,"B"))*3)+((COUNTIF('Elève (5ème3)'!QC11:QE11,"C"))*2)+((COUNTIF('Elève (5ème3)'!QC11:QE11,"D"))*1))/(COUNTA(QC11:QE11)),"")</f>
        <v>4</v>
      </c>
      <c r="QG11" s="109" t="str">
        <f t="shared" si="104"/>
        <v>A</v>
      </c>
      <c r="QH11" s="81"/>
      <c r="QI11" s="82"/>
      <c r="QJ11" s="83"/>
      <c r="QK11" s="108" t="str">
        <f>IFERROR((((COUNTIF('Elève (5ème3)'!QH11:QJ11,"A"))*4)+((COUNTIF('Elève (5ème3)'!QH11:QJ11,"B"))*3)+((COUNTIF('Elève (5ème3)'!QH11:QJ11,"C"))*2)+((COUNTIF('Elève (5ème3)'!QH11:QJ11,"D"))*1))/(COUNTA(QH11:QJ11)),"")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(5ème3)'!QM11:QO11,"A"))*4)+((COUNTIF('Elève (5ème3)'!QM11:QO11,"B"))*3)+((COUNTIF('Elève (5ème3)'!QM11:QO11,"C"))*2)+((COUNTIF('Elève (5ème3)'!QM11:QO11,"D"))*1))/(COUNTA(QM11:QO11)),"")</f>
        <v/>
      </c>
      <c r="QQ11" s="109" t="str">
        <f t="shared" si="106"/>
        <v/>
      </c>
      <c r="QR11" s="178">
        <f>IF(COUNT(QF11,QK11,QP11)=0,"",SUM(QF11,QK11,QP11)/COUNT(QF11,QK11,QP11))</f>
        <v>4</v>
      </c>
      <c r="QS11" s="131" t="str">
        <f t="shared" si="107"/>
        <v>A</v>
      </c>
      <c r="QT11" s="156" t="s">
        <v>28</v>
      </c>
      <c r="QU11" s="157"/>
      <c r="QV11" s="158"/>
      <c r="QW11" s="108">
        <f>IFERROR((((COUNTIF('Elève (5ème3)'!QT11:QV11,"A"))*4)+((COUNTIF('Elève (5ème3)'!QT11:QV11,"B"))*3)+((COUNTIF('Elève (5ème3)'!QT11:QV11,"C"))*2)+((COUNTIF('Elève (5ème3)'!QT11:QV11,"D"))*1))/(COUNTA(QT11:QV11)),"")</f>
        <v>3</v>
      </c>
      <c r="QX11" s="109" t="str">
        <f t="shared" si="108"/>
        <v>B</v>
      </c>
      <c r="QY11" s="81"/>
      <c r="QZ11" s="82"/>
      <c r="RA11" s="83"/>
      <c r="RB11" s="108" t="str">
        <f>IFERROR((((COUNTIF('Elève (5ème3)'!QY11:RA11,"A"))*4)+((COUNTIF('Elève (5ème3)'!QY11:RA11,"B"))*3)+((COUNTIF('Elève (5ème3)'!QY11:RA11,"C"))*2)+((COUNTIF('Elève (5ème3)'!QY11:RA11,"D"))*1))/(COUNTA(QY11:RA11)),"")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(5ème3)'!RD11:RF11,"A"))*4)+((COUNTIF('Elève (5ème3)'!RD11:RF11,"B"))*3)+((COUNTIF('Elève (5ème3)'!RD11:RF11,"C"))*2)+((COUNTIF('Elève (5ème3)'!RD11:RF11,"D"))*1))/(COUNTA(RD11:RF11)),"")</f>
        <v/>
      </c>
      <c r="RH11" s="109" t="str">
        <f t="shared" si="110"/>
        <v/>
      </c>
      <c r="RI11" s="178">
        <f>IF(COUNT(QW11,RB11,RG11)=0,"",SUM(QW11,RB11,RG11)/COUNT(QW11,RB11,RG11))</f>
        <v>3</v>
      </c>
      <c r="RJ11" s="131" t="str">
        <f t="shared" si="111"/>
        <v>B</v>
      </c>
      <c r="RK11" s="156"/>
      <c r="RL11" s="157"/>
      <c r="RM11" s="158"/>
      <c r="RN11" s="108" t="str">
        <f>IFERROR((((COUNTIF('Elève (5ème3)'!RK11:RM11,"A"))*4)+((COUNTIF('Elève (5ème3)'!RK11:RM11,"B"))*3)+((COUNTIF('Elève (5ème3)'!RK11:RM11,"C"))*2)+((COUNTIF('Elève (5ème3)'!RK11:RM11,"D"))*1))/(COUNTA(RK11:RM11)),"")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(5ème3)'!RP11:RR11,"A"))*4)+((COUNTIF('Elève (5ème3)'!RP11:RR11,"B"))*3)+((COUNTIF('Elève (5ème3)'!RP11:RR11,"C"))*2)+((COUNTIF('Elève (5ème3)'!RP11:RR11,"D"))*1))/(COUNTA(RP11:RR11)),"")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(5ème3)'!RU11:RW11,"A"))*4)+((COUNTIF('Elève (5ème3)'!RU11:RW11,"B"))*3)+((COUNTIF('Elève (5ème3)'!RU11:RW11,"C"))*2)+((COUNTIF('Elève (5ème3)'!RU11:RW11,"D"))*1))/(COUNTA(RU11:RW11)),"")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(5ème3)'!SB11:SD11,"A"))*4)+((COUNTIF('Elève (5ème3)'!SB11:SD11,"B"))*3)+((COUNTIF('Elève (5ème3)'!SB11:SD11,"C"))*2)+((COUNTIF('Elève (5ème3)'!SB11:SD11,"D"))*1))/(COUNTA(SB11:SD11)),"")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(5ème3)'!SG11:SI11,"A"))*4)+((COUNTIF('Elève (5ème3)'!SG11:SI11,"B"))*3)+((COUNTIF('Elève (5ème3)'!SG11:SI11,"C"))*2)+((COUNTIF('Elève (5ème3)'!SG11:SI11,"D"))*1))/(COUNTA(SG11:SI11)),"")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(5ème3)'!SL11:SN11,"A"))*4)+((COUNTIF('Elève (5ème3)'!SL11:SN11,"B"))*3)+((COUNTIF('Elève (5ème3)'!SL11:SN11,"C"))*2)+((COUNTIF('Elève (5ème3)'!SL11:SN11,"D"))*1))/(COUNTA(SL11:SN11)),"")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25" t="s">
        <v>45</v>
      </c>
      <c r="B12" s="226"/>
      <c r="C12" s="159" t="s">
        <v>28</v>
      </c>
      <c r="D12" s="160"/>
      <c r="E12" s="161"/>
      <c r="F12" s="112">
        <f>IFERROR((((COUNTIF('Elève (5ème3)'!C12:E12,"A"))*4)+((COUNTIF('Elève (5ème3)'!C12:E12,"B"))*3)+((COUNTIF('Elève (5ème3)'!C12:E12,"C"))*2)+((COUNTIF('Elève (5ème3)'!C12:E12,"D"))*1))/(COUNTA(C12:E12)),"")</f>
        <v>3</v>
      </c>
      <c r="G12" s="113" t="str">
        <f t="shared" si="0"/>
        <v>B</v>
      </c>
      <c r="H12" s="84"/>
      <c r="I12" s="85"/>
      <c r="J12" s="86"/>
      <c r="K12" s="112" t="str">
        <f>IFERROR((((COUNTIF('Elève (5ème3)'!H12:J12,"A"))*4)+((COUNTIF('Elève (5ème3)'!H12:J12,"B"))*3)+((COUNTIF('Elève (5ème3)'!H12:J12,"C"))*2)+((COUNTIF('Elève (5ème3)'!H12:J12,"D"))*1))/(COUNTA(H12:J12)),"")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(5ème3)'!M12:O12,"A"))*4)+((COUNTIF('Elève (5ème3)'!M12:O12,"B"))*3)+((COUNTIF('Elève (5ème3)'!M12:O12,"C"))*2)+((COUNTIF('Elève (5ème3)'!M12:O12,"D"))*1))/(COUNTA(M12:O12)),"")</f>
        <v/>
      </c>
      <c r="Q12" s="113" t="str">
        <f t="shared" si="2"/>
        <v/>
      </c>
      <c r="R12" s="180">
        <f>IF(COUNT(F12,K12,P12)=0,"",SUM(F12,K12,P12)/COUNT(F12,K12,P12))</f>
        <v>3</v>
      </c>
      <c r="S12" s="133" t="str">
        <f t="shared" si="3"/>
        <v>B</v>
      </c>
      <c r="T12" s="159" t="s">
        <v>27</v>
      </c>
      <c r="U12" s="160"/>
      <c r="V12" s="161"/>
      <c r="W12" s="112">
        <f>IFERROR((((COUNTIF('Elève (5ème3)'!T12:V12,"A"))*4)+((COUNTIF('Elève (5ème3)'!T12:V12,"B"))*3)+((COUNTIF('Elève (5ème3)'!T12:V12,"C"))*2)+((COUNTIF('Elève (5ème3)'!T12:V12,"D"))*1))/(COUNTA(T12:V12)),"")</f>
        <v>4</v>
      </c>
      <c r="X12" s="113" t="str">
        <f t="shared" si="4"/>
        <v>A</v>
      </c>
      <c r="Y12" s="84"/>
      <c r="Z12" s="85"/>
      <c r="AA12" s="86"/>
      <c r="AB12" s="112" t="str">
        <f>IFERROR((((COUNTIF('Elève (5ème3)'!Y12:AA12,"A"))*4)+((COUNTIF('Elève (5ème3)'!Y12:AA12,"B"))*3)+((COUNTIF('Elève (5ème3)'!Y12:AA12,"C"))*2)+((COUNTIF('Elève (5ème3)'!Y12:AA12,"D"))*1))/(COUNTA(Y12:AA12)),"")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(5ème3)'!AD12:AF12,"A"))*4)+((COUNTIF('Elève (5ème3)'!AD12:AF12,"B"))*3)+((COUNTIF('Elève (5ème3)'!AD12:AF12,"C"))*2)+((COUNTIF('Elève (5ème3)'!AD12:AF12,"D"))*1))/(COUNTA(AD12:AF12)),"")</f>
        <v/>
      </c>
      <c r="AH12" s="113" t="str">
        <f t="shared" si="6"/>
        <v/>
      </c>
      <c r="AI12" s="180">
        <f>IF(COUNT(W12,AB12,AG12)=0,"",SUM(W12,AB12,AG12)/COUNT(W12,AB12,AG12))</f>
        <v>4</v>
      </c>
      <c r="AJ12" s="133" t="str">
        <f t="shared" si="7"/>
        <v>A</v>
      </c>
      <c r="AK12" s="159" t="s">
        <v>27</v>
      </c>
      <c r="AL12" s="160"/>
      <c r="AM12" s="161"/>
      <c r="AN12" s="112">
        <f>IFERROR((((COUNTIF('Elève (5ème3)'!AK12:AM12,"A"))*4)+((COUNTIF('Elève (5ème3)'!AK12:AM12,"B"))*3)+((COUNTIF('Elève (5ème3)'!AK12:AM12,"C"))*2)+((COUNTIF('Elève (5ème3)'!AK12:AM12,"D"))*1))/(COUNTA(AK12:AM12)),"")</f>
        <v>4</v>
      </c>
      <c r="AO12" s="113" t="str">
        <f t="shared" si="8"/>
        <v>A</v>
      </c>
      <c r="AP12" s="84"/>
      <c r="AQ12" s="85"/>
      <c r="AR12" s="86"/>
      <c r="AS12" s="112" t="str">
        <f>IFERROR((((COUNTIF('Elève (5ème3)'!AP12:AR12,"A"))*4)+((COUNTIF('Elève (5ème3)'!AP12:AR12,"B"))*3)+((COUNTIF('Elève (5ème3)'!AP12:AR12,"C"))*2)+((COUNTIF('Elève (5ème3)'!AP12:AR12,"D"))*1))/(COUNTA(AP12:AR12)),"")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(5ème3)'!AU12:AW12,"A"))*4)+((COUNTIF('Elève (5ème3)'!AU12:AW12,"B"))*3)+((COUNTIF('Elève (5ème3)'!AU12:AW12,"C"))*2)+((COUNTIF('Elève (5ème3)'!AU12:AW12,"D"))*1))/(COUNTA(AU12:AW12)),"")</f>
        <v/>
      </c>
      <c r="AY12" s="113" t="str">
        <f t="shared" si="10"/>
        <v/>
      </c>
      <c r="AZ12" s="180">
        <f>IF(COUNT(AN12,AS12,AX12)=0,"",SUM(AN12,AS12,AX12)/COUNT(AN12,AS12,AX12))</f>
        <v>4</v>
      </c>
      <c r="BA12" s="133" t="str">
        <f t="shared" si="11"/>
        <v>A</v>
      </c>
      <c r="BB12" s="159" t="s">
        <v>27</v>
      </c>
      <c r="BC12" s="160"/>
      <c r="BD12" s="161"/>
      <c r="BE12" s="112">
        <f>IFERROR((((COUNTIF('Elève (5ème3)'!BB12:BD12,"A"))*4)+((COUNTIF('Elève (5ème3)'!BB12:BD12,"B"))*3)+((COUNTIF('Elève (5ème3)'!BB12:BD12,"C"))*2)+((COUNTIF('Elève (5ème3)'!BB12:BD12,"D"))*1))/(COUNTA(BB12:BD12)),"")</f>
        <v>4</v>
      </c>
      <c r="BF12" s="113" t="str">
        <f t="shared" si="12"/>
        <v>A</v>
      </c>
      <c r="BG12" s="84"/>
      <c r="BH12" s="85"/>
      <c r="BI12" s="86"/>
      <c r="BJ12" s="112" t="str">
        <f>IFERROR((((COUNTIF('Elève (5ème3)'!BG12:BI12,"A"))*4)+((COUNTIF('Elève (5ème3)'!BG12:BI12,"B"))*3)+((COUNTIF('Elève (5ème3)'!BG12:BI12,"C"))*2)+((COUNTIF('Elève (5ème3)'!BG12:BI12,"D"))*1))/(COUNTA(BG12:BI12)),"")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(5ème3)'!BL12:BN12,"A"))*4)+((COUNTIF('Elève (5ème3)'!BL12:BN12,"B"))*3)+((COUNTIF('Elève (5ème3)'!BL12:BN12,"C"))*2)+((COUNTIF('Elève (5ème3)'!BL12:BN12,"D"))*1))/(COUNTA(BL12:BN12)),"")</f>
        <v/>
      </c>
      <c r="BP12" s="113" t="str">
        <f t="shared" si="14"/>
        <v/>
      </c>
      <c r="BQ12" s="180">
        <f>IF(COUNT(BE12,BJ12,BO12)=0,"",SUM(BE12,BJ12,BO12)/COUNT(BE12,BJ12,BO12))</f>
        <v>4</v>
      </c>
      <c r="BR12" s="133" t="str">
        <f t="shared" si="15"/>
        <v>A</v>
      </c>
      <c r="BS12" s="159" t="s">
        <v>28</v>
      </c>
      <c r="BT12" s="160"/>
      <c r="BU12" s="161"/>
      <c r="BV12" s="112">
        <f>IFERROR((((COUNTIF('Elève (5ème3)'!BS12:BU12,"A"))*4)+((COUNTIF('Elève (5ème3)'!BS12:BU12,"B"))*3)+((COUNTIF('Elève (5ème3)'!BS12:BU12,"C"))*2)+((COUNTIF('Elève (5ème3)'!BS12:BU12,"D"))*1))/(COUNTA(BS12:BU12)),"")</f>
        <v>3</v>
      </c>
      <c r="BW12" s="113" t="str">
        <f t="shared" si="16"/>
        <v>B</v>
      </c>
      <c r="BX12" s="84"/>
      <c r="BY12" s="85"/>
      <c r="BZ12" s="86"/>
      <c r="CA12" s="112" t="str">
        <f>IFERROR((((COUNTIF('Elève (5ème3)'!BX12:BZ12,"A"))*4)+((COUNTIF('Elève (5ème3)'!BX12:BZ12,"B"))*3)+((COUNTIF('Elève (5ème3)'!BX12:BZ12,"C"))*2)+((COUNTIF('Elève (5ème3)'!BX12:BZ12,"D"))*1))/(COUNTA(BX12:BZ12)),"")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(5ème3)'!CC12:CE12,"A"))*4)+((COUNTIF('Elève (5ème3)'!CC12:CE12,"B"))*3)+((COUNTIF('Elève (5ème3)'!CC12:CE12,"C"))*2)+((COUNTIF('Elève (5ème3)'!CC12:CE12,"D"))*1))/(COUNTA(CC12:CE12)),"")</f>
        <v/>
      </c>
      <c r="CG12" s="113" t="str">
        <f t="shared" si="18"/>
        <v/>
      </c>
      <c r="CH12" s="180">
        <f>IF(COUNT(BV12,CA12,CF12)=0,"",SUM(BV12,CA12,CF12)/COUNT(BV12,CA12,CF12))</f>
        <v>3</v>
      </c>
      <c r="CI12" s="133" t="str">
        <f t="shared" si="19"/>
        <v>B</v>
      </c>
      <c r="CJ12" s="159" t="s">
        <v>27</v>
      </c>
      <c r="CK12" s="160"/>
      <c r="CL12" s="161"/>
      <c r="CM12" s="112">
        <f>IFERROR((((COUNTIF('Elève (5ème3)'!CJ12:CL12,"A"))*4)+((COUNTIF('Elève (5ème3)'!CJ12:CL12,"B"))*3)+((COUNTIF('Elève (5ème3)'!CJ12:CL12,"C"))*2)+((COUNTIF('Elève (5ème3)'!CJ12:CL12,"D"))*1))/(COUNTA(CJ12:CL12)),"")</f>
        <v>4</v>
      </c>
      <c r="CN12" s="113" t="str">
        <f t="shared" si="20"/>
        <v>A</v>
      </c>
      <c r="CO12" s="84"/>
      <c r="CP12" s="85"/>
      <c r="CQ12" s="86"/>
      <c r="CR12" s="112" t="str">
        <f>IFERROR((((COUNTIF('Elève (5ème3)'!CO12:CQ12,"A"))*4)+((COUNTIF('Elève (5ème3)'!CO12:CQ12,"B"))*3)+((COUNTIF('Elève (5ème3)'!CO12:CQ12,"C"))*2)+((COUNTIF('Elève (5ème3)'!CO12:CQ12,"D"))*1))/(COUNTA(CO12:CQ12)),"")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(5ème3)'!CT12:CV12,"A"))*4)+((COUNTIF('Elève (5ème3)'!CT12:CV12,"B"))*3)+((COUNTIF('Elève (5ème3)'!CT12:CV12,"C"))*2)+((COUNTIF('Elève (5ème3)'!CT12:CV12,"D"))*1))/(COUNTA(CT12:CV12)),"")</f>
        <v/>
      </c>
      <c r="CX12" s="113" t="str">
        <f t="shared" si="22"/>
        <v/>
      </c>
      <c r="CY12" s="180">
        <f>IF(COUNT(CM12,CR12,CW12)=0,"",SUM(CM12,CR12,CW12)/COUNT(CM12,CR12,CW12))</f>
        <v>4</v>
      </c>
      <c r="CZ12" s="133" t="str">
        <f t="shared" si="23"/>
        <v>A</v>
      </c>
      <c r="DA12" s="159" t="s">
        <v>27</v>
      </c>
      <c r="DB12" s="160"/>
      <c r="DC12" s="161"/>
      <c r="DD12" s="112">
        <f>IFERROR((((COUNTIF('Elève (5ème3)'!DA12:DC12,"A"))*4)+((COUNTIF('Elève (5ème3)'!DA12:DC12,"B"))*3)+((COUNTIF('Elève (5ème3)'!DA12:DC12,"C"))*2)+((COUNTIF('Elève (5ème3)'!DA12:DC12,"D"))*1))/(COUNTA(DA12:DC12)),"")</f>
        <v>4</v>
      </c>
      <c r="DE12" s="113" t="str">
        <f t="shared" si="24"/>
        <v>A</v>
      </c>
      <c r="DF12" s="84"/>
      <c r="DG12" s="85"/>
      <c r="DH12" s="86"/>
      <c r="DI12" s="112" t="str">
        <f>IFERROR((((COUNTIF('Elève (5ème3)'!DF12:DH12,"A"))*4)+((COUNTIF('Elève (5ème3)'!DF12:DH12,"B"))*3)+((COUNTIF('Elève (5ème3)'!DF12:DH12,"C"))*2)+((COUNTIF('Elève (5ème3)'!DF12:DH12,"D"))*1))/(COUNTA(DF12:DH12)),"")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(5ème3)'!DK12:DM12,"A"))*4)+((COUNTIF('Elève (5ème3)'!DK12:DM12,"B"))*3)+((COUNTIF('Elève (5ème3)'!DK12:DM12,"C"))*2)+((COUNTIF('Elève (5ème3)'!DK12:DM12,"D"))*1))/(COUNTA(DK12:DM12)),"")</f>
        <v/>
      </c>
      <c r="DO12" s="113" t="str">
        <f t="shared" si="26"/>
        <v/>
      </c>
      <c r="DP12" s="180">
        <f>IF(COUNT(DD12,DI12,DN12)=0,"",SUM(DD12,DI12,DN12)/COUNT(DD12,DI12,DN12))</f>
        <v>4</v>
      </c>
      <c r="DQ12" s="133" t="str">
        <f t="shared" si="27"/>
        <v>A</v>
      </c>
      <c r="DR12" s="159" t="s">
        <v>27</v>
      </c>
      <c r="DS12" s="160"/>
      <c r="DT12" s="161"/>
      <c r="DU12" s="112">
        <f>IFERROR((((COUNTIF('Elève (5ème3)'!DR12:DT12,"A"))*4)+((COUNTIF('Elève (5ème3)'!DR12:DT12,"B"))*3)+((COUNTIF('Elève (5ème3)'!DR12:DT12,"C"))*2)+((COUNTIF('Elève (5ème3)'!DR12:DT12,"D"))*1))/(COUNTA(DR12:DT12)),"")</f>
        <v>4</v>
      </c>
      <c r="DV12" s="113" t="str">
        <f t="shared" si="28"/>
        <v>A</v>
      </c>
      <c r="DW12" s="84"/>
      <c r="DX12" s="85"/>
      <c r="DY12" s="86"/>
      <c r="DZ12" s="112" t="str">
        <f>IFERROR((((COUNTIF('Elève (5ème3)'!DW12:DY12,"A"))*4)+((COUNTIF('Elève (5ème3)'!DW12:DY12,"B"))*3)+((COUNTIF('Elève (5ème3)'!DW12:DY12,"C"))*2)+((COUNTIF('Elève (5ème3)'!DW12:DY12,"D"))*1))/(COUNTA(DW12:DY12)),"")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(5ème3)'!EB12:ED12,"A"))*4)+((COUNTIF('Elève (5ème3)'!EB12:ED12,"B"))*3)+((COUNTIF('Elève (5ème3)'!EB12:ED12,"C"))*2)+((COUNTIF('Elève (5ème3)'!EB12:ED12,"D"))*1))/(COUNTA(EB12:ED12)),"")</f>
        <v/>
      </c>
      <c r="EF12" s="113" t="str">
        <f t="shared" si="30"/>
        <v/>
      </c>
      <c r="EG12" s="180">
        <f>IF(COUNT(DU12,DZ12,EE12)=0,"",SUM(DU12,DZ12,EE12)/COUNT(DU12,DZ12,EE12))</f>
        <v>4</v>
      </c>
      <c r="EH12" s="133" t="str">
        <f t="shared" si="31"/>
        <v>A</v>
      </c>
      <c r="EI12" s="159" t="s">
        <v>27</v>
      </c>
      <c r="EJ12" s="160"/>
      <c r="EK12" s="161"/>
      <c r="EL12" s="112">
        <f>IFERROR((((COUNTIF('Elève (5ème3)'!EI12:EK12,"A"))*4)+((COUNTIF('Elève (5ème3)'!EI12:EK12,"B"))*3)+((COUNTIF('Elève (5ème3)'!EI12:EK12,"C"))*2)+((COUNTIF('Elève (5ème3)'!EI12:EK12,"D"))*1))/(COUNTA(EI12:EK12)),"")</f>
        <v>4</v>
      </c>
      <c r="EM12" s="113" t="str">
        <f t="shared" si="32"/>
        <v>A</v>
      </c>
      <c r="EN12" s="84"/>
      <c r="EO12" s="85"/>
      <c r="EP12" s="86"/>
      <c r="EQ12" s="112" t="str">
        <f>IFERROR((((COUNTIF('Elève (5ème3)'!EN12:EP12,"A"))*4)+((COUNTIF('Elève (5ème3)'!EN12:EP12,"B"))*3)+((COUNTIF('Elève (5ème3)'!EN12:EP12,"C"))*2)+((COUNTIF('Elève (5ème3)'!EN12:EP12,"D"))*1))/(COUNTA(EN12:EP12)),"")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(5ème3)'!ES12:EU12,"A"))*4)+((COUNTIF('Elève (5ème3)'!ES12:EU12,"B"))*3)+((COUNTIF('Elève (5ème3)'!ES12:EU12,"C"))*2)+((COUNTIF('Elève (5ème3)'!ES12:EU12,"D"))*1))/(COUNTA(ES12:EU12)),"")</f>
        <v/>
      </c>
      <c r="EW12" s="113" t="str">
        <f t="shared" si="34"/>
        <v/>
      </c>
      <c r="EX12" s="180">
        <f>IF(COUNT(EL12,EQ12,EV12)=0,"",SUM(EL12,EQ12,EV12)/COUNT(EL12,EQ12,EV12))</f>
        <v>4</v>
      </c>
      <c r="EY12" s="133" t="str">
        <f t="shared" si="35"/>
        <v>A</v>
      </c>
      <c r="EZ12" s="159" t="s">
        <v>27</v>
      </c>
      <c r="FA12" s="160"/>
      <c r="FB12" s="161"/>
      <c r="FC12" s="112">
        <f>IFERROR((((COUNTIF('Elève (5ème3)'!EZ12:FB12,"A"))*4)+((COUNTIF('Elève (5ème3)'!EZ12:FB12,"B"))*3)+((COUNTIF('Elève (5ème3)'!EZ12:FB12,"C"))*2)+((COUNTIF('Elève (5ème3)'!EZ12:FB12,"D"))*1))/(COUNTA(EZ12:FB12)),"")</f>
        <v>4</v>
      </c>
      <c r="FD12" s="113" t="str">
        <f t="shared" si="36"/>
        <v>A</v>
      </c>
      <c r="FE12" s="84"/>
      <c r="FF12" s="85"/>
      <c r="FG12" s="86"/>
      <c r="FH12" s="112" t="str">
        <f>IFERROR((((COUNTIF('Elève (5ème3)'!FE12:FG12,"A"))*4)+((COUNTIF('Elève (5ème3)'!FE12:FG12,"B"))*3)+((COUNTIF('Elève (5ème3)'!FE12:FG12,"C"))*2)+((COUNTIF('Elève (5ème3)'!FE12:FG12,"D"))*1))/(COUNTA(FE12:FG12)),"")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(5ème3)'!FJ12:FL12,"A"))*4)+((COUNTIF('Elève (5ème3)'!FJ12:FL12,"B"))*3)+((COUNTIF('Elève (5ème3)'!FJ12:FL12,"C"))*2)+((COUNTIF('Elève (5ème3)'!FJ12:FL12,"D"))*1))/(COUNTA(FJ12:FL12)),"")</f>
        <v/>
      </c>
      <c r="FN12" s="113" t="str">
        <f t="shared" si="38"/>
        <v/>
      </c>
      <c r="FO12" s="180">
        <f>IF(COUNT(FC12,FH12,FM12)=0,"",SUM(FC12,FH12,FM12)/COUNT(FC12,FH12,FM12))</f>
        <v>4</v>
      </c>
      <c r="FP12" s="133" t="str">
        <f t="shared" si="39"/>
        <v>A</v>
      </c>
      <c r="FQ12" s="159" t="s">
        <v>28</v>
      </c>
      <c r="FR12" s="160"/>
      <c r="FS12" s="161"/>
      <c r="FT12" s="112">
        <f>IFERROR((((COUNTIF('Elève (5ème3)'!FQ12:FS12,"A"))*4)+((COUNTIF('Elève (5ème3)'!FQ12:FS12,"B"))*3)+((COUNTIF('Elève (5ème3)'!FQ12:FS12,"C"))*2)+((COUNTIF('Elève (5ème3)'!FQ12:FS12,"D"))*1))/(COUNTA(FQ12:FS12)),"")</f>
        <v>3</v>
      </c>
      <c r="FU12" s="113" t="str">
        <f t="shared" si="40"/>
        <v>B</v>
      </c>
      <c r="FV12" s="84"/>
      <c r="FW12" s="85"/>
      <c r="FX12" s="86"/>
      <c r="FY12" s="112" t="str">
        <f>IFERROR((((COUNTIF('Elève (5ème3)'!FV12:FX12,"A"))*4)+((COUNTIF('Elève (5ème3)'!FV12:FX12,"B"))*3)+((COUNTIF('Elève (5ème3)'!FV12:FX12,"C"))*2)+((COUNTIF('Elève (5ème3)'!FV12:FX12,"D"))*1))/(COUNTA(FV12:FX12)),"")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(5ème3)'!GA12:GC12,"A"))*4)+((COUNTIF('Elève (5ème3)'!GA12:GC12,"B"))*3)+((COUNTIF('Elève (5ème3)'!GA12:GC12,"C"))*2)+((COUNTIF('Elève (5ème3)'!GA12:GC12,"D"))*1))/(COUNTA(GA12:GC12)),"")</f>
        <v/>
      </c>
      <c r="GE12" s="113" t="str">
        <f t="shared" si="42"/>
        <v/>
      </c>
      <c r="GF12" s="180">
        <f>IF(COUNT(FT12,FY12,GD12)=0,"",SUM(FT12,FY12,GD12)/COUNT(FT12,FY12,GD12))</f>
        <v>3</v>
      </c>
      <c r="GG12" s="133" t="str">
        <f t="shared" si="43"/>
        <v>B</v>
      </c>
      <c r="GH12" s="159" t="s">
        <v>27</v>
      </c>
      <c r="GI12" s="160"/>
      <c r="GJ12" s="161"/>
      <c r="GK12" s="112">
        <f>IFERROR((((COUNTIF('Elève (5ème3)'!GH12:GJ12,"A"))*4)+((COUNTIF('Elève (5ème3)'!GH12:GJ12,"B"))*3)+((COUNTIF('Elève (5ème3)'!GH12:GJ12,"C"))*2)+((COUNTIF('Elève (5ème3)'!GH12:GJ12,"D"))*1))/(COUNTA(GH12:GJ12)),"")</f>
        <v>4</v>
      </c>
      <c r="GL12" s="113" t="str">
        <f t="shared" si="44"/>
        <v>A</v>
      </c>
      <c r="GM12" s="84"/>
      <c r="GN12" s="85"/>
      <c r="GO12" s="86"/>
      <c r="GP12" s="112" t="str">
        <f>IFERROR((((COUNTIF('Elève (5ème3)'!GM12:GO12,"A"))*4)+((COUNTIF('Elève (5ème3)'!GM12:GO12,"B"))*3)+((COUNTIF('Elève (5ème3)'!GM12:GO12,"C"))*2)+((COUNTIF('Elève (5ème3)'!GM12:GO12,"D"))*1))/(COUNTA(GM12:GO12)),"")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(5ème3)'!GR12:GT12,"A"))*4)+((COUNTIF('Elève (5ème3)'!GR12:GT12,"B"))*3)+((COUNTIF('Elève (5ème3)'!GR12:GT12,"C"))*2)+((COUNTIF('Elève (5ème3)'!GR12:GT12,"D"))*1))/(COUNTA(GR12:GT12)),"")</f>
        <v/>
      </c>
      <c r="GV12" s="113" t="str">
        <f t="shared" si="46"/>
        <v/>
      </c>
      <c r="GW12" s="180">
        <f>IF(COUNT(GK12,GP12,GU12)=0,"",SUM(GK12,GP12,GU12)/COUNT(GK12,GP12,GU12))</f>
        <v>4</v>
      </c>
      <c r="GX12" s="133" t="str">
        <f t="shared" si="47"/>
        <v>A</v>
      </c>
      <c r="GY12" s="159" t="s">
        <v>27</v>
      </c>
      <c r="GZ12" s="160"/>
      <c r="HA12" s="161"/>
      <c r="HB12" s="112">
        <f>IFERROR((((COUNTIF('Elève (5ème3)'!GY12:HA12,"A"))*4)+((COUNTIF('Elève (5ème3)'!GY12:HA12,"B"))*3)+((COUNTIF('Elève (5ème3)'!GY12:HA12,"C"))*2)+((COUNTIF('Elève (5ème3)'!GY12:HA12,"D"))*1))/(COUNTA(GY12:HA12)),"")</f>
        <v>4</v>
      </c>
      <c r="HC12" s="113" t="str">
        <f t="shared" si="48"/>
        <v>A</v>
      </c>
      <c r="HD12" s="84"/>
      <c r="HE12" s="85"/>
      <c r="HF12" s="86"/>
      <c r="HG12" s="112" t="str">
        <f>IFERROR((((COUNTIF('Elève (5ème3)'!HD12:HF12,"A"))*4)+((COUNTIF('Elève (5ème3)'!HD12:HF12,"B"))*3)+((COUNTIF('Elève (5ème3)'!HD12:HF12,"C"))*2)+((COUNTIF('Elève (5ème3)'!HD12:HF12,"D"))*1))/(COUNTA(HD12:HF12)),"")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(5ème3)'!HI12:HK12,"A"))*4)+((COUNTIF('Elève (5ème3)'!HI12:HK12,"B"))*3)+((COUNTIF('Elève (5ème3)'!HI12:HK12,"C"))*2)+((COUNTIF('Elève (5ème3)'!HI12:HK12,"D"))*1))/(COUNTA(HI12:HK12)),"")</f>
        <v/>
      </c>
      <c r="HM12" s="113" t="str">
        <f t="shared" si="50"/>
        <v/>
      </c>
      <c r="HN12" s="180">
        <f>IF(COUNT(HB12,HG12,HL12)=0,"",SUM(HB12,HG12,HL12)/COUNT(HB12,HG12,HL12))</f>
        <v>4</v>
      </c>
      <c r="HO12" s="133" t="str">
        <f t="shared" si="51"/>
        <v>A</v>
      </c>
      <c r="HP12" s="159" t="s">
        <v>28</v>
      </c>
      <c r="HQ12" s="160"/>
      <c r="HR12" s="161"/>
      <c r="HS12" s="112">
        <f>IFERROR((((COUNTIF('Elève (5ème3)'!HP12:HR12,"A"))*4)+((COUNTIF('Elève (5ème3)'!HP12:HR12,"B"))*3)+((COUNTIF('Elève (5ème3)'!HP12:HR12,"C"))*2)+((COUNTIF('Elève (5ème3)'!HP12:HR12,"D"))*1))/(COUNTA(HP12:HR12)),"")</f>
        <v>3</v>
      </c>
      <c r="HT12" s="113" t="str">
        <f t="shared" si="52"/>
        <v>B</v>
      </c>
      <c r="HU12" s="84"/>
      <c r="HV12" s="85"/>
      <c r="HW12" s="86"/>
      <c r="HX12" s="112" t="str">
        <f>IFERROR((((COUNTIF('Elève (5ème3)'!HU12:HW12,"A"))*4)+((COUNTIF('Elève (5ème3)'!HU12:HW12,"B"))*3)+((COUNTIF('Elève (5ème3)'!HU12:HW12,"C"))*2)+((COUNTIF('Elève (5ème3)'!HU12:HW12,"D"))*1))/(COUNTA(HU12:HW12)),"")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(5ème3)'!HZ12:IB12,"A"))*4)+((COUNTIF('Elève (5ème3)'!HZ12:IB12,"B"))*3)+((COUNTIF('Elève (5ème3)'!HZ12:IB12,"C"))*2)+((COUNTIF('Elève (5ème3)'!HZ12:IB12,"D"))*1))/(COUNTA(HZ12:IB12)),"")</f>
        <v/>
      </c>
      <c r="ID12" s="113" t="str">
        <f t="shared" si="54"/>
        <v/>
      </c>
      <c r="IE12" s="180">
        <f>IF(COUNT(HS12,HX12,IC12)=0,"",SUM(HS12,HX12,IC12)/COUNT(HS12,HX12,IC12))</f>
        <v>3</v>
      </c>
      <c r="IF12" s="133" t="str">
        <f t="shared" si="55"/>
        <v>B</v>
      </c>
      <c r="IG12" s="159" t="s">
        <v>28</v>
      </c>
      <c r="IH12" s="160"/>
      <c r="II12" s="161"/>
      <c r="IJ12" s="112">
        <f>IFERROR((((COUNTIF('Elève (5ème3)'!IG12:II12,"A"))*4)+((COUNTIF('Elève (5ème3)'!IG12:II12,"B"))*3)+((COUNTIF('Elève (5ème3)'!IG12:II12,"C"))*2)+((COUNTIF('Elève (5ème3)'!IG12:II12,"D"))*1))/(COUNTA(IG12:II12)),"")</f>
        <v>3</v>
      </c>
      <c r="IK12" s="113" t="str">
        <f t="shared" si="56"/>
        <v>B</v>
      </c>
      <c r="IL12" s="84"/>
      <c r="IM12" s="85"/>
      <c r="IN12" s="86"/>
      <c r="IO12" s="112" t="str">
        <f>IFERROR((((COUNTIF('Elève (5ème3)'!IL12:IN12,"A"))*4)+((COUNTIF('Elève (5ème3)'!IL12:IN12,"B"))*3)+((COUNTIF('Elève (5ème3)'!IL12:IN12,"C"))*2)+((COUNTIF('Elève (5ème3)'!IL12:IN12,"D"))*1))/(COUNTA(IL12:IN12)),"")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(5ème3)'!IQ12:IS12,"A"))*4)+((COUNTIF('Elève (5ème3)'!IQ12:IS12,"B"))*3)+((COUNTIF('Elève (5ème3)'!IQ12:IS12,"C"))*2)+((COUNTIF('Elève (5ème3)'!IQ12:IS12,"D"))*1))/(COUNTA(IQ12:IS12)),"")</f>
        <v/>
      </c>
      <c r="IU12" s="113" t="str">
        <f t="shared" si="58"/>
        <v/>
      </c>
      <c r="IV12" s="180">
        <f>IF(COUNT(IJ12,IO12,IT12)=0,"",SUM(IJ12,IO12,IT12)/COUNT(IJ12,IO12,IT12))</f>
        <v>3</v>
      </c>
      <c r="IW12" s="133" t="str">
        <f t="shared" si="59"/>
        <v>B</v>
      </c>
      <c r="IX12" s="159" t="s">
        <v>27</v>
      </c>
      <c r="IY12" s="160"/>
      <c r="IZ12" s="161"/>
      <c r="JA12" s="112">
        <f>IFERROR((((COUNTIF('Elève (5ème3)'!IX12:IZ12,"A"))*4)+((COUNTIF('Elève (5ème3)'!IX12:IZ12,"B"))*3)+((COUNTIF('Elève (5ème3)'!IX12:IZ12,"C"))*2)+((COUNTIF('Elève (5ème3)'!IX12:IZ12,"D"))*1))/(COUNTA(IX12:IZ12)),"")</f>
        <v>4</v>
      </c>
      <c r="JB12" s="113" t="str">
        <f t="shared" si="60"/>
        <v>A</v>
      </c>
      <c r="JC12" s="84"/>
      <c r="JD12" s="85"/>
      <c r="JE12" s="86"/>
      <c r="JF12" s="112" t="str">
        <f>IFERROR((((COUNTIF('Elève (5ème3)'!JC12:JE12,"A"))*4)+((COUNTIF('Elève (5ème3)'!JC12:JE12,"B"))*3)+((COUNTIF('Elève (5ème3)'!JC12:JE12,"C"))*2)+((COUNTIF('Elève (5ème3)'!JC12:JE12,"D"))*1))/(COUNTA(JC12:JE12)),"")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(5ème3)'!JH12:JJ12,"A"))*4)+((COUNTIF('Elève (5ème3)'!JH12:JJ12,"B"))*3)+((COUNTIF('Elève (5ème3)'!JH12:JJ12,"C"))*2)+((COUNTIF('Elève (5ème3)'!JH12:JJ12,"D"))*1))/(COUNTA(JH12:JJ12)),"")</f>
        <v/>
      </c>
      <c r="JL12" s="113" t="str">
        <f t="shared" si="62"/>
        <v/>
      </c>
      <c r="JM12" s="180">
        <f>IF(COUNT(JA12,JF12,JK12)=0,"",SUM(JA12,JF12,JK12)/COUNT(JA12,JF12,JK12))</f>
        <v>4</v>
      </c>
      <c r="JN12" s="133" t="str">
        <f t="shared" si="63"/>
        <v>A</v>
      </c>
      <c r="JO12" s="159" t="s">
        <v>28</v>
      </c>
      <c r="JP12" s="160"/>
      <c r="JQ12" s="161"/>
      <c r="JR12" s="112">
        <f>IFERROR((((COUNTIF('Elève (5ème3)'!JO12:JQ12,"A"))*4)+((COUNTIF('Elève (5ème3)'!JO12:JQ12,"B"))*3)+((COUNTIF('Elève (5ème3)'!JO12:JQ12,"C"))*2)+((COUNTIF('Elève (5ème3)'!JO12:JQ12,"D"))*1))/(COUNTA(JO12:JQ12)),"")</f>
        <v>3</v>
      </c>
      <c r="JS12" s="113" t="str">
        <f t="shared" si="64"/>
        <v>B</v>
      </c>
      <c r="JT12" s="84"/>
      <c r="JU12" s="85"/>
      <c r="JV12" s="86"/>
      <c r="JW12" s="112" t="str">
        <f>IFERROR((((COUNTIF('Elève (5ème3)'!JT12:JV12,"A"))*4)+((COUNTIF('Elève (5ème3)'!JT12:JV12,"B"))*3)+((COUNTIF('Elève (5ème3)'!JT12:JV12,"C"))*2)+((COUNTIF('Elève (5ème3)'!JT12:JV12,"D"))*1))/(COUNTA(JT12:JV12)),"")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(5ème3)'!JY12:KA12,"A"))*4)+((COUNTIF('Elève (5ème3)'!JY12:KA12,"B"))*3)+((COUNTIF('Elève (5ème3)'!JY12:KA12,"C"))*2)+((COUNTIF('Elève (5ème3)'!JY12:KA12,"D"))*1))/(COUNTA(JY12:KA12)),"")</f>
        <v/>
      </c>
      <c r="KC12" s="113" t="str">
        <f t="shared" si="66"/>
        <v/>
      </c>
      <c r="KD12" s="180">
        <f>IF(COUNT(JR12,JW12,KB12)=0,"",SUM(JR12,JW12,KB12)/COUNT(JR12,JW12,KB12))</f>
        <v>3</v>
      </c>
      <c r="KE12" s="133" t="str">
        <f t="shared" si="67"/>
        <v>B</v>
      </c>
      <c r="KF12" s="159" t="s">
        <v>27</v>
      </c>
      <c r="KG12" s="160"/>
      <c r="KH12" s="161"/>
      <c r="KI12" s="112">
        <f>IFERROR((((COUNTIF('Elève (5ème3)'!KF12:KH12,"A"))*4)+((COUNTIF('Elève (5ème3)'!KF12:KH12,"B"))*3)+((COUNTIF('Elève (5ème3)'!KF12:KH12,"C"))*2)+((COUNTIF('Elève (5ème3)'!KF12:KH12,"D"))*1))/(COUNTA(KF12:KH12)),"")</f>
        <v>4</v>
      </c>
      <c r="KJ12" s="113" t="str">
        <f t="shared" si="68"/>
        <v>A</v>
      </c>
      <c r="KK12" s="84"/>
      <c r="KL12" s="85"/>
      <c r="KM12" s="86"/>
      <c r="KN12" s="112" t="str">
        <f>IFERROR((((COUNTIF('Elève (5ème3)'!KK12:KM12,"A"))*4)+((COUNTIF('Elève (5ème3)'!KK12:KM12,"B"))*3)+((COUNTIF('Elève (5ème3)'!KK12:KM12,"C"))*2)+((COUNTIF('Elève (5ème3)'!KK12:KM12,"D"))*1))/(COUNTA(KK12:KM12)),"")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(5ème3)'!KP12:KR12,"A"))*4)+((COUNTIF('Elève (5ème3)'!KP12:KR12,"B"))*3)+((COUNTIF('Elève (5ème3)'!KP12:KR12,"C"))*2)+((COUNTIF('Elève (5ème3)'!KP12:KR12,"D"))*1))/(COUNTA(KP12:KR12)),"")</f>
        <v/>
      </c>
      <c r="KT12" s="113" t="str">
        <f t="shared" si="70"/>
        <v/>
      </c>
      <c r="KU12" s="180">
        <f>IF(COUNT(KI12,KN12,KS12)=0,"",SUM(KI12,KN12,KS12)/COUNT(KI12,KN12,KS12))</f>
        <v>4</v>
      </c>
      <c r="KV12" s="133" t="str">
        <f t="shared" si="71"/>
        <v>A</v>
      </c>
      <c r="KW12" s="159" t="s">
        <v>29</v>
      </c>
      <c r="KX12" s="160"/>
      <c r="KY12" s="161"/>
      <c r="KZ12" s="112">
        <f>IFERROR((((COUNTIF('Elève (5ème3)'!KW12:KY12,"A"))*4)+((COUNTIF('Elève (5ème3)'!KW12:KY12,"B"))*3)+((COUNTIF('Elève (5ème3)'!KW12:KY12,"C"))*2)+((COUNTIF('Elève (5ème3)'!KW12:KY12,"D"))*1))/(COUNTA(KW12:KY12)),"")</f>
        <v>2</v>
      </c>
      <c r="LA12" s="113" t="str">
        <f t="shared" si="72"/>
        <v>C</v>
      </c>
      <c r="LB12" s="84"/>
      <c r="LC12" s="85"/>
      <c r="LD12" s="86"/>
      <c r="LE12" s="112" t="str">
        <f>IFERROR((((COUNTIF('Elève (5ème3)'!LB12:LD12,"A"))*4)+((COUNTIF('Elève (5ème3)'!LB12:LD12,"B"))*3)+((COUNTIF('Elève (5ème3)'!LB12:LD12,"C"))*2)+((COUNTIF('Elève (5ème3)'!LB12:LD12,"D"))*1))/(COUNTA(LB12:LD12)),"")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(5ème3)'!LG12:LI12,"A"))*4)+((COUNTIF('Elève (5ème3)'!LG12:LI12,"B"))*3)+((COUNTIF('Elève (5ème3)'!LG12:LI12,"C"))*2)+((COUNTIF('Elève (5ème3)'!LG12:LI12,"D"))*1))/(COUNTA(LG12:LI12)),"")</f>
        <v/>
      </c>
      <c r="LK12" s="113" t="str">
        <f t="shared" si="74"/>
        <v/>
      </c>
      <c r="LL12" s="180">
        <f>IF(COUNT(KZ12,LE12,LJ12)=0,"",SUM(KZ12,LE12,LJ12)/COUNT(KZ12,LE12,LJ12))</f>
        <v>2</v>
      </c>
      <c r="LM12" s="133" t="str">
        <f t="shared" si="75"/>
        <v>C</v>
      </c>
      <c r="LN12" s="159" t="s">
        <v>28</v>
      </c>
      <c r="LO12" s="160"/>
      <c r="LP12" s="161"/>
      <c r="LQ12" s="112">
        <f>IFERROR((((COUNTIF('Elève (5ème3)'!LN12:LP12,"A"))*4)+((COUNTIF('Elève (5ème3)'!LN12:LP12,"B"))*3)+((COUNTIF('Elève (5ème3)'!LN12:LP12,"C"))*2)+((COUNTIF('Elève (5ème3)'!LN12:LP12,"D"))*1))/(COUNTA(LN12:LP12)),"")</f>
        <v>3</v>
      </c>
      <c r="LR12" s="113" t="str">
        <f t="shared" si="76"/>
        <v>B</v>
      </c>
      <c r="LS12" s="84"/>
      <c r="LT12" s="85"/>
      <c r="LU12" s="86"/>
      <c r="LV12" s="112" t="str">
        <f>IFERROR((((COUNTIF('Elève (5ème3)'!LS12:LU12,"A"))*4)+((COUNTIF('Elève (5ème3)'!LS12:LU12,"B"))*3)+((COUNTIF('Elève (5ème3)'!LS12:LU12,"C"))*2)+((COUNTIF('Elève (5ème3)'!LS12:LU12,"D"))*1))/(COUNTA(LS12:LU12)),"")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(5ème3)'!LX12:LZ12,"A"))*4)+((COUNTIF('Elève (5ème3)'!LX12:LZ12,"B"))*3)+((COUNTIF('Elève (5ème3)'!LX12:LZ12,"C"))*2)+((COUNTIF('Elève (5ème3)'!LX12:LZ12,"D"))*1))/(COUNTA(LX12:LZ12)),"")</f>
        <v/>
      </c>
      <c r="MB12" s="113" t="str">
        <f t="shared" si="78"/>
        <v/>
      </c>
      <c r="MC12" s="180">
        <f>IF(COUNT(LQ12,LV12,MA12)=0,"",SUM(LQ12,LV12,MA12)/COUNT(LQ12,LV12,MA12))</f>
        <v>3</v>
      </c>
      <c r="MD12" s="133" t="str">
        <f t="shared" si="79"/>
        <v>B</v>
      </c>
      <c r="ME12" s="159" t="s">
        <v>28</v>
      </c>
      <c r="MF12" s="160"/>
      <c r="MG12" s="161"/>
      <c r="MH12" s="112">
        <f>IFERROR((((COUNTIF('Elève (5ème3)'!ME12:MG12,"A"))*4)+((COUNTIF('Elève (5ème3)'!ME12:MG12,"B"))*3)+((COUNTIF('Elève (5ème3)'!ME12:MG12,"C"))*2)+((COUNTIF('Elève (5ème3)'!ME12:MG12,"D"))*1))/(COUNTA(ME12:MG12)),"")</f>
        <v>3</v>
      </c>
      <c r="MI12" s="113" t="str">
        <f t="shared" si="80"/>
        <v>B</v>
      </c>
      <c r="MJ12" s="84"/>
      <c r="MK12" s="85"/>
      <c r="ML12" s="86"/>
      <c r="MM12" s="112" t="str">
        <f>IFERROR((((COUNTIF('Elève (5ème3)'!MJ12:ML12,"A"))*4)+((COUNTIF('Elève (5ème3)'!MJ12:ML12,"B"))*3)+((COUNTIF('Elève (5ème3)'!MJ12:ML12,"C"))*2)+((COUNTIF('Elève (5ème3)'!MJ12:ML12,"D"))*1))/(COUNTA(MJ12:ML12)),"")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(5ème3)'!MO12:MQ12,"A"))*4)+((COUNTIF('Elève (5ème3)'!MO12:MQ12,"B"))*3)+((COUNTIF('Elève (5ème3)'!MO12:MQ12,"C"))*2)+((COUNTIF('Elève (5ème3)'!MO12:MQ12,"D"))*1))/(COUNTA(MO12:MQ12)),"")</f>
        <v/>
      </c>
      <c r="MS12" s="113" t="str">
        <f t="shared" si="82"/>
        <v/>
      </c>
      <c r="MT12" s="180">
        <f>IF(COUNT(MH12,MM12,MR12)=0,"",SUM(MH12,MM12,MR12)/COUNT(MH12,MM12,MR12))</f>
        <v>3</v>
      </c>
      <c r="MU12" s="133" t="str">
        <f t="shared" si="83"/>
        <v>B</v>
      </c>
      <c r="MV12" s="159" t="s">
        <v>27</v>
      </c>
      <c r="MW12" s="160"/>
      <c r="MX12" s="161"/>
      <c r="MY12" s="112">
        <f>IFERROR((((COUNTIF('Elève (5ème3)'!MV12:MX12,"A"))*4)+((COUNTIF('Elève (5ème3)'!MV12:MX12,"B"))*3)+((COUNTIF('Elève (5ème3)'!MV12:MX12,"C"))*2)+((COUNTIF('Elève (5ème3)'!MV12:MX12,"D"))*1))/(COUNTA(MV12:MX12)),"")</f>
        <v>4</v>
      </c>
      <c r="MZ12" s="113" t="str">
        <f t="shared" si="84"/>
        <v>A</v>
      </c>
      <c r="NA12" s="84"/>
      <c r="NB12" s="85"/>
      <c r="NC12" s="86"/>
      <c r="ND12" s="112" t="str">
        <f>IFERROR((((COUNTIF('Elève (5ème3)'!NA12:NC12,"A"))*4)+((COUNTIF('Elève (5ème3)'!NA12:NC12,"B"))*3)+((COUNTIF('Elève (5ème3)'!NA12:NC12,"C"))*2)+((COUNTIF('Elève (5ème3)'!NA12:NC12,"D"))*1))/(COUNTA(NA12:NC12)),"")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(5ème3)'!NF12:NH12,"A"))*4)+((COUNTIF('Elève (5ème3)'!NF12:NH12,"B"))*3)+((COUNTIF('Elève (5ème3)'!NF12:NH12,"C"))*2)+((COUNTIF('Elève (5ème3)'!NF12:NH12,"D"))*1))/(COUNTA(NF12:NH12)),"")</f>
        <v/>
      </c>
      <c r="NJ12" s="113" t="str">
        <f t="shared" si="86"/>
        <v/>
      </c>
      <c r="NK12" s="180">
        <f>IF(COUNT(MY12,ND12,NI12)=0,"",SUM(MY12,ND12,NI12)/COUNT(MY12,ND12,NI12))</f>
        <v>4</v>
      </c>
      <c r="NL12" s="133" t="str">
        <f t="shared" si="87"/>
        <v>A</v>
      </c>
      <c r="NM12" s="159" t="s">
        <v>27</v>
      </c>
      <c r="NN12" s="160"/>
      <c r="NO12" s="161"/>
      <c r="NP12" s="112">
        <f>IFERROR((((COUNTIF('Elève (5ème3)'!NM12:NO12,"A"))*4)+((COUNTIF('Elève (5ème3)'!NM12:NO12,"B"))*3)+((COUNTIF('Elève (5ème3)'!NM12:NO12,"C"))*2)+((COUNTIF('Elève (5ème3)'!NM12:NO12,"D"))*1))/(COUNTA(NM12:NO12)),"")</f>
        <v>4</v>
      </c>
      <c r="NQ12" s="113" t="str">
        <f t="shared" si="88"/>
        <v>A</v>
      </c>
      <c r="NR12" s="84"/>
      <c r="NS12" s="85"/>
      <c r="NT12" s="86"/>
      <c r="NU12" s="112" t="str">
        <f>IFERROR((((COUNTIF('Elève (5ème3)'!NR12:NT12,"A"))*4)+((COUNTIF('Elève (5ème3)'!NR12:NT12,"B"))*3)+((COUNTIF('Elève (5ème3)'!NR12:NT12,"C"))*2)+((COUNTIF('Elève (5ème3)'!NR12:NT12,"D"))*1))/(COUNTA(NR12:NT12)),"")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(5ème3)'!NW12:NY12,"A"))*4)+((COUNTIF('Elève (5ème3)'!NW12:NY12,"B"))*3)+((COUNTIF('Elève (5ème3)'!NW12:NY12,"C"))*2)+((COUNTIF('Elève (5ème3)'!NW12:NY12,"D"))*1))/(COUNTA(NW12:NY12)),"")</f>
        <v/>
      </c>
      <c r="OA12" s="113" t="str">
        <f t="shared" si="90"/>
        <v/>
      </c>
      <c r="OB12" s="180">
        <f>IF(COUNT(NP12,NU12,NZ12)=0,"",SUM(NP12,NU12,NZ12)/COUNT(NP12,NU12,NZ12))</f>
        <v>4</v>
      </c>
      <c r="OC12" s="133" t="str">
        <f t="shared" si="91"/>
        <v>A</v>
      </c>
      <c r="OD12" s="159" t="s">
        <v>28</v>
      </c>
      <c r="OE12" s="160"/>
      <c r="OF12" s="161"/>
      <c r="OG12" s="112">
        <f>IFERROR((((COUNTIF('Elève (5ème3)'!OD12:OF12,"A"))*4)+((COUNTIF('Elève (5ème3)'!OD12:OF12,"B"))*3)+((COUNTIF('Elève (5ème3)'!OD12:OF12,"C"))*2)+((COUNTIF('Elève (5ème3)'!OD12:OF12,"D"))*1))/(COUNTA(OD12:OF12)),"")</f>
        <v>3</v>
      </c>
      <c r="OH12" s="113" t="str">
        <f t="shared" si="92"/>
        <v>B</v>
      </c>
      <c r="OI12" s="84"/>
      <c r="OJ12" s="85"/>
      <c r="OK12" s="86"/>
      <c r="OL12" s="112" t="str">
        <f>IFERROR((((COUNTIF('Elève (5ème3)'!OI12:OK12,"A"))*4)+((COUNTIF('Elève (5ème3)'!OI12:OK12,"B"))*3)+((COUNTIF('Elève (5ème3)'!OI12:OK12,"C"))*2)+((COUNTIF('Elève (5ème3)'!OI12:OK12,"D"))*1))/(COUNTA(OI12:OK12)),"")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(5ème3)'!ON12:OP12,"A"))*4)+((COUNTIF('Elève (5ème3)'!ON12:OP12,"B"))*3)+((COUNTIF('Elève (5ème3)'!ON12:OP12,"C"))*2)+((COUNTIF('Elève (5ème3)'!ON12:OP12,"D"))*1))/(COUNTA(ON12:OP12)),"")</f>
        <v/>
      </c>
      <c r="OR12" s="113" t="str">
        <f t="shared" si="94"/>
        <v/>
      </c>
      <c r="OS12" s="180">
        <f>IF(COUNT(OG12,OL12,OQ12)=0,"",SUM(OG12,OL12,OQ12)/COUNT(OG12,OL12,OQ12))</f>
        <v>3</v>
      </c>
      <c r="OT12" s="133" t="str">
        <f t="shared" si="95"/>
        <v>B</v>
      </c>
      <c r="OU12" s="159" t="s">
        <v>27</v>
      </c>
      <c r="OV12" s="160"/>
      <c r="OW12" s="161"/>
      <c r="OX12" s="112">
        <f>IFERROR((((COUNTIF('Elève (5ème3)'!OU12:OW12,"A"))*4)+((COUNTIF('Elève (5ème3)'!OU12:OW12,"B"))*3)+((COUNTIF('Elève (5ème3)'!OU12:OW12,"C"))*2)+((COUNTIF('Elève (5ème3)'!OU12:OW12,"D"))*1))/(COUNTA(OU12:OW12)),"")</f>
        <v>4</v>
      </c>
      <c r="OY12" s="113" t="str">
        <f t="shared" si="96"/>
        <v>A</v>
      </c>
      <c r="OZ12" s="84"/>
      <c r="PA12" s="85"/>
      <c r="PB12" s="86"/>
      <c r="PC12" s="112" t="str">
        <f>IFERROR((((COUNTIF('Elève (5ème3)'!OZ12:PB12,"A"))*4)+((COUNTIF('Elève (5ème3)'!OZ12:PB12,"B"))*3)+((COUNTIF('Elève (5ème3)'!OZ12:PB12,"C"))*2)+((COUNTIF('Elève (5ème3)'!OZ12:PB12,"D"))*1))/(COUNTA(OZ12:PB12)),"")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(5ème3)'!PE12:PG12,"A"))*4)+((COUNTIF('Elève (5ème3)'!PE12:PG12,"B"))*3)+((COUNTIF('Elève (5ème3)'!PE12:PG12,"C"))*2)+((COUNTIF('Elève (5ème3)'!PE12:PG12,"D"))*1))/(COUNTA(PE12:PG12)),"")</f>
        <v/>
      </c>
      <c r="PI12" s="113" t="str">
        <f t="shared" si="98"/>
        <v/>
      </c>
      <c r="PJ12" s="180">
        <f>IF(COUNT(OX12,PC12,PH12)=0,"",SUM(OX12,PC12,PH12)/COUNT(OX12,PC12,PH12))</f>
        <v>4</v>
      </c>
      <c r="PK12" s="133" t="str">
        <f t="shared" si="99"/>
        <v>A</v>
      </c>
      <c r="PL12" s="159" t="s">
        <v>27</v>
      </c>
      <c r="PM12" s="160"/>
      <c r="PN12" s="161"/>
      <c r="PO12" s="112">
        <f>IFERROR((((COUNTIF('Elève (5ème3)'!PL12:PN12,"A"))*4)+((COUNTIF('Elève (5ème3)'!PL12:PN12,"B"))*3)+((COUNTIF('Elève (5ème3)'!PL12:PN12,"C"))*2)+((COUNTIF('Elève (5ème3)'!PL12:PN12,"D"))*1))/(COUNTA(PL12:PN12)),"")</f>
        <v>4</v>
      </c>
      <c r="PP12" s="113" t="str">
        <f t="shared" si="100"/>
        <v>A</v>
      </c>
      <c r="PQ12" s="84"/>
      <c r="PR12" s="85"/>
      <c r="PS12" s="86"/>
      <c r="PT12" s="112" t="str">
        <f>IFERROR((((COUNTIF('Elève (5ème3)'!PQ12:PS12,"A"))*4)+((COUNTIF('Elève (5ème3)'!PQ12:PS12,"B"))*3)+((COUNTIF('Elève (5ème3)'!PQ12:PS12,"C"))*2)+((COUNTIF('Elève (5ème3)'!PQ12:PS12,"D"))*1))/(COUNTA(PQ12:PS12)),"")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(5ème3)'!PV12:PX12,"A"))*4)+((COUNTIF('Elève (5ème3)'!PV12:PX12,"B"))*3)+((COUNTIF('Elève (5ème3)'!PV12:PX12,"C"))*2)+((COUNTIF('Elève (5ème3)'!PV12:PX12,"D"))*1))/(COUNTA(PV12:PX12)),"")</f>
        <v/>
      </c>
      <c r="PZ12" s="113" t="str">
        <f t="shared" si="102"/>
        <v/>
      </c>
      <c r="QA12" s="180">
        <f>IF(COUNT(PO12,PT12,PY12)=0,"",SUM(PO12,PT12,PY12)/COUNT(PO12,PT12,PY12))</f>
        <v>4</v>
      </c>
      <c r="QB12" s="133" t="str">
        <f t="shared" si="103"/>
        <v>A</v>
      </c>
      <c r="QC12" s="159" t="s">
        <v>27</v>
      </c>
      <c r="QD12" s="160"/>
      <c r="QE12" s="161"/>
      <c r="QF12" s="112">
        <f>IFERROR((((COUNTIF('Elève (5ème3)'!QC12:QE12,"A"))*4)+((COUNTIF('Elève (5ème3)'!QC12:QE12,"B"))*3)+((COUNTIF('Elève (5ème3)'!QC12:QE12,"C"))*2)+((COUNTIF('Elève (5ème3)'!QC12:QE12,"D"))*1))/(COUNTA(QC12:QE12)),"")</f>
        <v>4</v>
      </c>
      <c r="QG12" s="113" t="str">
        <f t="shared" si="104"/>
        <v>A</v>
      </c>
      <c r="QH12" s="84"/>
      <c r="QI12" s="85"/>
      <c r="QJ12" s="86"/>
      <c r="QK12" s="112" t="str">
        <f>IFERROR((((COUNTIF('Elève (5ème3)'!QH12:QJ12,"A"))*4)+((COUNTIF('Elève (5ème3)'!QH12:QJ12,"B"))*3)+((COUNTIF('Elève (5ème3)'!QH12:QJ12,"C"))*2)+((COUNTIF('Elève (5ème3)'!QH12:QJ12,"D"))*1))/(COUNTA(QH12:QJ12)),"")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(5ème3)'!QM12:QO12,"A"))*4)+((COUNTIF('Elève (5ème3)'!QM12:QO12,"B"))*3)+((COUNTIF('Elève (5ème3)'!QM12:QO12,"C"))*2)+((COUNTIF('Elève (5ème3)'!QM12:QO12,"D"))*1))/(COUNTA(QM12:QO12)),"")</f>
        <v/>
      </c>
      <c r="QQ12" s="113" t="str">
        <f t="shared" si="106"/>
        <v/>
      </c>
      <c r="QR12" s="180">
        <f>IF(COUNT(QF12,QK12,QP12)=0,"",SUM(QF12,QK12,QP12)/COUNT(QF12,QK12,QP12))</f>
        <v>4</v>
      </c>
      <c r="QS12" s="133" t="str">
        <f t="shared" si="107"/>
        <v>A</v>
      </c>
      <c r="QT12" s="159" t="s">
        <v>27</v>
      </c>
      <c r="QU12" s="160"/>
      <c r="QV12" s="161"/>
      <c r="QW12" s="112">
        <f>IFERROR((((COUNTIF('Elève (5ème3)'!QT12:QV12,"A"))*4)+((COUNTIF('Elève (5ème3)'!QT12:QV12,"B"))*3)+((COUNTIF('Elève (5ème3)'!QT12:QV12,"C"))*2)+((COUNTIF('Elève (5ème3)'!QT12:QV12,"D"))*1))/(COUNTA(QT12:QV12)),"")</f>
        <v>4</v>
      </c>
      <c r="QX12" s="113" t="str">
        <f t="shared" si="108"/>
        <v>A</v>
      </c>
      <c r="QY12" s="84"/>
      <c r="QZ12" s="85"/>
      <c r="RA12" s="86"/>
      <c r="RB12" s="112" t="str">
        <f>IFERROR((((COUNTIF('Elève (5ème3)'!QY12:RA12,"A"))*4)+((COUNTIF('Elève (5ème3)'!QY12:RA12,"B"))*3)+((COUNTIF('Elève (5ème3)'!QY12:RA12,"C"))*2)+((COUNTIF('Elève (5ème3)'!QY12:RA12,"D"))*1))/(COUNTA(QY12:RA12)),"")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(5ème3)'!RD12:RF12,"A"))*4)+((COUNTIF('Elève (5ème3)'!RD12:RF12,"B"))*3)+((COUNTIF('Elève (5ème3)'!RD12:RF12,"C"))*2)+((COUNTIF('Elève (5ème3)'!RD12:RF12,"D"))*1))/(COUNTA(RD12:RF12)),"")</f>
        <v/>
      </c>
      <c r="RH12" s="113" t="str">
        <f t="shared" si="110"/>
        <v/>
      </c>
      <c r="RI12" s="180">
        <f>IF(COUNT(QW12,RB12,RG12)=0,"",SUM(QW12,RB12,RG12)/COUNT(QW12,RB12,RG12))</f>
        <v>4</v>
      </c>
      <c r="RJ12" s="133" t="str">
        <f t="shared" si="111"/>
        <v>A</v>
      </c>
      <c r="RK12" s="159"/>
      <c r="RL12" s="160"/>
      <c r="RM12" s="161"/>
      <c r="RN12" s="112" t="str">
        <f>IFERROR((((COUNTIF('Elève (5ème3)'!RK12:RM12,"A"))*4)+((COUNTIF('Elève (5ème3)'!RK12:RM12,"B"))*3)+((COUNTIF('Elève (5ème3)'!RK12:RM12,"C"))*2)+((COUNTIF('Elève (5ème3)'!RK12:RM12,"D"))*1))/(COUNTA(RK12:RM12)),"")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(5ème3)'!RP12:RR12,"A"))*4)+((COUNTIF('Elève (5ème3)'!RP12:RR12,"B"))*3)+((COUNTIF('Elève (5ème3)'!RP12:RR12,"C"))*2)+((COUNTIF('Elève (5ème3)'!RP12:RR12,"D"))*1))/(COUNTA(RP12:RR12)),"")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(5ème3)'!RU12:RW12,"A"))*4)+((COUNTIF('Elève (5ème3)'!RU12:RW12,"B"))*3)+((COUNTIF('Elève (5ème3)'!RU12:RW12,"C"))*2)+((COUNTIF('Elève (5ème3)'!RU12:RW12,"D"))*1))/(COUNTA(RU12:RW12)),"")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(5ème3)'!SB12:SD12,"A"))*4)+((COUNTIF('Elève (5ème3)'!SB12:SD12,"B"))*3)+((COUNTIF('Elève (5ème3)'!SB12:SD12,"C"))*2)+((COUNTIF('Elève (5ème3)'!SB12:SD12,"D"))*1))/(COUNTA(SB12:SD12)),"")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(5ème3)'!SG12:SI12,"A"))*4)+((COUNTIF('Elève (5ème3)'!SG12:SI12,"B"))*3)+((COUNTIF('Elève (5ème3)'!SG12:SI12,"C"))*2)+((COUNTIF('Elève (5ème3)'!SG12:SI12,"D"))*1))/(COUNTA(SG12:SI12)),"")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(5ème3)'!SL12:SN12,"A"))*4)+((COUNTIF('Elève (5ème3)'!SL12:SN12,"B"))*3)+((COUNTIF('Elève (5ème3)'!SL12:SN12,"C"))*2)+((COUNTIF('Elève (5ème3)'!SL12:SN12,"D"))*1))/(COUNTA(SL12:SN12)),"")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>
        <f>IFERROR((((COUNTIF('Elève (5ème3)'!C14:E15,"A"))*4)+((COUNTIF('Elève (5ème3)'!C14:E15,"B"))*3)+((COUNTIF('Elève (5ème3)'!C14:E15,"C"))*2)+((COUNTIF('Elève (5ème3)'!C14:E15,"D"))*1))/(COUNTA(C14:E15)),"")</f>
        <v>3</v>
      </c>
      <c r="G13" s="107" t="str">
        <f t="shared" si="0"/>
        <v>B</v>
      </c>
      <c r="H13" s="204"/>
      <c r="I13" s="186"/>
      <c r="J13" s="205"/>
      <c r="K13" s="106" t="str">
        <f>IFERROR((((COUNTIF('Elève (5ème3)'!H14:J15,"A"))*4)+((COUNTIF('Elève (5ème3)'!H14:J15,"B"))*3)+((COUNTIF('Elève (5ème3)'!H14:J15,"C"))*2)+((COUNTIF('Elève (5ème3)'!H14:J15,"D"))*1))/(COUNTA(H14:J15)),"")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(5ème3)'!M14:O15,"A"))*4)+((COUNTIF('Elève (5ème3)'!M14:O15,"B"))*3)+((COUNTIF('Elève (5ème3)'!M14:O15,"C"))*2)+((COUNTIF('Elève (5ème3)'!M14:O15,"D"))*1))/(COUNTA(M14:O15)),"")</f>
        <v/>
      </c>
      <c r="Q13" s="128" t="str">
        <f t="shared" si="2"/>
        <v/>
      </c>
      <c r="R13" s="177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>3</v>
      </c>
      <c r="S13" s="130" t="str">
        <f t="shared" si="3"/>
        <v>B</v>
      </c>
      <c r="T13" s="152"/>
      <c r="U13" s="185"/>
      <c r="V13" s="185"/>
      <c r="W13" s="106">
        <f>IFERROR((((COUNTIF('Elève (5ème3)'!T14:V15,"A"))*4)+((COUNTIF('Elève (5ème3)'!T14:V15,"B"))*3)+((COUNTIF('Elève (5ème3)'!T14:V15,"C"))*2)+((COUNTIF('Elève (5ème3)'!T14:V15,"D"))*1))/(COUNTA(T14:V15)),"")</f>
        <v>4</v>
      </c>
      <c r="X13" s="107" t="str">
        <f t="shared" si="4"/>
        <v>A</v>
      </c>
      <c r="Y13" s="204"/>
      <c r="Z13" s="186"/>
      <c r="AA13" s="205"/>
      <c r="AB13" s="106" t="str">
        <f>IFERROR((((COUNTIF('Elève (5ème3)'!Y14:AA15,"A"))*4)+((COUNTIF('Elève (5ème3)'!Y14:AA15,"B"))*3)+((COUNTIF('Elève (5ème3)'!Y14:AA15,"C"))*2)+((COUNTIF('Elève (5ème3)'!Y14:AA15,"D"))*1))/(COUNTA(Y14:AA15)),"")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(5ème3)'!AD14:AF15,"A"))*4)+((COUNTIF('Elève (5ème3)'!AD14:AF15,"B"))*3)+((COUNTIF('Elève (5ème3)'!AD14:AF15,"C"))*2)+((COUNTIF('Elève (5ème3)'!AD14:AF15,"D"))*1))/(COUNTA(AD14:AF15)),"")</f>
        <v/>
      </c>
      <c r="AH13" s="128" t="str">
        <f t="shared" si="6"/>
        <v/>
      </c>
      <c r="AI13" s="177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>4</v>
      </c>
      <c r="AJ13" s="130" t="str">
        <f t="shared" si="7"/>
        <v>A</v>
      </c>
      <c r="AK13" s="152"/>
      <c r="AL13" s="185"/>
      <c r="AM13" s="185"/>
      <c r="AN13" s="106">
        <f>IFERROR((((COUNTIF('Elève (5ème3)'!AK14:AM15,"A"))*4)+((COUNTIF('Elève (5ème3)'!AK14:AM15,"B"))*3)+((COUNTIF('Elève (5ème3)'!AK14:AM15,"C"))*2)+((COUNTIF('Elève (5ème3)'!AK14:AM15,"D"))*1))/(COUNTA(AK14:AM15)),"")</f>
        <v>4</v>
      </c>
      <c r="AO13" s="107" t="str">
        <f t="shared" si="8"/>
        <v>A</v>
      </c>
      <c r="AP13" s="204"/>
      <c r="AQ13" s="186"/>
      <c r="AR13" s="205"/>
      <c r="AS13" s="106" t="str">
        <f>IFERROR((((COUNTIF('Elève (5ème3)'!AP14:AR15,"A"))*4)+((COUNTIF('Elève (5ème3)'!AP14:AR15,"B"))*3)+((COUNTIF('Elève (5ème3)'!AP14:AR15,"C"))*2)+((COUNTIF('Elève (5ème3)'!AP14:AR15,"D"))*1))/(COUNTA(AP14:AR15)),"")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(5ème3)'!AU14:AW15,"A"))*4)+((COUNTIF('Elève (5ème3)'!AU14:AW15,"B"))*3)+((COUNTIF('Elève (5ème3)'!AU14:AW15,"C"))*2)+((COUNTIF('Elève (5ème3)'!AU14:AW15,"D"))*1))/(COUNTA(AU14:AW15)),"")</f>
        <v/>
      </c>
      <c r="AY13" s="128" t="str">
        <f t="shared" si="10"/>
        <v/>
      </c>
      <c r="AZ13" s="177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>4</v>
      </c>
      <c r="BA13" s="130" t="str">
        <f t="shared" si="11"/>
        <v>A</v>
      </c>
      <c r="BB13" s="152"/>
      <c r="BC13" s="185"/>
      <c r="BD13" s="185"/>
      <c r="BE13" s="106">
        <f>IFERROR((((COUNTIF('Elève (5ème3)'!BB14:BD15,"A"))*4)+((COUNTIF('Elève (5ème3)'!BB14:BD15,"B"))*3)+((COUNTIF('Elève (5ème3)'!BB14:BD15,"C"))*2)+((COUNTIF('Elève (5ème3)'!BB14:BD15,"D"))*1))/(COUNTA(BB14:BD15)),"")</f>
        <v>3</v>
      </c>
      <c r="BF13" s="107" t="str">
        <f t="shared" si="12"/>
        <v>B</v>
      </c>
      <c r="BG13" s="204"/>
      <c r="BH13" s="186"/>
      <c r="BI13" s="205"/>
      <c r="BJ13" s="106" t="str">
        <f>IFERROR((((COUNTIF('Elève (5ème3)'!BG14:BI15,"A"))*4)+((COUNTIF('Elève (5ème3)'!BG14:BI15,"B"))*3)+((COUNTIF('Elève (5ème3)'!BG14:BI15,"C"))*2)+((COUNTIF('Elève (5ème3)'!BG14:BI15,"D"))*1))/(COUNTA(BG14:BI15)),"")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(5ème3)'!BL14:BN15,"A"))*4)+((COUNTIF('Elève (5ème3)'!BL14:BN15,"B"))*3)+((COUNTIF('Elève (5ème3)'!BL14:BN15,"C"))*2)+((COUNTIF('Elève (5ème3)'!BL14:BN15,"D"))*1))/(COUNTA(BL14:BN15)),"")</f>
        <v/>
      </c>
      <c r="BP13" s="128" t="str">
        <f t="shared" si="14"/>
        <v/>
      </c>
      <c r="BQ13" s="177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>3</v>
      </c>
      <c r="BR13" s="130" t="str">
        <f t="shared" si="15"/>
        <v>B</v>
      </c>
      <c r="BS13" s="152"/>
      <c r="BT13" s="185"/>
      <c r="BU13" s="185"/>
      <c r="BV13" s="106">
        <f>IFERROR((((COUNTIF('Elève (5ème3)'!BS14:BU15,"A"))*4)+((COUNTIF('Elève (5ème3)'!BS14:BU15,"B"))*3)+((COUNTIF('Elève (5ème3)'!BS14:BU15,"C"))*2)+((COUNTIF('Elève (5ème3)'!BS14:BU15,"D"))*1))/(COUNTA(BS14:BU15)),"")</f>
        <v>4</v>
      </c>
      <c r="BW13" s="107" t="str">
        <f t="shared" si="16"/>
        <v>A</v>
      </c>
      <c r="BX13" s="204"/>
      <c r="BY13" s="186"/>
      <c r="BZ13" s="205"/>
      <c r="CA13" s="106" t="str">
        <f>IFERROR((((COUNTIF('Elève (5ème3)'!BX14:BZ15,"A"))*4)+((COUNTIF('Elève (5ème3)'!BX14:BZ15,"B"))*3)+((COUNTIF('Elève (5ème3)'!BX14:BZ15,"C"))*2)+((COUNTIF('Elève (5ème3)'!BX14:BZ15,"D"))*1))/(COUNTA(BX14:BZ15)),"")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(5ème3)'!CC14:CE15,"A"))*4)+((COUNTIF('Elève (5ème3)'!CC14:CE15,"B"))*3)+((COUNTIF('Elève (5ème3)'!CC14:CE15,"C"))*2)+((COUNTIF('Elève (5ème3)'!CC14:CE15,"D"))*1))/(COUNTA(CC14:CE15)),"")</f>
        <v/>
      </c>
      <c r="CG13" s="128" t="str">
        <f t="shared" si="18"/>
        <v/>
      </c>
      <c r="CH13" s="177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>4</v>
      </c>
      <c r="CI13" s="130" t="str">
        <f t="shared" si="19"/>
        <v>A</v>
      </c>
      <c r="CJ13" s="152"/>
      <c r="CK13" s="185"/>
      <c r="CL13" s="185"/>
      <c r="CM13" s="106">
        <f>IFERROR((((COUNTIF('Elève (5ème3)'!CJ14:CL15,"A"))*4)+((COUNTIF('Elève (5ème3)'!CJ14:CL15,"B"))*3)+((COUNTIF('Elève (5ème3)'!CJ14:CL15,"C"))*2)+((COUNTIF('Elève (5ème3)'!CJ14:CL15,"D"))*1))/(COUNTA(CJ14:CL15)),"")</f>
        <v>3</v>
      </c>
      <c r="CN13" s="107" t="str">
        <f t="shared" si="20"/>
        <v>B</v>
      </c>
      <c r="CO13" s="204"/>
      <c r="CP13" s="186"/>
      <c r="CQ13" s="205"/>
      <c r="CR13" s="106" t="str">
        <f>IFERROR((((COUNTIF('Elève (5ème3)'!CO14:CQ15,"A"))*4)+((COUNTIF('Elève (5ème3)'!CO14:CQ15,"B"))*3)+((COUNTIF('Elève (5ème3)'!CO14:CQ15,"C"))*2)+((COUNTIF('Elève (5ème3)'!CO14:CQ15,"D"))*1))/(COUNTA(CO14:CQ15)),"")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(5ème3)'!CT14:CV15,"A"))*4)+((COUNTIF('Elève (5ème3)'!CT14:CV15,"B"))*3)+((COUNTIF('Elève (5ème3)'!CT14:CV15,"C"))*2)+((COUNTIF('Elève (5ème3)'!CT14:CV15,"D"))*1))/(COUNTA(CT14:CV15)),"")</f>
        <v/>
      </c>
      <c r="CX13" s="128" t="str">
        <f t="shared" si="22"/>
        <v/>
      </c>
      <c r="CY13" s="177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>3</v>
      </c>
      <c r="CZ13" s="130" t="str">
        <f t="shared" si="23"/>
        <v>B</v>
      </c>
      <c r="DA13" s="152"/>
      <c r="DB13" s="185"/>
      <c r="DC13" s="185"/>
      <c r="DD13" s="106">
        <f>IFERROR((((COUNTIF('Elève (5ème3)'!DA14:DC15,"A"))*4)+((COUNTIF('Elève (5ème3)'!DA14:DC15,"B"))*3)+((COUNTIF('Elève (5ème3)'!DA14:DC15,"C"))*2)+((COUNTIF('Elève (5ème3)'!DA14:DC15,"D"))*1))/(COUNTA(DA14:DC15)),"")</f>
        <v>3</v>
      </c>
      <c r="DE13" s="107" t="str">
        <f t="shared" si="24"/>
        <v>B</v>
      </c>
      <c r="DF13" s="204"/>
      <c r="DG13" s="186"/>
      <c r="DH13" s="205"/>
      <c r="DI13" s="106" t="str">
        <f>IFERROR((((COUNTIF('Elève (5ème3)'!DF14:DH15,"A"))*4)+((COUNTIF('Elève (5ème3)'!DF14:DH15,"B"))*3)+((COUNTIF('Elève (5ème3)'!DF14:DH15,"C"))*2)+((COUNTIF('Elève (5ème3)'!DF14:DH15,"D"))*1))/(COUNTA(DF14:DH15)),"")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(5ème3)'!DK14:DM15,"A"))*4)+((COUNTIF('Elève (5ème3)'!DK14:DM15,"B"))*3)+((COUNTIF('Elève (5ème3)'!DK14:DM15,"C"))*2)+((COUNTIF('Elève (5ème3)'!DK14:DM15,"D"))*1))/(COUNTA(DK14:DM15)),"")</f>
        <v/>
      </c>
      <c r="DO13" s="128" t="str">
        <f t="shared" si="26"/>
        <v/>
      </c>
      <c r="DP13" s="177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>3</v>
      </c>
      <c r="DQ13" s="130" t="str">
        <f t="shared" si="27"/>
        <v>B</v>
      </c>
      <c r="DR13" s="152"/>
      <c r="DS13" s="185"/>
      <c r="DT13" s="185"/>
      <c r="DU13" s="106">
        <f>IFERROR((((COUNTIF('Elève (5ème3)'!DR14:DT15,"A"))*4)+((COUNTIF('Elève (5ème3)'!DR14:DT15,"B"))*3)+((COUNTIF('Elève (5ème3)'!DR14:DT15,"C"))*2)+((COUNTIF('Elève (5ème3)'!DR14:DT15,"D"))*1))/(COUNTA(DR14:DT15)),"")</f>
        <v>3</v>
      </c>
      <c r="DV13" s="107" t="str">
        <f t="shared" si="28"/>
        <v>B</v>
      </c>
      <c r="DW13" s="204"/>
      <c r="DX13" s="186"/>
      <c r="DY13" s="205"/>
      <c r="DZ13" s="106" t="str">
        <f>IFERROR((((COUNTIF('Elève (5ème3)'!DW14:DY15,"A"))*4)+((COUNTIF('Elève (5ème3)'!DW14:DY15,"B"))*3)+((COUNTIF('Elève (5ème3)'!DW14:DY15,"C"))*2)+((COUNTIF('Elève (5ème3)'!DW14:DY15,"D"))*1))/(COUNTA(DW14:DY15)),"")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(5ème3)'!EB14:ED15,"A"))*4)+((COUNTIF('Elève (5ème3)'!EB14:ED15,"B"))*3)+((COUNTIF('Elève (5ème3)'!EB14:ED15,"C"))*2)+((COUNTIF('Elève (5ème3)'!EB14:ED15,"D"))*1))/(COUNTA(EB14:ED15)),"")</f>
        <v/>
      </c>
      <c r="EF13" s="128" t="str">
        <f t="shared" si="30"/>
        <v/>
      </c>
      <c r="EG13" s="177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>3</v>
      </c>
      <c r="EH13" s="130" t="str">
        <f t="shared" si="31"/>
        <v>B</v>
      </c>
      <c r="EI13" s="152"/>
      <c r="EJ13" s="185"/>
      <c r="EK13" s="185"/>
      <c r="EL13" s="106">
        <f>IFERROR((((COUNTIF('Elève (5ème3)'!EI14:EK15,"A"))*4)+((COUNTIF('Elève (5ème3)'!EI14:EK15,"B"))*3)+((COUNTIF('Elève (5ème3)'!EI14:EK15,"C"))*2)+((COUNTIF('Elève (5ème3)'!EI14:EK15,"D"))*1))/(COUNTA(EI14:EK15)),"")</f>
        <v>4</v>
      </c>
      <c r="EM13" s="107" t="str">
        <f t="shared" si="32"/>
        <v>A</v>
      </c>
      <c r="EN13" s="204"/>
      <c r="EO13" s="186"/>
      <c r="EP13" s="205"/>
      <c r="EQ13" s="106" t="str">
        <f>IFERROR((((COUNTIF('Elève (5ème3)'!EN14:EP15,"A"))*4)+((COUNTIF('Elève (5ème3)'!EN14:EP15,"B"))*3)+((COUNTIF('Elève (5ème3)'!EN14:EP15,"C"))*2)+((COUNTIF('Elève (5ème3)'!EN14:EP15,"D"))*1))/(COUNTA(EN14:EP15)),"")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(5ème3)'!ES14:EU15,"A"))*4)+((COUNTIF('Elève (5ème3)'!ES14:EU15,"B"))*3)+((COUNTIF('Elève (5ème3)'!ES14:EU15,"C"))*2)+((COUNTIF('Elève (5ème3)'!ES14:EU15,"D"))*1))/(COUNTA(ES14:EU15)),"")</f>
        <v/>
      </c>
      <c r="EW13" s="128" t="str">
        <f t="shared" si="34"/>
        <v/>
      </c>
      <c r="EX13" s="177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>4</v>
      </c>
      <c r="EY13" s="130" t="str">
        <f t="shared" si="35"/>
        <v>A</v>
      </c>
      <c r="EZ13" s="152"/>
      <c r="FA13" s="185"/>
      <c r="FB13" s="185"/>
      <c r="FC13" s="106">
        <f>IFERROR((((COUNTIF('Elève (5ème3)'!EZ14:FB15,"A"))*4)+((COUNTIF('Elève (5ème3)'!EZ14:FB15,"B"))*3)+((COUNTIF('Elève (5ème3)'!EZ14:FB15,"C"))*2)+((COUNTIF('Elève (5ème3)'!EZ14:FB15,"D"))*1))/(COUNTA(EZ14:FB15)),"")</f>
        <v>4</v>
      </c>
      <c r="FD13" s="107" t="str">
        <f t="shared" si="36"/>
        <v>A</v>
      </c>
      <c r="FE13" s="204"/>
      <c r="FF13" s="186"/>
      <c r="FG13" s="205"/>
      <c r="FH13" s="106" t="str">
        <f>IFERROR((((COUNTIF('Elève (5ème3)'!FE14:FG15,"A"))*4)+((COUNTIF('Elève (5ème3)'!FE14:FG15,"B"))*3)+((COUNTIF('Elève (5ème3)'!FE14:FG15,"C"))*2)+((COUNTIF('Elève (5ème3)'!FE14:FG15,"D"))*1))/(COUNTA(FE14:FG15)),"")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(5ème3)'!FJ14:FL15,"A"))*4)+((COUNTIF('Elève (5ème3)'!FJ14:FL15,"B"))*3)+((COUNTIF('Elève (5ème3)'!FJ14:FL15,"C"))*2)+((COUNTIF('Elève (5ème3)'!FJ14:FL15,"D"))*1))/(COUNTA(FJ14:FL15)),"")</f>
        <v/>
      </c>
      <c r="FN13" s="128" t="str">
        <f t="shared" si="38"/>
        <v/>
      </c>
      <c r="FO13" s="177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>4</v>
      </c>
      <c r="FP13" s="130" t="str">
        <f t="shared" si="39"/>
        <v>A</v>
      </c>
      <c r="FQ13" s="152"/>
      <c r="FR13" s="185"/>
      <c r="FS13" s="185"/>
      <c r="FT13" s="106">
        <f>IFERROR((((COUNTIF('Elève (5ème3)'!FQ14:FS15,"A"))*4)+((COUNTIF('Elève (5ème3)'!FQ14:FS15,"B"))*3)+((COUNTIF('Elève (5ème3)'!FQ14:FS15,"C"))*2)+((COUNTIF('Elève (5ème3)'!FQ14:FS15,"D"))*1))/(COUNTA(FQ14:FS15)),"")</f>
        <v>4</v>
      </c>
      <c r="FU13" s="107" t="str">
        <f t="shared" si="40"/>
        <v>A</v>
      </c>
      <c r="FV13" s="204"/>
      <c r="FW13" s="186"/>
      <c r="FX13" s="205"/>
      <c r="FY13" s="106" t="str">
        <f>IFERROR((((COUNTIF('Elève (5ème3)'!FV14:FX15,"A"))*4)+((COUNTIF('Elève (5ème3)'!FV14:FX15,"B"))*3)+((COUNTIF('Elève (5ème3)'!FV14:FX15,"C"))*2)+((COUNTIF('Elève (5ème3)'!FV14:FX15,"D"))*1))/(COUNTA(FV14:FX15)),"")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(5ème3)'!GA14:GC15,"A"))*4)+((COUNTIF('Elève (5ème3)'!GA14:GC15,"B"))*3)+((COUNTIF('Elève (5ème3)'!GA14:GC15,"C"))*2)+((COUNTIF('Elève (5ème3)'!GA14:GC15,"D"))*1))/(COUNTA(GA14:GC15)),"")</f>
        <v/>
      </c>
      <c r="GE13" s="128" t="str">
        <f t="shared" si="42"/>
        <v/>
      </c>
      <c r="GF13" s="177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>4</v>
      </c>
      <c r="GG13" s="130" t="str">
        <f t="shared" si="43"/>
        <v>A</v>
      </c>
      <c r="GH13" s="152"/>
      <c r="GI13" s="185"/>
      <c r="GJ13" s="185"/>
      <c r="GK13" s="106">
        <f>IFERROR((((COUNTIF('Elève (5ème3)'!GH14:GJ15,"A"))*4)+((COUNTIF('Elève (5ème3)'!GH14:GJ15,"B"))*3)+((COUNTIF('Elève (5ème3)'!GH14:GJ15,"C"))*2)+((COUNTIF('Elève (5ème3)'!GH14:GJ15,"D"))*1))/(COUNTA(GH14:GJ15)),"")</f>
        <v>4</v>
      </c>
      <c r="GL13" s="107" t="str">
        <f t="shared" si="44"/>
        <v>A</v>
      </c>
      <c r="GM13" s="204"/>
      <c r="GN13" s="186"/>
      <c r="GO13" s="205"/>
      <c r="GP13" s="106" t="str">
        <f>IFERROR((((COUNTIF('Elève (5ème3)'!GM14:GO15,"A"))*4)+((COUNTIF('Elève (5ème3)'!GM14:GO15,"B"))*3)+((COUNTIF('Elève (5ème3)'!GM14:GO15,"C"))*2)+((COUNTIF('Elève (5ème3)'!GM14:GO15,"D"))*1))/(COUNTA(GM14:GO15)),"")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(5ème3)'!GR14:GT15,"A"))*4)+((COUNTIF('Elève (5ème3)'!GR14:GT15,"B"))*3)+((COUNTIF('Elève (5ème3)'!GR14:GT15,"C"))*2)+((COUNTIF('Elève (5ème3)'!GR14:GT15,"D"))*1))/(COUNTA(GR14:GT15)),"")</f>
        <v/>
      </c>
      <c r="GV13" s="128" t="str">
        <f t="shared" si="46"/>
        <v/>
      </c>
      <c r="GW13" s="177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>4</v>
      </c>
      <c r="GX13" s="130" t="str">
        <f t="shared" si="47"/>
        <v>A</v>
      </c>
      <c r="GY13" s="152"/>
      <c r="GZ13" s="185"/>
      <c r="HA13" s="185"/>
      <c r="HB13" s="106">
        <f>IFERROR((((COUNTIF('Elève (5ème3)'!GY14:HA15,"A"))*4)+((COUNTIF('Elève (5ème3)'!GY14:HA15,"B"))*3)+((COUNTIF('Elève (5ème3)'!GY14:HA15,"C"))*2)+((COUNTIF('Elève (5ème3)'!GY14:HA15,"D"))*1))/(COUNTA(GY14:HA15)),"")</f>
        <v>4</v>
      </c>
      <c r="HC13" s="107" t="str">
        <f t="shared" si="48"/>
        <v>A</v>
      </c>
      <c r="HD13" s="204"/>
      <c r="HE13" s="186"/>
      <c r="HF13" s="205"/>
      <c r="HG13" s="106" t="str">
        <f>IFERROR((((COUNTIF('Elève (5ème3)'!HD14:HF15,"A"))*4)+((COUNTIF('Elève (5ème3)'!HD14:HF15,"B"))*3)+((COUNTIF('Elève (5ème3)'!HD14:HF15,"C"))*2)+((COUNTIF('Elève (5ème3)'!HD14:HF15,"D"))*1))/(COUNTA(HD14:HF15)),"")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(5ème3)'!HI14:HK15,"A"))*4)+((COUNTIF('Elève (5ème3)'!HI14:HK15,"B"))*3)+((COUNTIF('Elève (5ème3)'!HI14:HK15,"C"))*2)+((COUNTIF('Elève (5ème3)'!HI14:HK15,"D"))*1))/(COUNTA(HI14:HK15)),"")</f>
        <v/>
      </c>
      <c r="HM13" s="128" t="str">
        <f t="shared" si="50"/>
        <v/>
      </c>
      <c r="HN13" s="177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>4</v>
      </c>
      <c r="HO13" s="130" t="str">
        <f t="shared" si="51"/>
        <v>A</v>
      </c>
      <c r="HP13" s="152"/>
      <c r="HQ13" s="185"/>
      <c r="HR13" s="185"/>
      <c r="HS13" s="106">
        <f>IFERROR((((COUNTIF('Elève (5ème3)'!HP14:HR15,"A"))*4)+((COUNTIF('Elève (5ème3)'!HP14:HR15,"B"))*3)+((COUNTIF('Elève (5ème3)'!HP14:HR15,"C"))*2)+((COUNTIF('Elève (5ème3)'!HP14:HR15,"D"))*1))/(COUNTA(HP14:HR15)),"")</f>
        <v>2</v>
      </c>
      <c r="HT13" s="107" t="str">
        <f t="shared" si="52"/>
        <v>C</v>
      </c>
      <c r="HU13" s="204"/>
      <c r="HV13" s="186"/>
      <c r="HW13" s="205"/>
      <c r="HX13" s="106" t="str">
        <f>IFERROR((((COUNTIF('Elève (5ème3)'!HU14:HW15,"A"))*4)+((COUNTIF('Elève (5ème3)'!HU14:HW15,"B"))*3)+((COUNTIF('Elève (5ème3)'!HU14:HW15,"C"))*2)+((COUNTIF('Elève (5ème3)'!HU14:HW15,"D"))*1))/(COUNTA(HU14:HW15)),"")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(5ème3)'!HZ14:IB15,"A"))*4)+((COUNTIF('Elève (5ème3)'!HZ14:IB15,"B"))*3)+((COUNTIF('Elève (5ème3)'!HZ14:IB15,"C"))*2)+((COUNTIF('Elève (5ème3)'!HZ14:IB15,"D"))*1))/(COUNTA(HZ14:IB15)),"")</f>
        <v/>
      </c>
      <c r="ID13" s="128" t="str">
        <f t="shared" si="54"/>
        <v/>
      </c>
      <c r="IE13" s="177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>2</v>
      </c>
      <c r="IF13" s="130" t="str">
        <f t="shared" si="55"/>
        <v>C</v>
      </c>
      <c r="IG13" s="152"/>
      <c r="IH13" s="185"/>
      <c r="II13" s="185"/>
      <c r="IJ13" s="106">
        <f>IFERROR((((COUNTIF('Elève (5ème3)'!IG14:II15,"A"))*4)+((COUNTIF('Elève (5ème3)'!IG14:II15,"B"))*3)+((COUNTIF('Elève (5ème3)'!IG14:II15,"C"))*2)+((COUNTIF('Elève (5ème3)'!IG14:II15,"D"))*1))/(COUNTA(IG14:II15)),"")</f>
        <v>3</v>
      </c>
      <c r="IK13" s="107" t="str">
        <f t="shared" si="56"/>
        <v>B</v>
      </c>
      <c r="IL13" s="204"/>
      <c r="IM13" s="186"/>
      <c r="IN13" s="205"/>
      <c r="IO13" s="106" t="str">
        <f>IFERROR((((COUNTIF('Elève (5ème3)'!IL14:IN15,"A"))*4)+((COUNTIF('Elève (5ème3)'!IL14:IN15,"B"))*3)+((COUNTIF('Elève (5ème3)'!IL14:IN15,"C"))*2)+((COUNTIF('Elève (5ème3)'!IL14:IN15,"D"))*1))/(COUNTA(IL14:IN15)),"")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(5ème3)'!IQ14:IS15,"A"))*4)+((COUNTIF('Elève (5ème3)'!IQ14:IS15,"B"))*3)+((COUNTIF('Elève (5ème3)'!IQ14:IS15,"C"))*2)+((COUNTIF('Elève (5ème3)'!IQ14:IS15,"D"))*1))/(COUNTA(IQ14:IS15)),"")</f>
        <v/>
      </c>
      <c r="IU13" s="128" t="str">
        <f t="shared" si="58"/>
        <v/>
      </c>
      <c r="IV13" s="177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>3</v>
      </c>
      <c r="IW13" s="130" t="str">
        <f t="shared" si="59"/>
        <v>B</v>
      </c>
      <c r="IX13" s="152"/>
      <c r="IY13" s="185"/>
      <c r="IZ13" s="185"/>
      <c r="JA13" s="106">
        <f>IFERROR((((COUNTIF('Elève (5ème3)'!IX14:IZ15,"A"))*4)+((COUNTIF('Elève (5ème3)'!IX14:IZ15,"B"))*3)+((COUNTIF('Elève (5ème3)'!IX14:IZ15,"C"))*2)+((COUNTIF('Elève (5ème3)'!IX14:IZ15,"D"))*1))/(COUNTA(IX14:IZ15)),"")</f>
        <v>4</v>
      </c>
      <c r="JB13" s="107" t="str">
        <f t="shared" si="60"/>
        <v>A</v>
      </c>
      <c r="JC13" s="204"/>
      <c r="JD13" s="186"/>
      <c r="JE13" s="205"/>
      <c r="JF13" s="106" t="str">
        <f>IFERROR((((COUNTIF('Elève (5ème3)'!JC14:JE15,"A"))*4)+((COUNTIF('Elève (5ème3)'!JC14:JE15,"B"))*3)+((COUNTIF('Elève (5ème3)'!JC14:JE15,"C"))*2)+((COUNTIF('Elève (5ème3)'!JC14:JE15,"D"))*1))/(COUNTA(JC14:JE15)),"")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(5ème3)'!JH14:JJ15,"A"))*4)+((COUNTIF('Elève (5ème3)'!JH14:JJ15,"B"))*3)+((COUNTIF('Elève (5ème3)'!JH14:JJ15,"C"))*2)+((COUNTIF('Elève (5ème3)'!JH14:JJ15,"D"))*1))/(COUNTA(JH14:JJ15)),"")</f>
        <v/>
      </c>
      <c r="JL13" s="128" t="str">
        <f t="shared" si="62"/>
        <v/>
      </c>
      <c r="JM13" s="177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>4</v>
      </c>
      <c r="JN13" s="130" t="str">
        <f t="shared" si="63"/>
        <v>A</v>
      </c>
      <c r="JO13" s="152"/>
      <c r="JP13" s="185"/>
      <c r="JQ13" s="185"/>
      <c r="JR13" s="106">
        <f>IFERROR((((COUNTIF('Elève (5ème3)'!JO14:JQ15,"A"))*4)+((COUNTIF('Elève (5ème3)'!JO14:JQ15,"B"))*3)+((COUNTIF('Elève (5ème3)'!JO14:JQ15,"C"))*2)+((COUNTIF('Elève (5ème3)'!JO14:JQ15,"D"))*1))/(COUNTA(JO14:JQ15)),"")</f>
        <v>3</v>
      </c>
      <c r="JS13" s="107" t="str">
        <f t="shared" si="64"/>
        <v>B</v>
      </c>
      <c r="JT13" s="204"/>
      <c r="JU13" s="186"/>
      <c r="JV13" s="205"/>
      <c r="JW13" s="106" t="str">
        <f>IFERROR((((COUNTIF('Elève (5ème3)'!JT14:JV15,"A"))*4)+((COUNTIF('Elève (5ème3)'!JT14:JV15,"B"))*3)+((COUNTIF('Elève (5ème3)'!JT14:JV15,"C"))*2)+((COUNTIF('Elève (5ème3)'!JT14:JV15,"D"))*1))/(COUNTA(JT14:JV15)),"")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(5ème3)'!JY14:KA15,"A"))*4)+((COUNTIF('Elève (5ème3)'!JY14:KA15,"B"))*3)+((COUNTIF('Elève (5ème3)'!JY14:KA15,"C"))*2)+((COUNTIF('Elève (5ème3)'!JY14:KA15,"D"))*1))/(COUNTA(JY14:KA15)),"")</f>
        <v/>
      </c>
      <c r="KC13" s="128" t="str">
        <f t="shared" si="66"/>
        <v/>
      </c>
      <c r="KD13" s="177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>3</v>
      </c>
      <c r="KE13" s="130" t="str">
        <f t="shared" si="67"/>
        <v>B</v>
      </c>
      <c r="KF13" s="152"/>
      <c r="KG13" s="185"/>
      <c r="KH13" s="185"/>
      <c r="KI13" s="106">
        <f>IFERROR((((COUNTIF('Elève (5ème3)'!KF14:KH15,"A"))*4)+((COUNTIF('Elève (5ème3)'!KF14:KH15,"B"))*3)+((COUNTIF('Elève (5ème3)'!KF14:KH15,"C"))*2)+((COUNTIF('Elève (5ème3)'!KF14:KH15,"D"))*1))/(COUNTA(KF14:KH15)),"")</f>
        <v>4</v>
      </c>
      <c r="KJ13" s="107" t="str">
        <f t="shared" si="68"/>
        <v>A</v>
      </c>
      <c r="KK13" s="204"/>
      <c r="KL13" s="186"/>
      <c r="KM13" s="205"/>
      <c r="KN13" s="106" t="str">
        <f>IFERROR((((COUNTIF('Elève (5ème3)'!KK14:KM15,"A"))*4)+((COUNTIF('Elève (5ème3)'!KK14:KM15,"B"))*3)+((COUNTIF('Elève (5ème3)'!KK14:KM15,"C"))*2)+((COUNTIF('Elève (5ème3)'!KK14:KM15,"D"))*1))/(COUNTA(KK14:KM15)),"")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(5ème3)'!KP14:KR15,"A"))*4)+((COUNTIF('Elève (5ème3)'!KP14:KR15,"B"))*3)+((COUNTIF('Elève (5ème3)'!KP14:KR15,"C"))*2)+((COUNTIF('Elève (5ème3)'!KP14:KR15,"D"))*1))/(COUNTA(KP14:KR15)),"")</f>
        <v/>
      </c>
      <c r="KT13" s="128" t="str">
        <f t="shared" si="70"/>
        <v/>
      </c>
      <c r="KU13" s="177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>4</v>
      </c>
      <c r="KV13" s="130" t="str">
        <f t="shared" si="71"/>
        <v>A</v>
      </c>
      <c r="KW13" s="152"/>
      <c r="KX13" s="185"/>
      <c r="KY13" s="185"/>
      <c r="KZ13" s="106">
        <f>IFERROR((((COUNTIF('Elève (5ème3)'!KW14:KY15,"A"))*4)+((COUNTIF('Elève (5ème3)'!KW14:KY15,"B"))*3)+((COUNTIF('Elève (5ème3)'!KW14:KY15,"C"))*2)+((COUNTIF('Elève (5ème3)'!KW14:KY15,"D"))*1))/(COUNTA(KW14:KY15)),"")</f>
        <v>3</v>
      </c>
      <c r="LA13" s="107" t="str">
        <f t="shared" si="72"/>
        <v>B</v>
      </c>
      <c r="LB13" s="204"/>
      <c r="LC13" s="186"/>
      <c r="LD13" s="205"/>
      <c r="LE13" s="106" t="str">
        <f>IFERROR((((COUNTIF('Elève (5ème3)'!LB14:LD15,"A"))*4)+((COUNTIF('Elève (5ème3)'!LB14:LD15,"B"))*3)+((COUNTIF('Elève (5ème3)'!LB14:LD15,"C"))*2)+((COUNTIF('Elève (5ème3)'!LB14:LD15,"D"))*1))/(COUNTA(LB14:LD15)),"")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(5ème3)'!LG14:LI15,"A"))*4)+((COUNTIF('Elève (5ème3)'!LG14:LI15,"B"))*3)+((COUNTIF('Elève (5ème3)'!LG14:LI15,"C"))*2)+((COUNTIF('Elève (5ème3)'!LG14:LI15,"D"))*1))/(COUNTA(LG14:LI15)),"")</f>
        <v/>
      </c>
      <c r="LK13" s="128" t="str">
        <f t="shared" si="74"/>
        <v/>
      </c>
      <c r="LL13" s="177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>3</v>
      </c>
      <c r="LM13" s="130" t="str">
        <f t="shared" si="75"/>
        <v>B</v>
      </c>
      <c r="LN13" s="152"/>
      <c r="LO13" s="185"/>
      <c r="LP13" s="185"/>
      <c r="LQ13" s="106">
        <f>IFERROR((((COUNTIF('Elève (5ème3)'!LN14:LP15,"A"))*4)+((COUNTIF('Elève (5ème3)'!LN14:LP15,"B"))*3)+((COUNTIF('Elève (5ème3)'!LN14:LP15,"C"))*2)+((COUNTIF('Elève (5ème3)'!LN14:LP15,"D"))*1))/(COUNTA(LN14:LP15)),"")</f>
        <v>4</v>
      </c>
      <c r="LR13" s="107" t="str">
        <f t="shared" si="76"/>
        <v>A</v>
      </c>
      <c r="LS13" s="204"/>
      <c r="LT13" s="186"/>
      <c r="LU13" s="205"/>
      <c r="LV13" s="106" t="str">
        <f>IFERROR((((COUNTIF('Elève (5ème3)'!LS14:LU15,"A"))*4)+((COUNTIF('Elève (5ème3)'!LS14:LU15,"B"))*3)+((COUNTIF('Elève (5ème3)'!LS14:LU15,"C"))*2)+((COUNTIF('Elève (5ème3)'!LS14:LU15,"D"))*1))/(COUNTA(LS14:LU15)),"")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(5ème3)'!LX14:LZ15,"A"))*4)+((COUNTIF('Elève (5ème3)'!LX14:LZ15,"B"))*3)+((COUNTIF('Elève (5ème3)'!LX14:LZ15,"C"))*2)+((COUNTIF('Elève (5ème3)'!LX14:LZ15,"D"))*1))/(COUNTA(LX14:LZ15)),"")</f>
        <v/>
      </c>
      <c r="MB13" s="128" t="str">
        <f t="shared" si="78"/>
        <v/>
      </c>
      <c r="MC13" s="177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>4</v>
      </c>
      <c r="MD13" s="130" t="str">
        <f t="shared" si="79"/>
        <v>A</v>
      </c>
      <c r="ME13" s="152"/>
      <c r="MF13" s="185"/>
      <c r="MG13" s="185"/>
      <c r="MH13" s="106">
        <f>IFERROR((((COUNTIF('Elève (5ème3)'!ME14:MG15,"A"))*4)+((COUNTIF('Elève (5ème3)'!ME14:MG15,"B"))*3)+((COUNTIF('Elève (5ème3)'!ME14:MG15,"C"))*2)+((COUNTIF('Elève (5ème3)'!ME14:MG15,"D"))*1))/(COUNTA(ME14:MG15)),"")</f>
        <v>3</v>
      </c>
      <c r="MI13" s="107" t="str">
        <f t="shared" si="80"/>
        <v>B</v>
      </c>
      <c r="MJ13" s="204"/>
      <c r="MK13" s="186"/>
      <c r="ML13" s="205"/>
      <c r="MM13" s="106" t="str">
        <f>IFERROR((((COUNTIF('Elève (5ème3)'!MJ14:ML15,"A"))*4)+((COUNTIF('Elève (5ème3)'!MJ14:ML15,"B"))*3)+((COUNTIF('Elève (5ème3)'!MJ14:ML15,"C"))*2)+((COUNTIF('Elève (5ème3)'!MJ14:ML15,"D"))*1))/(COUNTA(MJ14:ML15)),"")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(5ème3)'!MO14:MQ15,"A"))*4)+((COUNTIF('Elève (5ème3)'!MO14:MQ15,"B"))*3)+((COUNTIF('Elève (5ème3)'!MO14:MQ15,"C"))*2)+((COUNTIF('Elève (5ème3)'!MO14:MQ15,"D"))*1))/(COUNTA(MO14:MQ15)),"")</f>
        <v/>
      </c>
      <c r="MS13" s="128" t="str">
        <f t="shared" si="82"/>
        <v/>
      </c>
      <c r="MT13" s="177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>3</v>
      </c>
      <c r="MU13" s="130" t="str">
        <f t="shared" si="83"/>
        <v>B</v>
      </c>
      <c r="MV13" s="152"/>
      <c r="MW13" s="185"/>
      <c r="MX13" s="185"/>
      <c r="MY13" s="106">
        <f>IFERROR((((COUNTIF('Elève (5ème3)'!MV14:MX15,"A"))*4)+((COUNTIF('Elève (5ème3)'!MV14:MX15,"B"))*3)+((COUNTIF('Elève (5ème3)'!MV14:MX15,"C"))*2)+((COUNTIF('Elève (5ème3)'!MV14:MX15,"D"))*1))/(COUNTA(MV14:MX15)),"")</f>
        <v>4</v>
      </c>
      <c r="MZ13" s="107" t="str">
        <f t="shared" si="84"/>
        <v>A</v>
      </c>
      <c r="NA13" s="204"/>
      <c r="NB13" s="186"/>
      <c r="NC13" s="205"/>
      <c r="ND13" s="106" t="str">
        <f>IFERROR((((COUNTIF('Elève (5ème3)'!NA14:NC15,"A"))*4)+((COUNTIF('Elève (5ème3)'!NA14:NC15,"B"))*3)+((COUNTIF('Elève (5ème3)'!NA14:NC15,"C"))*2)+((COUNTIF('Elève (5ème3)'!NA14:NC15,"D"))*1))/(COUNTA(NA14:NC15)),"")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(5ème3)'!NF14:NH15,"A"))*4)+((COUNTIF('Elève (5ème3)'!NF14:NH15,"B"))*3)+((COUNTIF('Elève (5ème3)'!NF14:NH15,"C"))*2)+((COUNTIF('Elève (5ème3)'!NF14:NH15,"D"))*1))/(COUNTA(NF14:NH15)),"")</f>
        <v/>
      </c>
      <c r="NJ13" s="128" t="str">
        <f t="shared" si="86"/>
        <v/>
      </c>
      <c r="NK13" s="177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>4</v>
      </c>
      <c r="NL13" s="130" t="str">
        <f t="shared" si="87"/>
        <v>A</v>
      </c>
      <c r="NM13" s="152"/>
      <c r="NN13" s="185"/>
      <c r="NO13" s="185"/>
      <c r="NP13" s="106">
        <f>IFERROR((((COUNTIF('Elève (5ème3)'!NM14:NO15,"A"))*4)+((COUNTIF('Elève (5ème3)'!NM14:NO15,"B"))*3)+((COUNTIF('Elève (5ème3)'!NM14:NO15,"C"))*2)+((COUNTIF('Elève (5ème3)'!NM14:NO15,"D"))*1))/(COUNTA(NM14:NO15)),"")</f>
        <v>4</v>
      </c>
      <c r="NQ13" s="107" t="str">
        <f t="shared" si="88"/>
        <v>A</v>
      </c>
      <c r="NR13" s="204"/>
      <c r="NS13" s="186"/>
      <c r="NT13" s="205"/>
      <c r="NU13" s="106" t="str">
        <f>IFERROR((((COUNTIF('Elève (5ème3)'!NR14:NT15,"A"))*4)+((COUNTIF('Elève (5ème3)'!NR14:NT15,"B"))*3)+((COUNTIF('Elève (5ème3)'!NR14:NT15,"C"))*2)+((COUNTIF('Elève (5ème3)'!NR14:NT15,"D"))*1))/(COUNTA(NR14:NT15)),"")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(5ème3)'!NW14:NY15,"A"))*4)+((COUNTIF('Elève (5ème3)'!NW14:NY15,"B"))*3)+((COUNTIF('Elève (5ème3)'!NW14:NY15,"C"))*2)+((COUNTIF('Elève (5ème3)'!NW14:NY15,"D"))*1))/(COUNTA(NW14:NY15)),"")</f>
        <v/>
      </c>
      <c r="OA13" s="128" t="str">
        <f t="shared" si="90"/>
        <v/>
      </c>
      <c r="OB13" s="177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>4</v>
      </c>
      <c r="OC13" s="130" t="str">
        <f t="shared" si="91"/>
        <v>A</v>
      </c>
      <c r="OD13" s="152"/>
      <c r="OE13" s="185"/>
      <c r="OF13" s="185"/>
      <c r="OG13" s="106">
        <f>IFERROR((((COUNTIF('Elève (5ème3)'!OD14:OF15,"A"))*4)+((COUNTIF('Elève (5ème3)'!OD14:OF15,"B"))*3)+((COUNTIF('Elève (5ème3)'!OD14:OF15,"C"))*2)+((COUNTIF('Elève (5ème3)'!OD14:OF15,"D"))*1))/(COUNTA(OD14:OF15)),"")</f>
        <v>3</v>
      </c>
      <c r="OH13" s="107" t="str">
        <f t="shared" si="92"/>
        <v>B</v>
      </c>
      <c r="OI13" s="204"/>
      <c r="OJ13" s="186"/>
      <c r="OK13" s="205"/>
      <c r="OL13" s="106" t="str">
        <f>IFERROR((((COUNTIF('Elève (5ème3)'!OI14:OK15,"A"))*4)+((COUNTIF('Elève (5ème3)'!OI14:OK15,"B"))*3)+((COUNTIF('Elève (5ème3)'!OI14:OK15,"C"))*2)+((COUNTIF('Elève (5ème3)'!OI14:OK15,"D"))*1))/(COUNTA(OI14:OK15)),"")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(5ème3)'!ON14:OP15,"A"))*4)+((COUNTIF('Elève (5ème3)'!ON14:OP15,"B"))*3)+((COUNTIF('Elève (5ème3)'!ON14:OP15,"C"))*2)+((COUNTIF('Elève (5ème3)'!ON14:OP15,"D"))*1))/(COUNTA(ON14:OP15)),"")</f>
        <v/>
      </c>
      <c r="OR13" s="128" t="str">
        <f t="shared" si="94"/>
        <v/>
      </c>
      <c r="OS13" s="177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>3</v>
      </c>
      <c r="OT13" s="130" t="str">
        <f t="shared" si="95"/>
        <v>B</v>
      </c>
      <c r="OU13" s="152"/>
      <c r="OV13" s="185"/>
      <c r="OW13" s="185"/>
      <c r="OX13" s="106">
        <f>IFERROR((((COUNTIF('Elève (5ème3)'!OU14:OW15,"A"))*4)+((COUNTIF('Elève (5ème3)'!OU14:OW15,"B"))*3)+((COUNTIF('Elève (5ème3)'!OU14:OW15,"C"))*2)+((COUNTIF('Elève (5ème3)'!OU14:OW15,"D"))*1))/(COUNTA(OU14:OW15)),"")</f>
        <v>3</v>
      </c>
      <c r="OY13" s="107" t="str">
        <f t="shared" si="96"/>
        <v>B</v>
      </c>
      <c r="OZ13" s="204"/>
      <c r="PA13" s="186"/>
      <c r="PB13" s="205"/>
      <c r="PC13" s="106" t="str">
        <f>IFERROR((((COUNTIF('Elève (5ème3)'!OZ14:PB15,"A"))*4)+((COUNTIF('Elève (5ème3)'!OZ14:PB15,"B"))*3)+((COUNTIF('Elève (5ème3)'!OZ14:PB15,"C"))*2)+((COUNTIF('Elève (5ème3)'!OZ14:PB15,"D"))*1))/(COUNTA(OZ14:PB15)),"")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(5ème3)'!PE14:PG15,"A"))*4)+((COUNTIF('Elève (5ème3)'!PE14:PG15,"B"))*3)+((COUNTIF('Elève (5ème3)'!PE14:PG15,"C"))*2)+((COUNTIF('Elève (5ème3)'!PE14:PG15,"D"))*1))/(COUNTA(PE14:PG15)),"")</f>
        <v/>
      </c>
      <c r="PI13" s="128" t="str">
        <f t="shared" si="98"/>
        <v/>
      </c>
      <c r="PJ13" s="177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>3</v>
      </c>
      <c r="PK13" s="130" t="str">
        <f t="shared" si="99"/>
        <v>B</v>
      </c>
      <c r="PL13" s="152"/>
      <c r="PM13" s="185"/>
      <c r="PN13" s="185"/>
      <c r="PO13" s="106">
        <f>IFERROR((((COUNTIF('Elève (5ème3)'!PL14:PN15,"A"))*4)+((COUNTIF('Elève (5ème3)'!PL14:PN15,"B"))*3)+((COUNTIF('Elève (5ème3)'!PL14:PN15,"C"))*2)+((COUNTIF('Elève (5ème3)'!PL14:PN15,"D"))*1))/(COUNTA(PL14:PN15)),"")</f>
        <v>4</v>
      </c>
      <c r="PP13" s="107" t="str">
        <f t="shared" si="100"/>
        <v>A</v>
      </c>
      <c r="PQ13" s="204"/>
      <c r="PR13" s="186"/>
      <c r="PS13" s="205"/>
      <c r="PT13" s="106" t="str">
        <f>IFERROR((((COUNTIF('Elève (5ème3)'!PQ14:PS15,"A"))*4)+((COUNTIF('Elève (5ème3)'!PQ14:PS15,"B"))*3)+((COUNTIF('Elève (5ème3)'!PQ14:PS15,"C"))*2)+((COUNTIF('Elève (5ème3)'!PQ14:PS15,"D"))*1))/(COUNTA(PQ14:PS15)),"")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(5ème3)'!PV14:PX15,"A"))*4)+((COUNTIF('Elève (5ème3)'!PV14:PX15,"B"))*3)+((COUNTIF('Elève (5ème3)'!PV14:PX15,"C"))*2)+((COUNTIF('Elève (5ème3)'!PV14:PX15,"D"))*1))/(COUNTA(PV14:PX15)),"")</f>
        <v/>
      </c>
      <c r="PZ13" s="128" t="str">
        <f t="shared" si="102"/>
        <v/>
      </c>
      <c r="QA13" s="177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>4</v>
      </c>
      <c r="QB13" s="130" t="str">
        <f t="shared" si="103"/>
        <v>A</v>
      </c>
      <c r="QC13" s="152"/>
      <c r="QD13" s="185"/>
      <c r="QE13" s="185"/>
      <c r="QF13" s="106">
        <f>IFERROR((((COUNTIF('Elève (5ème3)'!QC14:QE15,"A"))*4)+((COUNTIF('Elève (5ème3)'!QC14:QE15,"B"))*3)+((COUNTIF('Elève (5ème3)'!QC14:QE15,"C"))*2)+((COUNTIF('Elève (5ème3)'!QC14:QE15,"D"))*1))/(COUNTA(QC14:QE15)),"")</f>
        <v>4</v>
      </c>
      <c r="QG13" s="107" t="str">
        <f t="shared" si="104"/>
        <v>A</v>
      </c>
      <c r="QH13" s="204"/>
      <c r="QI13" s="186"/>
      <c r="QJ13" s="205"/>
      <c r="QK13" s="106" t="str">
        <f>IFERROR((((COUNTIF('Elève (5ème3)'!QH14:QJ15,"A"))*4)+((COUNTIF('Elève (5ème3)'!QH14:QJ15,"B"))*3)+((COUNTIF('Elève (5ème3)'!QH14:QJ15,"C"))*2)+((COUNTIF('Elève (5ème3)'!QH14:QJ15,"D"))*1))/(COUNTA(QH14:QJ15)),"")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(5ème3)'!QM14:QO15,"A"))*4)+((COUNTIF('Elève (5ème3)'!QM14:QO15,"B"))*3)+((COUNTIF('Elève (5ème3)'!QM14:QO15,"C"))*2)+((COUNTIF('Elève (5ème3)'!QM14:QO15,"D"))*1))/(COUNTA(QM14:QO15)),"")</f>
        <v/>
      </c>
      <c r="QQ13" s="128" t="str">
        <f t="shared" si="106"/>
        <v/>
      </c>
      <c r="QR13" s="177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>4</v>
      </c>
      <c r="QS13" s="130" t="str">
        <f t="shared" si="107"/>
        <v>A</v>
      </c>
      <c r="QT13" s="152"/>
      <c r="QU13" s="185"/>
      <c r="QV13" s="185"/>
      <c r="QW13" s="106">
        <f>IFERROR((((COUNTIF('Elève (5ème3)'!QT14:QV15,"A"))*4)+((COUNTIF('Elève (5ème3)'!QT14:QV15,"B"))*3)+((COUNTIF('Elève (5ème3)'!QT14:QV15,"C"))*2)+((COUNTIF('Elève (5ème3)'!QT14:QV15,"D"))*1))/(COUNTA(QT14:QV15)),"")</f>
        <v>4</v>
      </c>
      <c r="QX13" s="107" t="str">
        <f t="shared" si="108"/>
        <v>A</v>
      </c>
      <c r="QY13" s="204"/>
      <c r="QZ13" s="186"/>
      <c r="RA13" s="205"/>
      <c r="RB13" s="106" t="str">
        <f>IFERROR((((COUNTIF('Elève (5ème3)'!QY14:RA15,"A"))*4)+((COUNTIF('Elève (5ème3)'!QY14:RA15,"B"))*3)+((COUNTIF('Elève (5ème3)'!QY14:RA15,"C"))*2)+((COUNTIF('Elève (5ème3)'!QY14:RA15,"D"))*1))/(COUNTA(QY14:RA15)),"")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(5ème3)'!RD14:RF15,"A"))*4)+((COUNTIF('Elève (5ème3)'!RD14:RF15,"B"))*3)+((COUNTIF('Elève (5ème3)'!RD14:RF15,"C"))*2)+((COUNTIF('Elève (5ème3)'!RD14:RF15,"D"))*1))/(COUNTA(RD14:RF15)),"")</f>
        <v/>
      </c>
      <c r="RH13" s="128" t="str">
        <f t="shared" si="110"/>
        <v/>
      </c>
      <c r="RI13" s="177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>4</v>
      </c>
      <c r="RJ13" s="130" t="str">
        <f t="shared" si="111"/>
        <v>A</v>
      </c>
      <c r="RK13" s="152"/>
      <c r="RL13" s="185"/>
      <c r="RM13" s="185"/>
      <c r="RN13" s="106" t="str">
        <f>IFERROR((((COUNTIF('Elève (5ème3)'!RK14:RM15,"A"))*4)+((COUNTIF('Elève (5ème3)'!RK14:RM15,"B"))*3)+((COUNTIF('Elève (5ème3)'!RK14:RM15,"C"))*2)+((COUNTIF('Elève (5ème3)'!RK14:RM15,"D"))*1))/(COUNTA(RK14:RM15)),"")</f>
        <v/>
      </c>
      <c r="RO13" s="107" t="str">
        <f t="shared" si="112"/>
        <v/>
      </c>
      <c r="RP13" s="204"/>
      <c r="RQ13" s="186"/>
      <c r="RR13" s="205"/>
      <c r="RS13" s="106" t="str">
        <f>IFERROR((((COUNTIF('Elève (5ème3)'!RP14:RR15,"A"))*4)+((COUNTIF('Elève (5ème3)'!RP14:RR15,"B"))*3)+((COUNTIF('Elève (5ème3)'!RP14:RR15,"C"))*2)+((COUNTIF('Elève (5ème3)'!RP14:RR15,"D"))*1))/(COUNTA(RP14:RR15)),"")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(5ème3)'!RU14:RW15,"A"))*4)+((COUNTIF('Elève (5ème3)'!RU14:RW15,"B"))*3)+((COUNTIF('Elève (5ème3)'!RU14:RW15,"C"))*2)+((COUNTIF('Elève (5ème3)'!RU14:RW15,"D"))*1))/(COUNTA(RU14:RW15)),"")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(5ème3)'!SB14:SD15,"A"))*4)+((COUNTIF('Elève (5ème3)'!SB14:SD15,"B"))*3)+((COUNTIF('Elève (5ème3)'!SB14:SD15,"C"))*2)+((COUNTIF('Elève (5ème3)'!SB14:SD15,"D"))*1))/(COUNTA(SB14:SD15)),"")</f>
        <v/>
      </c>
      <c r="SF13" s="107" t="str">
        <f t="shared" si="116"/>
        <v/>
      </c>
      <c r="SG13" s="204"/>
      <c r="SH13" s="186"/>
      <c r="SI13" s="205"/>
      <c r="SJ13" s="106" t="str">
        <f>IFERROR((((COUNTIF('Elève (5ème3)'!SG14:SI15,"A"))*4)+((COUNTIF('Elève (5ème3)'!SG14:SI15,"B"))*3)+((COUNTIF('Elève (5ème3)'!SG14:SI15,"C"))*2)+((COUNTIF('Elève (5ème3)'!SG14:SI15,"D"))*1))/(COUNTA(SG14:SI15)),"")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(5ème3)'!SL14:SN15,"A"))*4)+((COUNTIF('Elève (5ème3)'!SL14:SN15,"B"))*3)+((COUNTIF('Elève (5ème3)'!SL14:SN15,"C"))*2)+((COUNTIF('Elève (5ème3)'!SL14:SN15,"D"))*1))/(COUNTA(SL14:SN15)),"")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1" t="s">
        <v>19</v>
      </c>
      <c r="B14" s="222"/>
      <c r="C14" s="156" t="s">
        <v>28</v>
      </c>
      <c r="D14" s="157"/>
      <c r="E14" s="158"/>
      <c r="F14" s="108">
        <f>IFERROR((((COUNTIF('Elève (5ème3)'!C14:E14,"A"))*4)+((COUNTIF('Elève (5ème3)'!C14:E14,"B"))*3)+((COUNTIF('Elève (5ème3)'!C14:E14,"C"))*2)+((COUNTIF('Elève (5ème3)'!C14:E14,"D"))*1))/(COUNTA(C14:E14)),"")</f>
        <v>3</v>
      </c>
      <c r="G14" s="109" t="str">
        <f t="shared" si="0"/>
        <v>B</v>
      </c>
      <c r="H14" s="81"/>
      <c r="I14" s="82"/>
      <c r="J14" s="83"/>
      <c r="K14" s="108" t="str">
        <f>IFERROR((((COUNTIF('Elève (5ème3)'!H14:J14,"A"))*4)+((COUNTIF('Elève (5ème3)'!H14:J14,"B"))*3)+((COUNTIF('Elève (5ème3)'!H14:J14,"C"))*2)+((COUNTIF('Elève (5ème3)'!H14:J14,"D"))*1))/(COUNTA(H14:J14)),"")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(5ème3)'!M14:O14,"A"))*4)+((COUNTIF('Elève (5ème3)'!M14:O14,"B"))*3)+((COUNTIF('Elève (5ème3)'!M14:O14,"C"))*2)+((COUNTIF('Elève (5ème3)'!M14:O14,"D"))*1))/(COUNTA(M14:O14)),"")</f>
        <v/>
      </c>
      <c r="Q14" s="139" t="str">
        <f t="shared" si="2"/>
        <v/>
      </c>
      <c r="R14" s="178">
        <f>IF(COUNT(F14,K14,P14)=0,"",SUM(F14,K14,P14)/COUNT(F14,K14,P14))</f>
        <v>3</v>
      </c>
      <c r="S14" s="131" t="str">
        <f t="shared" si="3"/>
        <v>B</v>
      </c>
      <c r="T14" s="156" t="s">
        <v>27</v>
      </c>
      <c r="U14" s="157"/>
      <c r="V14" s="158"/>
      <c r="W14" s="108">
        <f>IFERROR((((COUNTIF('Elève (5ème3)'!T14:V14,"A"))*4)+((COUNTIF('Elève (5ème3)'!T14:V14,"B"))*3)+((COUNTIF('Elève (5ème3)'!T14:V14,"C"))*2)+((COUNTIF('Elève (5ème3)'!T14:V14,"D"))*1))/(COUNTA(T14:V14)),"")</f>
        <v>4</v>
      </c>
      <c r="X14" s="109" t="str">
        <f t="shared" si="4"/>
        <v>A</v>
      </c>
      <c r="Y14" s="81"/>
      <c r="Z14" s="82"/>
      <c r="AA14" s="83"/>
      <c r="AB14" s="108" t="str">
        <f>IFERROR((((COUNTIF('Elève (5ème3)'!Y14:AA14,"A"))*4)+((COUNTIF('Elève (5ème3)'!Y14:AA14,"B"))*3)+((COUNTIF('Elève (5ème3)'!Y14:AA14,"C"))*2)+((COUNTIF('Elève (5ème3)'!Y14:AA14,"D"))*1))/(COUNTA(Y14:AA14)),"")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(5ème3)'!AD14:AF14,"A"))*4)+((COUNTIF('Elève (5ème3)'!AD14:AF14,"B"))*3)+((COUNTIF('Elève (5ème3)'!AD14:AF14,"C"))*2)+((COUNTIF('Elève (5ème3)'!AD14:AF14,"D"))*1))/(COUNTA(AD14:AF14)),"")</f>
        <v/>
      </c>
      <c r="AH14" s="139" t="str">
        <f t="shared" si="6"/>
        <v/>
      </c>
      <c r="AI14" s="178">
        <f>IF(COUNT(W14,AB14,AG14)=0,"",SUM(W14,AB14,AG14)/COUNT(W14,AB14,AG14))</f>
        <v>4</v>
      </c>
      <c r="AJ14" s="131" t="str">
        <f t="shared" si="7"/>
        <v>A</v>
      </c>
      <c r="AK14" s="156" t="s">
        <v>27</v>
      </c>
      <c r="AL14" s="157"/>
      <c r="AM14" s="158"/>
      <c r="AN14" s="108">
        <f>IFERROR((((COUNTIF('Elève (5ème3)'!AK14:AM14,"A"))*4)+((COUNTIF('Elève (5ème3)'!AK14:AM14,"B"))*3)+((COUNTIF('Elève (5ème3)'!AK14:AM14,"C"))*2)+((COUNTIF('Elève (5ème3)'!AK14:AM14,"D"))*1))/(COUNTA(AK14:AM14)),"")</f>
        <v>4</v>
      </c>
      <c r="AO14" s="109" t="str">
        <f t="shared" si="8"/>
        <v>A</v>
      </c>
      <c r="AP14" s="81"/>
      <c r="AQ14" s="82"/>
      <c r="AR14" s="83"/>
      <c r="AS14" s="108" t="str">
        <f>IFERROR((((COUNTIF('Elève (5ème3)'!AP14:AR14,"A"))*4)+((COUNTIF('Elève (5ème3)'!AP14:AR14,"B"))*3)+((COUNTIF('Elève (5ème3)'!AP14:AR14,"C"))*2)+((COUNTIF('Elève (5ème3)'!AP14:AR14,"D"))*1))/(COUNTA(AP14:AR14)),"")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(5ème3)'!AU14:AW14,"A"))*4)+((COUNTIF('Elève (5ème3)'!AU14:AW14,"B"))*3)+((COUNTIF('Elève (5ème3)'!AU14:AW14,"C"))*2)+((COUNTIF('Elève (5ème3)'!AU14:AW14,"D"))*1))/(COUNTA(AU14:AW14)),"")</f>
        <v/>
      </c>
      <c r="AY14" s="139" t="str">
        <f t="shared" si="10"/>
        <v/>
      </c>
      <c r="AZ14" s="178">
        <f>IF(COUNT(AN14,AS14,AX14)=0,"",SUM(AN14,AS14,AX14)/COUNT(AN14,AS14,AX14))</f>
        <v>4</v>
      </c>
      <c r="BA14" s="131" t="str">
        <f t="shared" si="11"/>
        <v>A</v>
      </c>
      <c r="BB14" s="156" t="s">
        <v>28</v>
      </c>
      <c r="BC14" s="157"/>
      <c r="BD14" s="158"/>
      <c r="BE14" s="108">
        <f>IFERROR((((COUNTIF('Elève (5ème3)'!BB14:BD14,"A"))*4)+((COUNTIF('Elève (5ème3)'!BB14:BD14,"B"))*3)+((COUNTIF('Elève (5ème3)'!BB14:BD14,"C"))*2)+((COUNTIF('Elève (5ème3)'!BB14:BD14,"D"))*1))/(COUNTA(BB14:BD14)),"")</f>
        <v>3</v>
      </c>
      <c r="BF14" s="109" t="str">
        <f t="shared" si="12"/>
        <v>B</v>
      </c>
      <c r="BG14" s="81"/>
      <c r="BH14" s="82"/>
      <c r="BI14" s="83"/>
      <c r="BJ14" s="108" t="str">
        <f>IFERROR((((COUNTIF('Elève (5ème3)'!BG14:BI14,"A"))*4)+((COUNTIF('Elève (5ème3)'!BG14:BI14,"B"))*3)+((COUNTIF('Elève (5ème3)'!BG14:BI14,"C"))*2)+((COUNTIF('Elève (5ème3)'!BG14:BI14,"D"))*1))/(COUNTA(BG14:BI14)),"")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(5ème3)'!BL14:BN14,"A"))*4)+((COUNTIF('Elève (5ème3)'!BL14:BN14,"B"))*3)+((COUNTIF('Elève (5ème3)'!BL14:BN14,"C"))*2)+((COUNTIF('Elève (5ème3)'!BL14:BN14,"D"))*1))/(COUNTA(BL14:BN14)),"")</f>
        <v/>
      </c>
      <c r="BP14" s="139" t="str">
        <f t="shared" si="14"/>
        <v/>
      </c>
      <c r="BQ14" s="178">
        <f>IF(COUNT(BE14,BJ14,BO14)=0,"",SUM(BE14,BJ14,BO14)/COUNT(BE14,BJ14,BO14))</f>
        <v>3</v>
      </c>
      <c r="BR14" s="131" t="str">
        <f t="shared" si="15"/>
        <v>B</v>
      </c>
      <c r="BS14" s="156" t="s">
        <v>27</v>
      </c>
      <c r="BT14" s="157"/>
      <c r="BU14" s="158"/>
      <c r="BV14" s="108">
        <f>IFERROR((((COUNTIF('Elève (5ème3)'!BS14:BU14,"A"))*4)+((COUNTIF('Elève (5ème3)'!BS14:BU14,"B"))*3)+((COUNTIF('Elève (5ème3)'!BS14:BU14,"C"))*2)+((COUNTIF('Elève (5ème3)'!BS14:BU14,"D"))*1))/(COUNTA(BS14:BU14)),"")</f>
        <v>4</v>
      </c>
      <c r="BW14" s="109" t="str">
        <f t="shared" si="16"/>
        <v>A</v>
      </c>
      <c r="BX14" s="81"/>
      <c r="BY14" s="82"/>
      <c r="BZ14" s="83"/>
      <c r="CA14" s="108" t="str">
        <f>IFERROR((((COUNTIF('Elève (5ème3)'!BX14:BZ14,"A"))*4)+((COUNTIF('Elève (5ème3)'!BX14:BZ14,"B"))*3)+((COUNTIF('Elève (5ème3)'!BX14:BZ14,"C"))*2)+((COUNTIF('Elève (5ème3)'!BX14:BZ14,"D"))*1))/(COUNTA(BX14:BZ14)),"")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(5ème3)'!CC14:CE14,"A"))*4)+((COUNTIF('Elève (5ème3)'!CC14:CE14,"B"))*3)+((COUNTIF('Elève (5ème3)'!CC14:CE14,"C"))*2)+((COUNTIF('Elève (5ème3)'!CC14:CE14,"D"))*1))/(COUNTA(CC14:CE14)),"")</f>
        <v/>
      </c>
      <c r="CG14" s="139" t="str">
        <f t="shared" si="18"/>
        <v/>
      </c>
      <c r="CH14" s="178">
        <f>IF(COUNT(BV14,CA14,CF14)=0,"",SUM(BV14,CA14,CF14)/COUNT(BV14,CA14,CF14))</f>
        <v>4</v>
      </c>
      <c r="CI14" s="131" t="str">
        <f t="shared" si="19"/>
        <v>A</v>
      </c>
      <c r="CJ14" s="156" t="s">
        <v>28</v>
      </c>
      <c r="CK14" s="157"/>
      <c r="CL14" s="158"/>
      <c r="CM14" s="108">
        <f>IFERROR((((COUNTIF('Elève (5ème3)'!CJ14:CL14,"A"))*4)+((COUNTIF('Elève (5ème3)'!CJ14:CL14,"B"))*3)+((COUNTIF('Elève (5ème3)'!CJ14:CL14,"C"))*2)+((COUNTIF('Elève (5ème3)'!CJ14:CL14,"D"))*1))/(COUNTA(CJ14:CL14)),"")</f>
        <v>3</v>
      </c>
      <c r="CN14" s="109" t="str">
        <f t="shared" si="20"/>
        <v>B</v>
      </c>
      <c r="CO14" s="81"/>
      <c r="CP14" s="82"/>
      <c r="CQ14" s="83"/>
      <c r="CR14" s="108" t="str">
        <f>IFERROR((((COUNTIF('Elève (5ème3)'!CO14:CQ14,"A"))*4)+((COUNTIF('Elève (5ème3)'!CO14:CQ14,"B"))*3)+((COUNTIF('Elève (5ème3)'!CO14:CQ14,"C"))*2)+((COUNTIF('Elève (5ème3)'!CO14:CQ14,"D"))*1))/(COUNTA(CO14:CQ14)),"")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(5ème3)'!CT14:CV14,"A"))*4)+((COUNTIF('Elève (5ème3)'!CT14:CV14,"B"))*3)+((COUNTIF('Elève (5ème3)'!CT14:CV14,"C"))*2)+((COUNTIF('Elève (5ème3)'!CT14:CV14,"D"))*1))/(COUNTA(CT14:CV14)),"")</f>
        <v/>
      </c>
      <c r="CX14" s="139" t="str">
        <f t="shared" si="22"/>
        <v/>
      </c>
      <c r="CY14" s="178">
        <f>IF(COUNT(CM14,CR14,CW14)=0,"",SUM(CM14,CR14,CW14)/COUNT(CM14,CR14,CW14))</f>
        <v>3</v>
      </c>
      <c r="CZ14" s="131" t="str">
        <f t="shared" si="23"/>
        <v>B</v>
      </c>
      <c r="DA14" s="156" t="s">
        <v>28</v>
      </c>
      <c r="DB14" s="157"/>
      <c r="DC14" s="158"/>
      <c r="DD14" s="108">
        <f>IFERROR((((COUNTIF('Elève (5ème3)'!DA14:DC14,"A"))*4)+((COUNTIF('Elève (5ème3)'!DA14:DC14,"B"))*3)+((COUNTIF('Elève (5ème3)'!DA14:DC14,"C"))*2)+((COUNTIF('Elève (5ème3)'!DA14:DC14,"D"))*1))/(COUNTA(DA14:DC14)),"")</f>
        <v>3</v>
      </c>
      <c r="DE14" s="109" t="str">
        <f t="shared" si="24"/>
        <v>B</v>
      </c>
      <c r="DF14" s="81"/>
      <c r="DG14" s="82"/>
      <c r="DH14" s="83"/>
      <c r="DI14" s="108" t="str">
        <f>IFERROR((((COUNTIF('Elève (5ème3)'!DF14:DH14,"A"))*4)+((COUNTIF('Elève (5ème3)'!DF14:DH14,"B"))*3)+((COUNTIF('Elève (5ème3)'!DF14:DH14,"C"))*2)+((COUNTIF('Elève (5ème3)'!DF14:DH14,"D"))*1))/(COUNTA(DF14:DH14)),"")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(5ème3)'!DK14:DM14,"A"))*4)+((COUNTIF('Elève (5ème3)'!DK14:DM14,"B"))*3)+((COUNTIF('Elève (5ème3)'!DK14:DM14,"C"))*2)+((COUNTIF('Elève (5ème3)'!DK14:DM14,"D"))*1))/(COUNTA(DK14:DM14)),"")</f>
        <v/>
      </c>
      <c r="DO14" s="139" t="str">
        <f t="shared" si="26"/>
        <v/>
      </c>
      <c r="DP14" s="178">
        <f>IF(COUNT(DD14,DI14,DN14)=0,"",SUM(DD14,DI14,DN14)/COUNT(DD14,DI14,DN14))</f>
        <v>3</v>
      </c>
      <c r="DQ14" s="131" t="str">
        <f t="shared" si="27"/>
        <v>B</v>
      </c>
      <c r="DR14" s="156" t="s">
        <v>28</v>
      </c>
      <c r="DS14" s="157"/>
      <c r="DT14" s="158"/>
      <c r="DU14" s="108">
        <f>IFERROR((((COUNTIF('Elève (5ème3)'!DR14:DT14,"A"))*4)+((COUNTIF('Elève (5ème3)'!DR14:DT14,"B"))*3)+((COUNTIF('Elève (5ème3)'!DR14:DT14,"C"))*2)+((COUNTIF('Elève (5ème3)'!DR14:DT14,"D"))*1))/(COUNTA(DR14:DT14)),"")</f>
        <v>3</v>
      </c>
      <c r="DV14" s="109" t="str">
        <f t="shared" si="28"/>
        <v>B</v>
      </c>
      <c r="DW14" s="81"/>
      <c r="DX14" s="82"/>
      <c r="DY14" s="83"/>
      <c r="DZ14" s="108" t="str">
        <f>IFERROR((((COUNTIF('Elève (5ème3)'!DW14:DY14,"A"))*4)+((COUNTIF('Elève (5ème3)'!DW14:DY14,"B"))*3)+((COUNTIF('Elève (5ème3)'!DW14:DY14,"C"))*2)+((COUNTIF('Elève (5ème3)'!DW14:DY14,"D"))*1))/(COUNTA(DW14:DY14)),"")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(5ème3)'!EB14:ED14,"A"))*4)+((COUNTIF('Elève (5ème3)'!EB14:ED14,"B"))*3)+((COUNTIF('Elève (5ème3)'!EB14:ED14,"C"))*2)+((COUNTIF('Elève (5ème3)'!EB14:ED14,"D"))*1))/(COUNTA(EB14:ED14)),"")</f>
        <v/>
      </c>
      <c r="EF14" s="139" t="str">
        <f t="shared" si="30"/>
        <v/>
      </c>
      <c r="EG14" s="178">
        <f>IF(COUNT(DU14,DZ14,EE14)=0,"",SUM(DU14,DZ14,EE14)/COUNT(DU14,DZ14,EE14))</f>
        <v>3</v>
      </c>
      <c r="EH14" s="131" t="str">
        <f t="shared" si="31"/>
        <v>B</v>
      </c>
      <c r="EI14" s="156" t="s">
        <v>27</v>
      </c>
      <c r="EJ14" s="157"/>
      <c r="EK14" s="158"/>
      <c r="EL14" s="108">
        <f>IFERROR((((COUNTIF('Elève (5ème3)'!EI14:EK14,"A"))*4)+((COUNTIF('Elève (5ème3)'!EI14:EK14,"B"))*3)+((COUNTIF('Elève (5ème3)'!EI14:EK14,"C"))*2)+((COUNTIF('Elève (5ème3)'!EI14:EK14,"D"))*1))/(COUNTA(EI14:EK14)),"")</f>
        <v>4</v>
      </c>
      <c r="EM14" s="109" t="str">
        <f t="shared" si="32"/>
        <v>A</v>
      </c>
      <c r="EN14" s="81"/>
      <c r="EO14" s="82"/>
      <c r="EP14" s="83"/>
      <c r="EQ14" s="108" t="str">
        <f>IFERROR((((COUNTIF('Elève (5ème3)'!EN14:EP14,"A"))*4)+((COUNTIF('Elève (5ème3)'!EN14:EP14,"B"))*3)+((COUNTIF('Elève (5ème3)'!EN14:EP14,"C"))*2)+((COUNTIF('Elève (5ème3)'!EN14:EP14,"D"))*1))/(COUNTA(EN14:EP14)),"")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(5ème3)'!ES14:EU14,"A"))*4)+((COUNTIF('Elève (5ème3)'!ES14:EU14,"B"))*3)+((COUNTIF('Elève (5ème3)'!ES14:EU14,"C"))*2)+((COUNTIF('Elève (5ème3)'!ES14:EU14,"D"))*1))/(COUNTA(ES14:EU14)),"")</f>
        <v/>
      </c>
      <c r="EW14" s="139" t="str">
        <f t="shared" si="34"/>
        <v/>
      </c>
      <c r="EX14" s="178">
        <f>IF(COUNT(EL14,EQ14,EV14)=0,"",SUM(EL14,EQ14,EV14)/COUNT(EL14,EQ14,EV14))</f>
        <v>4</v>
      </c>
      <c r="EY14" s="131" t="str">
        <f t="shared" si="35"/>
        <v>A</v>
      </c>
      <c r="EZ14" s="156" t="s">
        <v>27</v>
      </c>
      <c r="FA14" s="157"/>
      <c r="FB14" s="158"/>
      <c r="FC14" s="108">
        <f>IFERROR((((COUNTIF('Elève (5ème3)'!EZ14:FB14,"A"))*4)+((COUNTIF('Elève (5ème3)'!EZ14:FB14,"B"))*3)+((COUNTIF('Elève (5ème3)'!EZ14:FB14,"C"))*2)+((COUNTIF('Elève (5ème3)'!EZ14:FB14,"D"))*1))/(COUNTA(EZ14:FB14)),"")</f>
        <v>4</v>
      </c>
      <c r="FD14" s="109" t="str">
        <f t="shared" si="36"/>
        <v>A</v>
      </c>
      <c r="FE14" s="81"/>
      <c r="FF14" s="82"/>
      <c r="FG14" s="83"/>
      <c r="FH14" s="108" t="str">
        <f>IFERROR((((COUNTIF('Elève (5ème3)'!FE14:FG14,"A"))*4)+((COUNTIF('Elève (5ème3)'!FE14:FG14,"B"))*3)+((COUNTIF('Elève (5ème3)'!FE14:FG14,"C"))*2)+((COUNTIF('Elève (5ème3)'!FE14:FG14,"D"))*1))/(COUNTA(FE14:FG14)),"")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(5ème3)'!FJ14:FL14,"A"))*4)+((COUNTIF('Elève (5ème3)'!FJ14:FL14,"B"))*3)+((COUNTIF('Elève (5ème3)'!FJ14:FL14,"C"))*2)+((COUNTIF('Elève (5ème3)'!FJ14:FL14,"D"))*1))/(COUNTA(FJ14:FL14)),"")</f>
        <v/>
      </c>
      <c r="FN14" s="139" t="str">
        <f t="shared" si="38"/>
        <v/>
      </c>
      <c r="FO14" s="178">
        <f>IF(COUNT(FC14,FH14,FM14)=0,"",SUM(FC14,FH14,FM14)/COUNT(FC14,FH14,FM14))</f>
        <v>4</v>
      </c>
      <c r="FP14" s="131" t="str">
        <f t="shared" si="39"/>
        <v>A</v>
      </c>
      <c r="FQ14" s="156" t="s">
        <v>27</v>
      </c>
      <c r="FR14" s="157"/>
      <c r="FS14" s="158"/>
      <c r="FT14" s="108">
        <f>IFERROR((((COUNTIF('Elève (5ème3)'!FQ14:FS14,"A"))*4)+((COUNTIF('Elève (5ème3)'!FQ14:FS14,"B"))*3)+((COUNTIF('Elève (5ème3)'!FQ14:FS14,"C"))*2)+((COUNTIF('Elève (5ème3)'!FQ14:FS14,"D"))*1))/(COUNTA(FQ14:FS14)),"")</f>
        <v>4</v>
      </c>
      <c r="FU14" s="109" t="str">
        <f t="shared" si="40"/>
        <v>A</v>
      </c>
      <c r="FV14" s="81"/>
      <c r="FW14" s="82"/>
      <c r="FX14" s="83"/>
      <c r="FY14" s="108" t="str">
        <f>IFERROR((((COUNTIF('Elève (5ème3)'!FV14:FX14,"A"))*4)+((COUNTIF('Elève (5ème3)'!FV14:FX14,"B"))*3)+((COUNTIF('Elève (5ème3)'!FV14:FX14,"C"))*2)+((COUNTIF('Elève (5ème3)'!FV14:FX14,"D"))*1))/(COUNTA(FV14:FX14)),"")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(5ème3)'!GA14:GC14,"A"))*4)+((COUNTIF('Elève (5ème3)'!GA14:GC14,"B"))*3)+((COUNTIF('Elève (5ème3)'!GA14:GC14,"C"))*2)+((COUNTIF('Elève (5ème3)'!GA14:GC14,"D"))*1))/(COUNTA(GA14:GC14)),"")</f>
        <v/>
      </c>
      <c r="GE14" s="139" t="str">
        <f t="shared" si="42"/>
        <v/>
      </c>
      <c r="GF14" s="178">
        <f>IF(COUNT(FT14,FY14,GD14)=0,"",SUM(FT14,FY14,GD14)/COUNT(FT14,FY14,GD14))</f>
        <v>4</v>
      </c>
      <c r="GG14" s="131" t="str">
        <f t="shared" si="43"/>
        <v>A</v>
      </c>
      <c r="GH14" s="156" t="s">
        <v>27</v>
      </c>
      <c r="GI14" s="157"/>
      <c r="GJ14" s="158"/>
      <c r="GK14" s="108">
        <f>IFERROR((((COUNTIF('Elève (5ème3)'!GH14:GJ14,"A"))*4)+((COUNTIF('Elève (5ème3)'!GH14:GJ14,"B"))*3)+((COUNTIF('Elève (5ème3)'!GH14:GJ14,"C"))*2)+((COUNTIF('Elève (5ème3)'!GH14:GJ14,"D"))*1))/(COUNTA(GH14:GJ14)),"")</f>
        <v>4</v>
      </c>
      <c r="GL14" s="109" t="str">
        <f t="shared" si="44"/>
        <v>A</v>
      </c>
      <c r="GM14" s="81"/>
      <c r="GN14" s="82"/>
      <c r="GO14" s="83"/>
      <c r="GP14" s="108" t="str">
        <f>IFERROR((((COUNTIF('Elève (5ème3)'!GM14:GO14,"A"))*4)+((COUNTIF('Elève (5ème3)'!GM14:GO14,"B"))*3)+((COUNTIF('Elève (5ème3)'!GM14:GO14,"C"))*2)+((COUNTIF('Elève (5ème3)'!GM14:GO14,"D"))*1))/(COUNTA(GM14:GO14)),"")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(5ème3)'!GR14:GT14,"A"))*4)+((COUNTIF('Elève (5ème3)'!GR14:GT14,"B"))*3)+((COUNTIF('Elève (5ème3)'!GR14:GT14,"C"))*2)+((COUNTIF('Elève (5ème3)'!GR14:GT14,"D"))*1))/(COUNTA(GR14:GT14)),"")</f>
        <v/>
      </c>
      <c r="GV14" s="139" t="str">
        <f t="shared" si="46"/>
        <v/>
      </c>
      <c r="GW14" s="178">
        <f>IF(COUNT(GK14,GP14,GU14)=0,"",SUM(GK14,GP14,GU14)/COUNT(GK14,GP14,GU14))</f>
        <v>4</v>
      </c>
      <c r="GX14" s="131" t="str">
        <f t="shared" si="47"/>
        <v>A</v>
      </c>
      <c r="GY14" s="156" t="s">
        <v>27</v>
      </c>
      <c r="GZ14" s="157"/>
      <c r="HA14" s="158"/>
      <c r="HB14" s="108">
        <f>IFERROR((((COUNTIF('Elève (5ème3)'!GY14:HA14,"A"))*4)+((COUNTIF('Elève (5ème3)'!GY14:HA14,"B"))*3)+((COUNTIF('Elève (5ème3)'!GY14:HA14,"C"))*2)+((COUNTIF('Elève (5ème3)'!GY14:HA14,"D"))*1))/(COUNTA(GY14:HA14)),"")</f>
        <v>4</v>
      </c>
      <c r="HC14" s="109" t="str">
        <f t="shared" si="48"/>
        <v>A</v>
      </c>
      <c r="HD14" s="81"/>
      <c r="HE14" s="82"/>
      <c r="HF14" s="83"/>
      <c r="HG14" s="108" t="str">
        <f>IFERROR((((COUNTIF('Elève (5ème3)'!HD14:HF14,"A"))*4)+((COUNTIF('Elève (5ème3)'!HD14:HF14,"B"))*3)+((COUNTIF('Elève (5ème3)'!HD14:HF14,"C"))*2)+((COUNTIF('Elève (5ème3)'!HD14:HF14,"D"))*1))/(COUNTA(HD14:HF14)),"")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(5ème3)'!HI14:HK14,"A"))*4)+((COUNTIF('Elève (5ème3)'!HI14:HK14,"B"))*3)+((COUNTIF('Elève (5ème3)'!HI14:HK14,"C"))*2)+((COUNTIF('Elève (5ème3)'!HI14:HK14,"D"))*1))/(COUNTA(HI14:HK14)),"")</f>
        <v/>
      </c>
      <c r="HM14" s="139" t="str">
        <f t="shared" si="50"/>
        <v/>
      </c>
      <c r="HN14" s="178">
        <f>IF(COUNT(HB14,HG14,HL14)=0,"",SUM(HB14,HG14,HL14)/COUNT(HB14,HG14,HL14))</f>
        <v>4</v>
      </c>
      <c r="HO14" s="131" t="str">
        <f t="shared" si="51"/>
        <v>A</v>
      </c>
      <c r="HP14" s="156" t="s">
        <v>29</v>
      </c>
      <c r="HQ14" s="157"/>
      <c r="HR14" s="158"/>
      <c r="HS14" s="108">
        <f>IFERROR((((COUNTIF('Elève (5ème3)'!HP14:HR14,"A"))*4)+((COUNTIF('Elève (5ème3)'!HP14:HR14,"B"))*3)+((COUNTIF('Elève (5ème3)'!HP14:HR14,"C"))*2)+((COUNTIF('Elève (5ème3)'!HP14:HR14,"D"))*1))/(COUNTA(HP14:HR14)),"")</f>
        <v>2</v>
      </c>
      <c r="HT14" s="109" t="str">
        <f t="shared" si="52"/>
        <v>C</v>
      </c>
      <c r="HU14" s="81"/>
      <c r="HV14" s="82"/>
      <c r="HW14" s="83"/>
      <c r="HX14" s="108" t="str">
        <f>IFERROR((((COUNTIF('Elève (5ème3)'!HU14:HW14,"A"))*4)+((COUNTIF('Elève (5ème3)'!HU14:HW14,"B"))*3)+((COUNTIF('Elève (5ème3)'!HU14:HW14,"C"))*2)+((COUNTIF('Elève (5ème3)'!HU14:HW14,"D"))*1))/(COUNTA(HU14:HW14)),"")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(5ème3)'!HZ14:IB14,"A"))*4)+((COUNTIF('Elève (5ème3)'!HZ14:IB14,"B"))*3)+((COUNTIF('Elève (5ème3)'!HZ14:IB14,"C"))*2)+((COUNTIF('Elève (5ème3)'!HZ14:IB14,"D"))*1))/(COUNTA(HZ14:IB14)),"")</f>
        <v/>
      </c>
      <c r="ID14" s="139" t="str">
        <f t="shared" si="54"/>
        <v/>
      </c>
      <c r="IE14" s="178">
        <f>IF(COUNT(HS14,HX14,IC14)=0,"",SUM(HS14,HX14,IC14)/COUNT(HS14,HX14,IC14))</f>
        <v>2</v>
      </c>
      <c r="IF14" s="131" t="str">
        <f t="shared" si="55"/>
        <v>C</v>
      </c>
      <c r="IG14" s="156" t="s">
        <v>28</v>
      </c>
      <c r="IH14" s="157"/>
      <c r="II14" s="158"/>
      <c r="IJ14" s="108">
        <f>IFERROR((((COUNTIF('Elève (5ème3)'!IG14:II14,"A"))*4)+((COUNTIF('Elève (5ème3)'!IG14:II14,"B"))*3)+((COUNTIF('Elève (5ème3)'!IG14:II14,"C"))*2)+((COUNTIF('Elève (5ème3)'!IG14:II14,"D"))*1))/(COUNTA(IG14:II14)),"")</f>
        <v>3</v>
      </c>
      <c r="IK14" s="109" t="str">
        <f t="shared" si="56"/>
        <v>B</v>
      </c>
      <c r="IL14" s="81"/>
      <c r="IM14" s="82"/>
      <c r="IN14" s="83"/>
      <c r="IO14" s="108" t="str">
        <f>IFERROR((((COUNTIF('Elève (5ème3)'!IL14:IN14,"A"))*4)+((COUNTIF('Elève (5ème3)'!IL14:IN14,"B"))*3)+((COUNTIF('Elève (5ème3)'!IL14:IN14,"C"))*2)+((COUNTIF('Elève (5ème3)'!IL14:IN14,"D"))*1))/(COUNTA(IL14:IN14)),"")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(5ème3)'!IQ14:IS14,"A"))*4)+((COUNTIF('Elève (5ème3)'!IQ14:IS14,"B"))*3)+((COUNTIF('Elève (5ème3)'!IQ14:IS14,"C"))*2)+((COUNTIF('Elève (5ème3)'!IQ14:IS14,"D"))*1))/(COUNTA(IQ14:IS14)),"")</f>
        <v/>
      </c>
      <c r="IU14" s="139" t="str">
        <f t="shared" si="58"/>
        <v/>
      </c>
      <c r="IV14" s="178">
        <f>IF(COUNT(IJ14,IO14,IT14)=0,"",SUM(IJ14,IO14,IT14)/COUNT(IJ14,IO14,IT14))</f>
        <v>3</v>
      </c>
      <c r="IW14" s="131" t="str">
        <f t="shared" si="59"/>
        <v>B</v>
      </c>
      <c r="IX14" s="156" t="s">
        <v>27</v>
      </c>
      <c r="IY14" s="157"/>
      <c r="IZ14" s="158"/>
      <c r="JA14" s="108">
        <f>IFERROR((((COUNTIF('Elève (5ème3)'!IX14:IZ14,"A"))*4)+((COUNTIF('Elève (5ème3)'!IX14:IZ14,"B"))*3)+((COUNTIF('Elève (5ème3)'!IX14:IZ14,"C"))*2)+((COUNTIF('Elève (5ème3)'!IX14:IZ14,"D"))*1))/(COUNTA(IX14:IZ14)),"")</f>
        <v>4</v>
      </c>
      <c r="JB14" s="109" t="str">
        <f t="shared" si="60"/>
        <v>A</v>
      </c>
      <c r="JC14" s="81"/>
      <c r="JD14" s="82"/>
      <c r="JE14" s="83"/>
      <c r="JF14" s="108" t="str">
        <f>IFERROR((((COUNTIF('Elève (5ème3)'!JC14:JE14,"A"))*4)+((COUNTIF('Elève (5ème3)'!JC14:JE14,"B"))*3)+((COUNTIF('Elève (5ème3)'!JC14:JE14,"C"))*2)+((COUNTIF('Elève (5ème3)'!JC14:JE14,"D"))*1))/(COUNTA(JC14:JE14)),"")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(5ème3)'!JH14:JJ14,"A"))*4)+((COUNTIF('Elève (5ème3)'!JH14:JJ14,"B"))*3)+((COUNTIF('Elève (5ème3)'!JH14:JJ14,"C"))*2)+((COUNTIF('Elève (5ème3)'!JH14:JJ14,"D"))*1))/(COUNTA(JH14:JJ14)),"")</f>
        <v/>
      </c>
      <c r="JL14" s="139" t="str">
        <f t="shared" si="62"/>
        <v/>
      </c>
      <c r="JM14" s="178">
        <f>IF(COUNT(JA14,JF14,JK14)=0,"",SUM(JA14,JF14,JK14)/COUNT(JA14,JF14,JK14))</f>
        <v>4</v>
      </c>
      <c r="JN14" s="131" t="str">
        <f t="shared" si="63"/>
        <v>A</v>
      </c>
      <c r="JO14" s="156" t="s">
        <v>28</v>
      </c>
      <c r="JP14" s="157"/>
      <c r="JQ14" s="158"/>
      <c r="JR14" s="108">
        <f>IFERROR((((COUNTIF('Elève (5ème3)'!JO14:JQ14,"A"))*4)+((COUNTIF('Elève (5ème3)'!JO14:JQ14,"B"))*3)+((COUNTIF('Elève (5ème3)'!JO14:JQ14,"C"))*2)+((COUNTIF('Elève (5ème3)'!JO14:JQ14,"D"))*1))/(COUNTA(JO14:JQ14)),"")</f>
        <v>3</v>
      </c>
      <c r="JS14" s="109" t="str">
        <f t="shared" si="64"/>
        <v>B</v>
      </c>
      <c r="JT14" s="81"/>
      <c r="JU14" s="82"/>
      <c r="JV14" s="83"/>
      <c r="JW14" s="108" t="str">
        <f>IFERROR((((COUNTIF('Elève (5ème3)'!JT14:JV14,"A"))*4)+((COUNTIF('Elève (5ème3)'!JT14:JV14,"B"))*3)+((COUNTIF('Elève (5ème3)'!JT14:JV14,"C"))*2)+((COUNTIF('Elève (5ème3)'!JT14:JV14,"D"))*1))/(COUNTA(JT14:JV14)),"")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(5ème3)'!JY14:KA14,"A"))*4)+((COUNTIF('Elève (5ème3)'!JY14:KA14,"B"))*3)+((COUNTIF('Elève (5ème3)'!JY14:KA14,"C"))*2)+((COUNTIF('Elève (5ème3)'!JY14:KA14,"D"))*1))/(COUNTA(JY14:KA14)),"")</f>
        <v/>
      </c>
      <c r="KC14" s="139" t="str">
        <f t="shared" si="66"/>
        <v/>
      </c>
      <c r="KD14" s="178">
        <f>IF(COUNT(JR14,JW14,KB14)=0,"",SUM(JR14,JW14,KB14)/COUNT(JR14,JW14,KB14))</f>
        <v>3</v>
      </c>
      <c r="KE14" s="131" t="str">
        <f t="shared" si="67"/>
        <v>B</v>
      </c>
      <c r="KF14" s="156" t="s">
        <v>27</v>
      </c>
      <c r="KG14" s="157"/>
      <c r="KH14" s="158"/>
      <c r="KI14" s="108">
        <f>IFERROR((((COUNTIF('Elève (5ème3)'!KF14:KH14,"A"))*4)+((COUNTIF('Elève (5ème3)'!KF14:KH14,"B"))*3)+((COUNTIF('Elève (5ème3)'!KF14:KH14,"C"))*2)+((COUNTIF('Elève (5ème3)'!KF14:KH14,"D"))*1))/(COUNTA(KF14:KH14)),"")</f>
        <v>4</v>
      </c>
      <c r="KJ14" s="109" t="str">
        <f t="shared" si="68"/>
        <v>A</v>
      </c>
      <c r="KK14" s="81"/>
      <c r="KL14" s="82"/>
      <c r="KM14" s="83"/>
      <c r="KN14" s="108" t="str">
        <f>IFERROR((((COUNTIF('Elève (5ème3)'!KK14:KM14,"A"))*4)+((COUNTIF('Elève (5ème3)'!KK14:KM14,"B"))*3)+((COUNTIF('Elève (5ème3)'!KK14:KM14,"C"))*2)+((COUNTIF('Elève (5ème3)'!KK14:KM14,"D"))*1))/(COUNTA(KK14:KM14)),"")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(5ème3)'!KP14:KR14,"A"))*4)+((COUNTIF('Elève (5ème3)'!KP14:KR14,"B"))*3)+((COUNTIF('Elève (5ème3)'!KP14:KR14,"C"))*2)+((COUNTIF('Elève (5ème3)'!KP14:KR14,"D"))*1))/(COUNTA(KP14:KR14)),"")</f>
        <v/>
      </c>
      <c r="KT14" s="139" t="str">
        <f t="shared" si="70"/>
        <v/>
      </c>
      <c r="KU14" s="178">
        <f>IF(COUNT(KI14,KN14,KS14)=0,"",SUM(KI14,KN14,KS14)/COUNT(KI14,KN14,KS14))</f>
        <v>4</v>
      </c>
      <c r="KV14" s="131" t="str">
        <f t="shared" si="71"/>
        <v>A</v>
      </c>
      <c r="KW14" s="156" t="s">
        <v>28</v>
      </c>
      <c r="KX14" s="157"/>
      <c r="KY14" s="158"/>
      <c r="KZ14" s="108">
        <f>IFERROR((((COUNTIF('Elève (5ème3)'!KW14:KY14,"A"))*4)+((COUNTIF('Elève (5ème3)'!KW14:KY14,"B"))*3)+((COUNTIF('Elève (5ème3)'!KW14:KY14,"C"))*2)+((COUNTIF('Elève (5ème3)'!KW14:KY14,"D"))*1))/(COUNTA(KW14:KY14)),"")</f>
        <v>3</v>
      </c>
      <c r="LA14" s="109" t="str">
        <f t="shared" si="72"/>
        <v>B</v>
      </c>
      <c r="LB14" s="81"/>
      <c r="LC14" s="82"/>
      <c r="LD14" s="83"/>
      <c r="LE14" s="108" t="str">
        <f>IFERROR((((COUNTIF('Elève (5ème3)'!LB14:LD14,"A"))*4)+((COUNTIF('Elève (5ème3)'!LB14:LD14,"B"))*3)+((COUNTIF('Elève (5ème3)'!LB14:LD14,"C"))*2)+((COUNTIF('Elève (5ème3)'!LB14:LD14,"D"))*1))/(COUNTA(LB14:LD14)),"")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(5ème3)'!LG14:LI14,"A"))*4)+((COUNTIF('Elève (5ème3)'!LG14:LI14,"B"))*3)+((COUNTIF('Elève (5ème3)'!LG14:LI14,"C"))*2)+((COUNTIF('Elève (5ème3)'!LG14:LI14,"D"))*1))/(COUNTA(LG14:LI14)),"")</f>
        <v/>
      </c>
      <c r="LK14" s="139" t="str">
        <f t="shared" si="74"/>
        <v/>
      </c>
      <c r="LL14" s="178">
        <f>IF(COUNT(KZ14,LE14,LJ14)=0,"",SUM(KZ14,LE14,LJ14)/COUNT(KZ14,LE14,LJ14))</f>
        <v>3</v>
      </c>
      <c r="LM14" s="131" t="str">
        <f t="shared" si="75"/>
        <v>B</v>
      </c>
      <c r="LN14" s="156" t="s">
        <v>27</v>
      </c>
      <c r="LO14" s="157"/>
      <c r="LP14" s="158"/>
      <c r="LQ14" s="108">
        <f>IFERROR((((COUNTIF('Elève (5ème3)'!LN14:LP14,"A"))*4)+((COUNTIF('Elève (5ème3)'!LN14:LP14,"B"))*3)+((COUNTIF('Elève (5ème3)'!LN14:LP14,"C"))*2)+((COUNTIF('Elève (5ème3)'!LN14:LP14,"D"))*1))/(COUNTA(LN14:LP14)),"")</f>
        <v>4</v>
      </c>
      <c r="LR14" s="109" t="str">
        <f t="shared" si="76"/>
        <v>A</v>
      </c>
      <c r="LS14" s="81"/>
      <c r="LT14" s="82"/>
      <c r="LU14" s="83"/>
      <c r="LV14" s="108" t="str">
        <f>IFERROR((((COUNTIF('Elève (5ème3)'!LS14:LU14,"A"))*4)+((COUNTIF('Elève (5ème3)'!LS14:LU14,"B"))*3)+((COUNTIF('Elève (5ème3)'!LS14:LU14,"C"))*2)+((COUNTIF('Elève (5ème3)'!LS14:LU14,"D"))*1))/(COUNTA(LS14:LU14)),"")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(5ème3)'!LX14:LZ14,"A"))*4)+((COUNTIF('Elève (5ème3)'!LX14:LZ14,"B"))*3)+((COUNTIF('Elève (5ème3)'!LX14:LZ14,"C"))*2)+((COUNTIF('Elève (5ème3)'!LX14:LZ14,"D"))*1))/(COUNTA(LX14:LZ14)),"")</f>
        <v/>
      </c>
      <c r="MB14" s="139" t="str">
        <f t="shared" si="78"/>
        <v/>
      </c>
      <c r="MC14" s="178">
        <f>IF(COUNT(LQ14,LV14,MA14)=0,"",SUM(LQ14,LV14,MA14)/COUNT(LQ14,LV14,MA14))</f>
        <v>4</v>
      </c>
      <c r="MD14" s="131" t="str">
        <f t="shared" si="79"/>
        <v>A</v>
      </c>
      <c r="ME14" s="156" t="s">
        <v>28</v>
      </c>
      <c r="MF14" s="157"/>
      <c r="MG14" s="158"/>
      <c r="MH14" s="108">
        <f>IFERROR((((COUNTIF('Elève (5ème3)'!ME14:MG14,"A"))*4)+((COUNTIF('Elève (5ème3)'!ME14:MG14,"B"))*3)+((COUNTIF('Elève (5ème3)'!ME14:MG14,"C"))*2)+((COUNTIF('Elève (5ème3)'!ME14:MG14,"D"))*1))/(COUNTA(ME14:MG14)),"")</f>
        <v>3</v>
      </c>
      <c r="MI14" s="109" t="str">
        <f t="shared" si="80"/>
        <v>B</v>
      </c>
      <c r="MJ14" s="81"/>
      <c r="MK14" s="82"/>
      <c r="ML14" s="83"/>
      <c r="MM14" s="108" t="str">
        <f>IFERROR((((COUNTIF('Elève (5ème3)'!MJ14:ML14,"A"))*4)+((COUNTIF('Elève (5ème3)'!MJ14:ML14,"B"))*3)+((COUNTIF('Elève (5ème3)'!MJ14:ML14,"C"))*2)+((COUNTIF('Elève (5ème3)'!MJ14:ML14,"D"))*1))/(COUNTA(MJ14:ML14)),"")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(5ème3)'!MO14:MQ14,"A"))*4)+((COUNTIF('Elève (5ème3)'!MO14:MQ14,"B"))*3)+((COUNTIF('Elève (5ème3)'!MO14:MQ14,"C"))*2)+((COUNTIF('Elève (5ème3)'!MO14:MQ14,"D"))*1))/(COUNTA(MO14:MQ14)),"")</f>
        <v/>
      </c>
      <c r="MS14" s="139" t="str">
        <f t="shared" si="82"/>
        <v/>
      </c>
      <c r="MT14" s="178">
        <f>IF(COUNT(MH14,MM14,MR14)=0,"",SUM(MH14,MM14,MR14)/COUNT(MH14,MM14,MR14))</f>
        <v>3</v>
      </c>
      <c r="MU14" s="131" t="str">
        <f t="shared" si="83"/>
        <v>B</v>
      </c>
      <c r="MV14" s="156" t="s">
        <v>27</v>
      </c>
      <c r="MW14" s="157"/>
      <c r="MX14" s="158"/>
      <c r="MY14" s="108">
        <f>IFERROR((((COUNTIF('Elève (5ème3)'!MV14:MX14,"A"))*4)+((COUNTIF('Elève (5ème3)'!MV14:MX14,"B"))*3)+((COUNTIF('Elève (5ème3)'!MV14:MX14,"C"))*2)+((COUNTIF('Elève (5ème3)'!MV14:MX14,"D"))*1))/(COUNTA(MV14:MX14)),"")</f>
        <v>4</v>
      </c>
      <c r="MZ14" s="109" t="str">
        <f t="shared" si="84"/>
        <v>A</v>
      </c>
      <c r="NA14" s="81"/>
      <c r="NB14" s="82"/>
      <c r="NC14" s="83"/>
      <c r="ND14" s="108" t="str">
        <f>IFERROR((((COUNTIF('Elève (5ème3)'!NA14:NC14,"A"))*4)+((COUNTIF('Elève (5ème3)'!NA14:NC14,"B"))*3)+((COUNTIF('Elève (5ème3)'!NA14:NC14,"C"))*2)+((COUNTIF('Elève (5ème3)'!NA14:NC14,"D"))*1))/(COUNTA(NA14:NC14)),"")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(5ème3)'!NF14:NH14,"A"))*4)+((COUNTIF('Elève (5ème3)'!NF14:NH14,"B"))*3)+((COUNTIF('Elève (5ème3)'!NF14:NH14,"C"))*2)+((COUNTIF('Elève (5ème3)'!NF14:NH14,"D"))*1))/(COUNTA(NF14:NH14)),"")</f>
        <v/>
      </c>
      <c r="NJ14" s="139" t="str">
        <f t="shared" si="86"/>
        <v/>
      </c>
      <c r="NK14" s="178">
        <f>IF(COUNT(MY14,ND14,NI14)=0,"",SUM(MY14,ND14,NI14)/COUNT(MY14,ND14,NI14))</f>
        <v>4</v>
      </c>
      <c r="NL14" s="131" t="str">
        <f t="shared" si="87"/>
        <v>A</v>
      </c>
      <c r="NM14" s="156" t="s">
        <v>27</v>
      </c>
      <c r="NN14" s="157"/>
      <c r="NO14" s="158"/>
      <c r="NP14" s="108">
        <f>IFERROR((((COUNTIF('Elève (5ème3)'!NM14:NO14,"A"))*4)+((COUNTIF('Elève (5ème3)'!NM14:NO14,"B"))*3)+((COUNTIF('Elève (5ème3)'!NM14:NO14,"C"))*2)+((COUNTIF('Elève (5ème3)'!NM14:NO14,"D"))*1))/(COUNTA(NM14:NO14)),"")</f>
        <v>4</v>
      </c>
      <c r="NQ14" s="109" t="str">
        <f t="shared" si="88"/>
        <v>A</v>
      </c>
      <c r="NR14" s="81"/>
      <c r="NS14" s="82"/>
      <c r="NT14" s="83"/>
      <c r="NU14" s="108" t="str">
        <f>IFERROR((((COUNTIF('Elève (5ème3)'!NR14:NT14,"A"))*4)+((COUNTIF('Elève (5ème3)'!NR14:NT14,"B"))*3)+((COUNTIF('Elève (5ème3)'!NR14:NT14,"C"))*2)+((COUNTIF('Elève (5ème3)'!NR14:NT14,"D"))*1))/(COUNTA(NR14:NT14)),"")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(5ème3)'!NW14:NY14,"A"))*4)+((COUNTIF('Elève (5ème3)'!NW14:NY14,"B"))*3)+((COUNTIF('Elève (5ème3)'!NW14:NY14,"C"))*2)+((COUNTIF('Elève (5ème3)'!NW14:NY14,"D"))*1))/(COUNTA(NW14:NY14)),"")</f>
        <v/>
      </c>
      <c r="OA14" s="139" t="str">
        <f t="shared" si="90"/>
        <v/>
      </c>
      <c r="OB14" s="178">
        <f>IF(COUNT(NP14,NU14,NZ14)=0,"",SUM(NP14,NU14,NZ14)/COUNT(NP14,NU14,NZ14))</f>
        <v>4</v>
      </c>
      <c r="OC14" s="131" t="str">
        <f t="shared" si="91"/>
        <v>A</v>
      </c>
      <c r="OD14" s="156" t="s">
        <v>28</v>
      </c>
      <c r="OE14" s="157"/>
      <c r="OF14" s="158"/>
      <c r="OG14" s="108">
        <f>IFERROR((((COUNTIF('Elève (5ème3)'!OD14:OF14,"A"))*4)+((COUNTIF('Elève (5ème3)'!OD14:OF14,"B"))*3)+((COUNTIF('Elève (5ème3)'!OD14:OF14,"C"))*2)+((COUNTIF('Elève (5ème3)'!OD14:OF14,"D"))*1))/(COUNTA(OD14:OF14)),"")</f>
        <v>3</v>
      </c>
      <c r="OH14" s="109" t="str">
        <f t="shared" si="92"/>
        <v>B</v>
      </c>
      <c r="OI14" s="81"/>
      <c r="OJ14" s="82"/>
      <c r="OK14" s="83"/>
      <c r="OL14" s="108" t="str">
        <f>IFERROR((((COUNTIF('Elève (5ème3)'!OI14:OK14,"A"))*4)+((COUNTIF('Elève (5ème3)'!OI14:OK14,"B"))*3)+((COUNTIF('Elève (5ème3)'!OI14:OK14,"C"))*2)+((COUNTIF('Elève (5ème3)'!OI14:OK14,"D"))*1))/(COUNTA(OI14:OK14)),"")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(5ème3)'!ON14:OP14,"A"))*4)+((COUNTIF('Elève (5ème3)'!ON14:OP14,"B"))*3)+((COUNTIF('Elève (5ème3)'!ON14:OP14,"C"))*2)+((COUNTIF('Elève (5ème3)'!ON14:OP14,"D"))*1))/(COUNTA(ON14:OP14)),"")</f>
        <v/>
      </c>
      <c r="OR14" s="139" t="str">
        <f t="shared" si="94"/>
        <v/>
      </c>
      <c r="OS14" s="178">
        <f>IF(COUNT(OG14,OL14,OQ14)=0,"",SUM(OG14,OL14,OQ14)/COUNT(OG14,OL14,OQ14))</f>
        <v>3</v>
      </c>
      <c r="OT14" s="131" t="str">
        <f t="shared" si="95"/>
        <v>B</v>
      </c>
      <c r="OU14" s="156" t="s">
        <v>28</v>
      </c>
      <c r="OV14" s="157"/>
      <c r="OW14" s="158"/>
      <c r="OX14" s="108">
        <f>IFERROR((((COUNTIF('Elève (5ème3)'!OU14:OW14,"A"))*4)+((COUNTIF('Elève (5ème3)'!OU14:OW14,"B"))*3)+((COUNTIF('Elève (5ème3)'!OU14:OW14,"C"))*2)+((COUNTIF('Elève (5ème3)'!OU14:OW14,"D"))*1))/(COUNTA(OU14:OW14)),"")</f>
        <v>3</v>
      </c>
      <c r="OY14" s="109" t="str">
        <f t="shared" si="96"/>
        <v>B</v>
      </c>
      <c r="OZ14" s="81"/>
      <c r="PA14" s="82"/>
      <c r="PB14" s="83"/>
      <c r="PC14" s="108" t="str">
        <f>IFERROR((((COUNTIF('Elève (5ème3)'!OZ14:PB14,"A"))*4)+((COUNTIF('Elève (5ème3)'!OZ14:PB14,"B"))*3)+((COUNTIF('Elève (5ème3)'!OZ14:PB14,"C"))*2)+((COUNTIF('Elève (5ème3)'!OZ14:PB14,"D"))*1))/(COUNTA(OZ14:PB14)),"")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(5ème3)'!PE14:PG14,"A"))*4)+((COUNTIF('Elève (5ème3)'!PE14:PG14,"B"))*3)+((COUNTIF('Elève (5ème3)'!PE14:PG14,"C"))*2)+((COUNTIF('Elève (5ème3)'!PE14:PG14,"D"))*1))/(COUNTA(PE14:PG14)),"")</f>
        <v/>
      </c>
      <c r="PI14" s="139" t="str">
        <f t="shared" si="98"/>
        <v/>
      </c>
      <c r="PJ14" s="178">
        <f>IF(COUNT(OX14,PC14,PH14)=0,"",SUM(OX14,PC14,PH14)/COUNT(OX14,PC14,PH14))</f>
        <v>3</v>
      </c>
      <c r="PK14" s="131" t="str">
        <f t="shared" si="99"/>
        <v>B</v>
      </c>
      <c r="PL14" s="156" t="s">
        <v>27</v>
      </c>
      <c r="PM14" s="157"/>
      <c r="PN14" s="158"/>
      <c r="PO14" s="108">
        <f>IFERROR((((COUNTIF('Elève (5ème3)'!PL14:PN14,"A"))*4)+((COUNTIF('Elève (5ème3)'!PL14:PN14,"B"))*3)+((COUNTIF('Elève (5ème3)'!PL14:PN14,"C"))*2)+((COUNTIF('Elève (5ème3)'!PL14:PN14,"D"))*1))/(COUNTA(PL14:PN14)),"")</f>
        <v>4</v>
      </c>
      <c r="PP14" s="109" t="str">
        <f t="shared" si="100"/>
        <v>A</v>
      </c>
      <c r="PQ14" s="81"/>
      <c r="PR14" s="82"/>
      <c r="PS14" s="83"/>
      <c r="PT14" s="108" t="str">
        <f>IFERROR((((COUNTIF('Elève (5ème3)'!PQ14:PS14,"A"))*4)+((COUNTIF('Elève (5ème3)'!PQ14:PS14,"B"))*3)+((COUNTIF('Elève (5ème3)'!PQ14:PS14,"C"))*2)+((COUNTIF('Elève (5ème3)'!PQ14:PS14,"D"))*1))/(COUNTA(PQ14:PS14)),"")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(5ème3)'!PV14:PX14,"A"))*4)+((COUNTIF('Elève (5ème3)'!PV14:PX14,"B"))*3)+((COUNTIF('Elève (5ème3)'!PV14:PX14,"C"))*2)+((COUNTIF('Elève (5ème3)'!PV14:PX14,"D"))*1))/(COUNTA(PV14:PX14)),"")</f>
        <v/>
      </c>
      <c r="PZ14" s="139" t="str">
        <f t="shared" si="102"/>
        <v/>
      </c>
      <c r="QA14" s="178">
        <f>IF(COUNT(PO14,PT14,PY14)=0,"",SUM(PO14,PT14,PY14)/COUNT(PO14,PT14,PY14))</f>
        <v>4</v>
      </c>
      <c r="QB14" s="131" t="str">
        <f t="shared" si="103"/>
        <v>A</v>
      </c>
      <c r="QC14" s="156" t="s">
        <v>27</v>
      </c>
      <c r="QD14" s="157"/>
      <c r="QE14" s="158"/>
      <c r="QF14" s="108">
        <f>IFERROR((((COUNTIF('Elève (5ème3)'!QC14:QE14,"A"))*4)+((COUNTIF('Elève (5ème3)'!QC14:QE14,"B"))*3)+((COUNTIF('Elève (5ème3)'!QC14:QE14,"C"))*2)+((COUNTIF('Elève (5ème3)'!QC14:QE14,"D"))*1))/(COUNTA(QC14:QE14)),"")</f>
        <v>4</v>
      </c>
      <c r="QG14" s="109" t="str">
        <f t="shared" si="104"/>
        <v>A</v>
      </c>
      <c r="QH14" s="81"/>
      <c r="QI14" s="82"/>
      <c r="QJ14" s="83"/>
      <c r="QK14" s="108" t="str">
        <f>IFERROR((((COUNTIF('Elève (5ème3)'!QH14:QJ14,"A"))*4)+((COUNTIF('Elève (5ème3)'!QH14:QJ14,"B"))*3)+((COUNTIF('Elève (5ème3)'!QH14:QJ14,"C"))*2)+((COUNTIF('Elève (5ème3)'!QH14:QJ14,"D"))*1))/(COUNTA(QH14:QJ14)),"")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(5ème3)'!QM14:QO14,"A"))*4)+((COUNTIF('Elève (5ème3)'!QM14:QO14,"B"))*3)+((COUNTIF('Elève (5ème3)'!QM14:QO14,"C"))*2)+((COUNTIF('Elève (5ème3)'!QM14:QO14,"D"))*1))/(COUNTA(QM14:QO14)),"")</f>
        <v/>
      </c>
      <c r="QQ14" s="139" t="str">
        <f t="shared" si="106"/>
        <v/>
      </c>
      <c r="QR14" s="178">
        <f>IF(COUNT(QF14,QK14,QP14)=0,"",SUM(QF14,QK14,QP14)/COUNT(QF14,QK14,QP14))</f>
        <v>4</v>
      </c>
      <c r="QS14" s="131" t="str">
        <f t="shared" si="107"/>
        <v>A</v>
      </c>
      <c r="QT14" s="156" t="s">
        <v>27</v>
      </c>
      <c r="QU14" s="157"/>
      <c r="QV14" s="158"/>
      <c r="QW14" s="108">
        <f>IFERROR((((COUNTIF('Elève (5ème3)'!QT14:QV14,"A"))*4)+((COUNTIF('Elève (5ème3)'!QT14:QV14,"B"))*3)+((COUNTIF('Elève (5ème3)'!QT14:QV14,"C"))*2)+((COUNTIF('Elève (5ème3)'!QT14:QV14,"D"))*1))/(COUNTA(QT14:QV14)),"")</f>
        <v>4</v>
      </c>
      <c r="QX14" s="109" t="str">
        <f t="shared" si="108"/>
        <v>A</v>
      </c>
      <c r="QY14" s="81"/>
      <c r="QZ14" s="82"/>
      <c r="RA14" s="83"/>
      <c r="RB14" s="108" t="str">
        <f>IFERROR((((COUNTIF('Elève (5ème3)'!QY14:RA14,"A"))*4)+((COUNTIF('Elève (5ème3)'!QY14:RA14,"B"))*3)+((COUNTIF('Elève (5ème3)'!QY14:RA14,"C"))*2)+((COUNTIF('Elève (5ème3)'!QY14:RA14,"D"))*1))/(COUNTA(QY14:RA14)),"")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(5ème3)'!RD14:RF14,"A"))*4)+((COUNTIF('Elève (5ème3)'!RD14:RF14,"B"))*3)+((COUNTIF('Elève (5ème3)'!RD14:RF14,"C"))*2)+((COUNTIF('Elève (5ème3)'!RD14:RF14,"D"))*1))/(COUNTA(RD14:RF14)),"")</f>
        <v/>
      </c>
      <c r="RH14" s="139" t="str">
        <f t="shared" si="110"/>
        <v/>
      </c>
      <c r="RI14" s="178">
        <f>IF(COUNT(QW14,RB14,RG14)=0,"",SUM(QW14,RB14,RG14)/COUNT(QW14,RB14,RG14))</f>
        <v>4</v>
      </c>
      <c r="RJ14" s="131" t="str">
        <f t="shared" si="111"/>
        <v>A</v>
      </c>
      <c r="RK14" s="156"/>
      <c r="RL14" s="157"/>
      <c r="RM14" s="158"/>
      <c r="RN14" s="108" t="str">
        <f>IFERROR((((COUNTIF('Elève (5ème3)'!RK14:RM14,"A"))*4)+((COUNTIF('Elève (5ème3)'!RK14:RM14,"B"))*3)+((COUNTIF('Elève (5ème3)'!RK14:RM14,"C"))*2)+((COUNTIF('Elève (5ème3)'!RK14:RM14,"D"))*1))/(COUNTA(RK14:RM14)),"")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(5ème3)'!RP14:RR14,"A"))*4)+((COUNTIF('Elève (5ème3)'!RP14:RR14,"B"))*3)+((COUNTIF('Elève (5ème3)'!RP14:RR14,"C"))*2)+((COUNTIF('Elève (5ème3)'!RP14:RR14,"D"))*1))/(COUNTA(RP14:RR14)),"")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(5ème3)'!RU14:RW14,"A"))*4)+((COUNTIF('Elève (5ème3)'!RU14:RW14,"B"))*3)+((COUNTIF('Elève (5ème3)'!RU14:RW14,"C"))*2)+((COUNTIF('Elève (5ème3)'!RU14:RW14,"D"))*1))/(COUNTA(RU14:RW14)),"")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(5ème3)'!SB14:SD14,"A"))*4)+((COUNTIF('Elève (5ème3)'!SB14:SD14,"B"))*3)+((COUNTIF('Elève (5ème3)'!SB14:SD14,"C"))*2)+((COUNTIF('Elève (5ème3)'!SB14:SD14,"D"))*1))/(COUNTA(SB14:SD14)),"")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(5ème3)'!SG14:SI14,"A"))*4)+((COUNTIF('Elève (5ème3)'!SG14:SI14,"B"))*3)+((COUNTIF('Elève (5ème3)'!SG14:SI14,"C"))*2)+((COUNTIF('Elève (5ème3)'!SG14:SI14,"D"))*1))/(COUNTA(SG14:SI14)),"")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(5ème3)'!SL14:SN14,"A"))*4)+((COUNTIF('Elève (5ème3)'!SL14:SN14,"B"))*3)+((COUNTIF('Elève (5ème3)'!SL14:SN14,"C"))*2)+((COUNTIF('Elève (5ème3)'!SL14:SN14,"D"))*1))/(COUNTA(SL14:SN14)),"")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25" t="s">
        <v>37</v>
      </c>
      <c r="B15" s="226"/>
      <c r="C15" s="159"/>
      <c r="D15" s="160"/>
      <c r="E15" s="161"/>
      <c r="F15" s="112" t="str">
        <f>IFERROR((((COUNTIF('Elève (5ème3)'!C15:E15,"A"))*4)+((COUNTIF('Elève (5ème3)'!C15:E15,"B"))*3)+((COUNTIF('Elève (5ème3)'!C15:E15,"C"))*2)+((COUNTIF('Elève (5ème3)'!C15:E15,"D"))*1))/(COUNTA(C15:E15)),"")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(5ème3)'!H15:J15,"A"))*4)+((COUNTIF('Elève (5ème3)'!H15:J15,"B"))*3)+((COUNTIF('Elève (5ème3)'!H15:J15,"C"))*2)+((COUNTIF('Elève (5ème3)'!H15:J15,"D"))*1))/(COUNTA(H15:J15)),"")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(5ème3)'!M15:O15,"A"))*4)+((COUNTIF('Elève (5ème3)'!M15:O15,"B"))*3)+((COUNTIF('Elève (5ème3)'!M15:O15,"C"))*2)+((COUNTIF('Elève (5ème3)'!M15:O15,"D"))*1))/(COUNTA(M15:O15)),"")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(5ème3)'!T15:V15,"A"))*4)+((COUNTIF('Elève (5ème3)'!T15:V15,"B"))*3)+((COUNTIF('Elève (5ème3)'!T15:V15,"C"))*2)+((COUNTIF('Elève (5ème3)'!T15:V15,"D"))*1))/(COUNTA(T15:V15)),"")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(5ème3)'!Y15:AA15,"A"))*4)+((COUNTIF('Elève (5ème3)'!Y15:AA15,"B"))*3)+((COUNTIF('Elève (5ème3)'!Y15:AA15,"C"))*2)+((COUNTIF('Elève (5ème3)'!Y15:AA15,"D"))*1))/(COUNTA(Y15:AA15)),"")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(5ème3)'!AD15:AF15,"A"))*4)+((COUNTIF('Elève (5ème3)'!AD15:AF15,"B"))*3)+((COUNTIF('Elève (5ème3)'!AD15:AF15,"C"))*2)+((COUNTIF('Elève (5ème3)'!AD15:AF15,"D"))*1))/(COUNTA(AD15:AF15)),"")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(5ème3)'!AK15:AM15,"A"))*4)+((COUNTIF('Elève (5ème3)'!AK15:AM15,"B"))*3)+((COUNTIF('Elève (5ème3)'!AK15:AM15,"C"))*2)+((COUNTIF('Elève (5ème3)'!AK15:AM15,"D"))*1))/(COUNTA(AK15:AM15)),"")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(5ème3)'!AP15:AR15,"A"))*4)+((COUNTIF('Elève (5ème3)'!AP15:AR15,"B"))*3)+((COUNTIF('Elève (5ème3)'!AP15:AR15,"C"))*2)+((COUNTIF('Elève (5ème3)'!AP15:AR15,"D"))*1))/(COUNTA(AP15:AR15)),"")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(5ème3)'!AU15:AW15,"A"))*4)+((COUNTIF('Elève (5ème3)'!AU15:AW15,"B"))*3)+((COUNTIF('Elève (5ème3)'!AU15:AW15,"C"))*2)+((COUNTIF('Elève (5ème3)'!AU15:AW15,"D"))*1))/(COUNTA(AU15:AW15)),"")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(5ème3)'!BB15:BD15,"A"))*4)+((COUNTIF('Elève (5ème3)'!BB15:BD15,"B"))*3)+((COUNTIF('Elève (5ème3)'!BB15:BD15,"C"))*2)+((COUNTIF('Elève (5ème3)'!BB15:BD15,"D"))*1))/(COUNTA(BB15:BD15)),"")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(5ème3)'!BG15:BI15,"A"))*4)+((COUNTIF('Elève (5ème3)'!BG15:BI15,"B"))*3)+((COUNTIF('Elève (5ème3)'!BG15:BI15,"C"))*2)+((COUNTIF('Elève (5ème3)'!BG15:BI15,"D"))*1))/(COUNTA(BG15:BI15)),"")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(5ème3)'!BL15:BN15,"A"))*4)+((COUNTIF('Elève (5ème3)'!BL15:BN15,"B"))*3)+((COUNTIF('Elève (5ème3)'!BL15:BN15,"C"))*2)+((COUNTIF('Elève (5ème3)'!BL15:BN15,"D"))*1))/(COUNTA(BL15:BN15)),"")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(5ème3)'!BS15:BU15,"A"))*4)+((COUNTIF('Elève (5ème3)'!BS15:BU15,"B"))*3)+((COUNTIF('Elève (5ème3)'!BS15:BU15,"C"))*2)+((COUNTIF('Elève (5ème3)'!BS15:BU15,"D"))*1))/(COUNTA(BS15:BU15)),"")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(5ème3)'!BX15:BZ15,"A"))*4)+((COUNTIF('Elève (5ème3)'!BX15:BZ15,"B"))*3)+((COUNTIF('Elève (5ème3)'!BX15:BZ15,"C"))*2)+((COUNTIF('Elève (5ème3)'!BX15:BZ15,"D"))*1))/(COUNTA(BX15:BZ15)),"")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(5ème3)'!CC15:CE15,"A"))*4)+((COUNTIF('Elève (5ème3)'!CC15:CE15,"B"))*3)+((COUNTIF('Elève (5ème3)'!CC15:CE15,"C"))*2)+((COUNTIF('Elève (5ème3)'!CC15:CE15,"D"))*1))/(COUNTA(CC15:CE15)),"")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(5ème3)'!CJ15:CL15,"A"))*4)+((COUNTIF('Elève (5ème3)'!CJ15:CL15,"B"))*3)+((COUNTIF('Elève (5ème3)'!CJ15:CL15,"C"))*2)+((COUNTIF('Elève (5ème3)'!CJ15:CL15,"D"))*1))/(COUNTA(CJ15:CL15)),"")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(5ème3)'!CO15:CQ15,"A"))*4)+((COUNTIF('Elève (5ème3)'!CO15:CQ15,"B"))*3)+((COUNTIF('Elève (5ème3)'!CO15:CQ15,"C"))*2)+((COUNTIF('Elève (5ème3)'!CO15:CQ15,"D"))*1))/(COUNTA(CO15:CQ15)),"")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(5ème3)'!CT15:CV15,"A"))*4)+((COUNTIF('Elève (5ème3)'!CT15:CV15,"B"))*3)+((COUNTIF('Elève (5ème3)'!CT15:CV15,"C"))*2)+((COUNTIF('Elève (5ème3)'!CT15:CV15,"D"))*1))/(COUNTA(CT15:CV15)),"")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(5ème3)'!DA15:DC15,"A"))*4)+((COUNTIF('Elève (5ème3)'!DA15:DC15,"B"))*3)+((COUNTIF('Elève (5ème3)'!DA15:DC15,"C"))*2)+((COUNTIF('Elève (5ème3)'!DA15:DC15,"D"))*1))/(COUNTA(DA15:DC15)),"")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(5ème3)'!DF15:DH15,"A"))*4)+((COUNTIF('Elève (5ème3)'!DF15:DH15,"B"))*3)+((COUNTIF('Elève (5ème3)'!DF15:DH15,"C"))*2)+((COUNTIF('Elève (5ème3)'!DF15:DH15,"D"))*1))/(COUNTA(DF15:DH15)),"")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(5ème3)'!DK15:DM15,"A"))*4)+((COUNTIF('Elève (5ème3)'!DK15:DM15,"B"))*3)+((COUNTIF('Elève (5ème3)'!DK15:DM15,"C"))*2)+((COUNTIF('Elève (5ème3)'!DK15:DM15,"D"))*1))/(COUNTA(DK15:DM15)),"")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(5ème3)'!DR15:DT15,"A"))*4)+((COUNTIF('Elève (5ème3)'!DR15:DT15,"B"))*3)+((COUNTIF('Elève (5ème3)'!DR15:DT15,"C"))*2)+((COUNTIF('Elève (5ème3)'!DR15:DT15,"D"))*1))/(COUNTA(DR15:DT15)),"")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(5ème3)'!DW15:DY15,"A"))*4)+((COUNTIF('Elève (5ème3)'!DW15:DY15,"B"))*3)+((COUNTIF('Elève (5ème3)'!DW15:DY15,"C"))*2)+((COUNTIF('Elève (5ème3)'!DW15:DY15,"D"))*1))/(COUNTA(DW15:DY15)),"")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(5ème3)'!EB15:ED15,"A"))*4)+((COUNTIF('Elève (5ème3)'!EB15:ED15,"B"))*3)+((COUNTIF('Elève (5ème3)'!EB15:ED15,"C"))*2)+((COUNTIF('Elève (5ème3)'!EB15:ED15,"D"))*1))/(COUNTA(EB15:ED15)),"")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(5ème3)'!EI15:EK15,"A"))*4)+((COUNTIF('Elève (5ème3)'!EI15:EK15,"B"))*3)+((COUNTIF('Elève (5ème3)'!EI15:EK15,"C"))*2)+((COUNTIF('Elève (5ème3)'!EI15:EK15,"D"))*1))/(COUNTA(EI15:EK15)),"")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(5ème3)'!EN15:EP15,"A"))*4)+((COUNTIF('Elève (5ème3)'!EN15:EP15,"B"))*3)+((COUNTIF('Elève (5ème3)'!EN15:EP15,"C"))*2)+((COUNTIF('Elève (5ème3)'!EN15:EP15,"D"))*1))/(COUNTA(EN15:EP15)),"")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(5ème3)'!ES15:EU15,"A"))*4)+((COUNTIF('Elève (5ème3)'!ES15:EU15,"B"))*3)+((COUNTIF('Elève (5ème3)'!ES15:EU15,"C"))*2)+((COUNTIF('Elève (5ème3)'!ES15:EU15,"D"))*1))/(COUNTA(ES15:EU15)),"")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(5ème3)'!EZ15:FB15,"A"))*4)+((COUNTIF('Elève (5ème3)'!EZ15:FB15,"B"))*3)+((COUNTIF('Elève (5ème3)'!EZ15:FB15,"C"))*2)+((COUNTIF('Elève (5ème3)'!EZ15:FB15,"D"))*1))/(COUNTA(EZ15:FB15)),"")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(5ème3)'!FE15:FG15,"A"))*4)+((COUNTIF('Elève (5ème3)'!FE15:FG15,"B"))*3)+((COUNTIF('Elève (5ème3)'!FE15:FG15,"C"))*2)+((COUNTIF('Elève (5ème3)'!FE15:FG15,"D"))*1))/(COUNTA(FE15:FG15)),"")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(5ème3)'!FJ15:FL15,"A"))*4)+((COUNTIF('Elève (5ème3)'!FJ15:FL15,"B"))*3)+((COUNTIF('Elève (5ème3)'!FJ15:FL15,"C"))*2)+((COUNTIF('Elève (5ème3)'!FJ15:FL15,"D"))*1))/(COUNTA(FJ15:FL15)),"")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(5ème3)'!FQ15:FS15,"A"))*4)+((COUNTIF('Elève (5ème3)'!FQ15:FS15,"B"))*3)+((COUNTIF('Elève (5ème3)'!FQ15:FS15,"C"))*2)+((COUNTIF('Elève (5ème3)'!FQ15:FS15,"D"))*1))/(COUNTA(FQ15:FS15)),"")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(5ème3)'!FV15:FX15,"A"))*4)+((COUNTIF('Elève (5ème3)'!FV15:FX15,"B"))*3)+((COUNTIF('Elève (5ème3)'!FV15:FX15,"C"))*2)+((COUNTIF('Elève (5ème3)'!FV15:FX15,"D"))*1))/(COUNTA(FV15:FX15)),"")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(5ème3)'!GA15:GC15,"A"))*4)+((COUNTIF('Elève (5ème3)'!GA15:GC15,"B"))*3)+((COUNTIF('Elève (5ème3)'!GA15:GC15,"C"))*2)+((COUNTIF('Elève (5ème3)'!GA15:GC15,"D"))*1))/(COUNTA(GA15:GC15)),"")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(5ème3)'!GH15:GJ15,"A"))*4)+((COUNTIF('Elève (5ème3)'!GH15:GJ15,"B"))*3)+((COUNTIF('Elève (5ème3)'!GH15:GJ15,"C"))*2)+((COUNTIF('Elève (5ème3)'!GH15:GJ15,"D"))*1))/(COUNTA(GH15:GJ15)),"")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(5ème3)'!GM15:GO15,"A"))*4)+((COUNTIF('Elève (5ème3)'!GM15:GO15,"B"))*3)+((COUNTIF('Elève (5ème3)'!GM15:GO15,"C"))*2)+((COUNTIF('Elève (5ème3)'!GM15:GO15,"D"))*1))/(COUNTA(GM15:GO15)),"")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(5ème3)'!GR15:GT15,"A"))*4)+((COUNTIF('Elève (5ème3)'!GR15:GT15,"B"))*3)+((COUNTIF('Elève (5ème3)'!GR15:GT15,"C"))*2)+((COUNTIF('Elève (5ème3)'!GR15:GT15,"D"))*1))/(COUNTA(GR15:GT15)),"")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(5ème3)'!GY15:HA15,"A"))*4)+((COUNTIF('Elève (5ème3)'!GY15:HA15,"B"))*3)+((COUNTIF('Elève (5ème3)'!GY15:HA15,"C"))*2)+((COUNTIF('Elève (5ème3)'!GY15:HA15,"D"))*1))/(COUNTA(GY15:HA15)),"")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(5ème3)'!HD15:HF15,"A"))*4)+((COUNTIF('Elève (5ème3)'!HD15:HF15,"B"))*3)+((COUNTIF('Elève (5ème3)'!HD15:HF15,"C"))*2)+((COUNTIF('Elève (5ème3)'!HD15:HF15,"D"))*1))/(COUNTA(HD15:HF15)),"")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(5ème3)'!HI15:HK15,"A"))*4)+((COUNTIF('Elève (5ème3)'!HI15:HK15,"B"))*3)+((COUNTIF('Elève (5ème3)'!HI15:HK15,"C"))*2)+((COUNTIF('Elève (5ème3)'!HI15:HK15,"D"))*1))/(COUNTA(HI15:HK15)),"")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(5ème3)'!HP15:HR15,"A"))*4)+((COUNTIF('Elève (5ème3)'!HP15:HR15,"B"))*3)+((COUNTIF('Elève (5ème3)'!HP15:HR15,"C"))*2)+((COUNTIF('Elève (5ème3)'!HP15:HR15,"D"))*1))/(COUNTA(HP15:HR15)),"")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(5ème3)'!HU15:HW15,"A"))*4)+((COUNTIF('Elève (5ème3)'!HU15:HW15,"B"))*3)+((COUNTIF('Elève (5ème3)'!HU15:HW15,"C"))*2)+((COUNTIF('Elève (5ème3)'!HU15:HW15,"D"))*1))/(COUNTA(HU15:HW15)),"")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(5ème3)'!HZ15:IB15,"A"))*4)+((COUNTIF('Elève (5ème3)'!HZ15:IB15,"B"))*3)+((COUNTIF('Elève (5ème3)'!HZ15:IB15,"C"))*2)+((COUNTIF('Elève (5ème3)'!HZ15:IB15,"D"))*1))/(COUNTA(HZ15:IB15)),"")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(5ème3)'!IG15:II15,"A"))*4)+((COUNTIF('Elève (5ème3)'!IG15:II15,"B"))*3)+((COUNTIF('Elève (5ème3)'!IG15:II15,"C"))*2)+((COUNTIF('Elève (5ème3)'!IG15:II15,"D"))*1))/(COUNTA(IG15:II15)),"")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(5ème3)'!IL15:IN15,"A"))*4)+((COUNTIF('Elève (5ème3)'!IL15:IN15,"B"))*3)+((COUNTIF('Elève (5ème3)'!IL15:IN15,"C"))*2)+((COUNTIF('Elève (5ème3)'!IL15:IN15,"D"))*1))/(COUNTA(IL15:IN15)),"")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(5ème3)'!IQ15:IS15,"A"))*4)+((COUNTIF('Elève (5ème3)'!IQ15:IS15,"B"))*3)+((COUNTIF('Elève (5ème3)'!IQ15:IS15,"C"))*2)+((COUNTIF('Elève (5ème3)'!IQ15:IS15,"D"))*1))/(COUNTA(IQ15:IS15)),"")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(5ème3)'!IX15:IZ15,"A"))*4)+((COUNTIF('Elève (5ème3)'!IX15:IZ15,"B"))*3)+((COUNTIF('Elève (5ème3)'!IX15:IZ15,"C"))*2)+((COUNTIF('Elève (5ème3)'!IX15:IZ15,"D"))*1))/(COUNTA(IX15:IZ15)),"")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(5ème3)'!JC15:JE15,"A"))*4)+((COUNTIF('Elève (5ème3)'!JC15:JE15,"B"))*3)+((COUNTIF('Elève (5ème3)'!JC15:JE15,"C"))*2)+((COUNTIF('Elève (5ème3)'!JC15:JE15,"D"))*1))/(COUNTA(JC15:JE15)),"")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(5ème3)'!JH15:JJ15,"A"))*4)+((COUNTIF('Elève (5ème3)'!JH15:JJ15,"B"))*3)+((COUNTIF('Elève (5ème3)'!JH15:JJ15,"C"))*2)+((COUNTIF('Elève (5ème3)'!JH15:JJ15,"D"))*1))/(COUNTA(JH15:JJ15)),"")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(5ème3)'!JO15:JQ15,"A"))*4)+((COUNTIF('Elève (5ème3)'!JO15:JQ15,"B"))*3)+((COUNTIF('Elève (5ème3)'!JO15:JQ15,"C"))*2)+((COUNTIF('Elève (5ème3)'!JO15:JQ15,"D"))*1))/(COUNTA(JO15:JQ15)),"")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(5ème3)'!JT15:JV15,"A"))*4)+((COUNTIF('Elève (5ème3)'!JT15:JV15,"B"))*3)+((COUNTIF('Elève (5ème3)'!JT15:JV15,"C"))*2)+((COUNTIF('Elève (5ème3)'!JT15:JV15,"D"))*1))/(COUNTA(JT15:JV15)),"")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(5ème3)'!JY15:KA15,"A"))*4)+((COUNTIF('Elève (5ème3)'!JY15:KA15,"B"))*3)+((COUNTIF('Elève (5ème3)'!JY15:KA15,"C"))*2)+((COUNTIF('Elève (5ème3)'!JY15:KA15,"D"))*1))/(COUNTA(JY15:KA15)),"")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(5ème3)'!KF15:KH15,"A"))*4)+((COUNTIF('Elève (5ème3)'!KF15:KH15,"B"))*3)+((COUNTIF('Elève (5ème3)'!KF15:KH15,"C"))*2)+((COUNTIF('Elève (5ème3)'!KF15:KH15,"D"))*1))/(COUNTA(KF15:KH15)),"")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(5ème3)'!KK15:KM15,"A"))*4)+((COUNTIF('Elève (5ème3)'!KK15:KM15,"B"))*3)+((COUNTIF('Elève (5ème3)'!KK15:KM15,"C"))*2)+((COUNTIF('Elève (5ème3)'!KK15:KM15,"D"))*1))/(COUNTA(KK15:KM15)),"")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(5ème3)'!KP15:KR15,"A"))*4)+((COUNTIF('Elève (5ème3)'!KP15:KR15,"B"))*3)+((COUNTIF('Elève (5ème3)'!KP15:KR15,"C"))*2)+((COUNTIF('Elève (5ème3)'!KP15:KR15,"D"))*1))/(COUNTA(KP15:KR15)),"")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(5ème3)'!KW15:KY15,"A"))*4)+((COUNTIF('Elève (5ème3)'!KW15:KY15,"B"))*3)+((COUNTIF('Elève (5ème3)'!KW15:KY15,"C"))*2)+((COUNTIF('Elève (5ème3)'!KW15:KY15,"D"))*1))/(COUNTA(KW15:KY15)),"")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(5ème3)'!LB15:LD15,"A"))*4)+((COUNTIF('Elève (5ème3)'!LB15:LD15,"B"))*3)+((COUNTIF('Elève (5ème3)'!LB15:LD15,"C"))*2)+((COUNTIF('Elève (5ème3)'!LB15:LD15,"D"))*1))/(COUNTA(LB15:LD15)),"")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(5ème3)'!LG15:LI15,"A"))*4)+((COUNTIF('Elève (5ème3)'!LG15:LI15,"B"))*3)+((COUNTIF('Elève (5ème3)'!LG15:LI15,"C"))*2)+((COUNTIF('Elève (5ème3)'!LG15:LI15,"D"))*1))/(COUNTA(LG15:LI15)),"")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(5ème3)'!LN15:LP15,"A"))*4)+((COUNTIF('Elève (5ème3)'!LN15:LP15,"B"))*3)+((COUNTIF('Elève (5ème3)'!LN15:LP15,"C"))*2)+((COUNTIF('Elève (5ème3)'!LN15:LP15,"D"))*1))/(COUNTA(LN15:LP15)),"")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(5ème3)'!LS15:LU15,"A"))*4)+((COUNTIF('Elève (5ème3)'!LS15:LU15,"B"))*3)+((COUNTIF('Elève (5ème3)'!LS15:LU15,"C"))*2)+((COUNTIF('Elève (5ème3)'!LS15:LU15,"D"))*1))/(COUNTA(LS15:LU15)),"")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(5ème3)'!LX15:LZ15,"A"))*4)+((COUNTIF('Elève (5ème3)'!LX15:LZ15,"B"))*3)+((COUNTIF('Elève (5ème3)'!LX15:LZ15,"C"))*2)+((COUNTIF('Elève (5ème3)'!LX15:LZ15,"D"))*1))/(COUNTA(LX15:LZ15)),"")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(5ème3)'!ME15:MG15,"A"))*4)+((COUNTIF('Elève (5ème3)'!ME15:MG15,"B"))*3)+((COUNTIF('Elève (5ème3)'!ME15:MG15,"C"))*2)+((COUNTIF('Elève (5ème3)'!ME15:MG15,"D"))*1))/(COUNTA(ME15:MG15)),"")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(5ème3)'!MJ15:ML15,"A"))*4)+((COUNTIF('Elève (5ème3)'!MJ15:ML15,"B"))*3)+((COUNTIF('Elève (5ème3)'!MJ15:ML15,"C"))*2)+((COUNTIF('Elève (5ème3)'!MJ15:ML15,"D"))*1))/(COUNTA(MJ15:ML15)),"")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(5ème3)'!MO15:MQ15,"A"))*4)+((COUNTIF('Elève (5ème3)'!MO15:MQ15,"B"))*3)+((COUNTIF('Elève (5ème3)'!MO15:MQ15,"C"))*2)+((COUNTIF('Elève (5ème3)'!MO15:MQ15,"D"))*1))/(COUNTA(MO15:MQ15)),"")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(5ème3)'!MV15:MX15,"A"))*4)+((COUNTIF('Elève (5ème3)'!MV15:MX15,"B"))*3)+((COUNTIF('Elève (5ème3)'!MV15:MX15,"C"))*2)+((COUNTIF('Elève (5ème3)'!MV15:MX15,"D"))*1))/(COUNTA(MV15:MX15)),"")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(5ème3)'!NA15:NC15,"A"))*4)+((COUNTIF('Elève (5ème3)'!NA15:NC15,"B"))*3)+((COUNTIF('Elève (5ème3)'!NA15:NC15,"C"))*2)+((COUNTIF('Elève (5ème3)'!NA15:NC15,"D"))*1))/(COUNTA(NA15:NC15)),"")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(5ème3)'!NF15:NH15,"A"))*4)+((COUNTIF('Elève (5ème3)'!NF15:NH15,"B"))*3)+((COUNTIF('Elève (5ème3)'!NF15:NH15,"C"))*2)+((COUNTIF('Elève (5ème3)'!NF15:NH15,"D"))*1))/(COUNTA(NF15:NH15)),"")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(5ème3)'!NM15:NO15,"A"))*4)+((COUNTIF('Elève (5ème3)'!NM15:NO15,"B"))*3)+((COUNTIF('Elève (5ème3)'!NM15:NO15,"C"))*2)+((COUNTIF('Elève (5ème3)'!NM15:NO15,"D"))*1))/(COUNTA(NM15:NO15)),"")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(5ème3)'!NR15:NT15,"A"))*4)+((COUNTIF('Elève (5ème3)'!NR15:NT15,"B"))*3)+((COUNTIF('Elève (5ème3)'!NR15:NT15,"C"))*2)+((COUNTIF('Elève (5ème3)'!NR15:NT15,"D"))*1))/(COUNTA(NR15:NT15)),"")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(5ème3)'!NW15:NY15,"A"))*4)+((COUNTIF('Elève (5ème3)'!NW15:NY15,"B"))*3)+((COUNTIF('Elève (5ème3)'!NW15:NY15,"C"))*2)+((COUNTIF('Elève (5ème3)'!NW15:NY15,"D"))*1))/(COUNTA(NW15:NY15)),"")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(5ème3)'!OD15:OF15,"A"))*4)+((COUNTIF('Elève (5ème3)'!OD15:OF15,"B"))*3)+((COUNTIF('Elève (5ème3)'!OD15:OF15,"C"))*2)+((COUNTIF('Elève (5ème3)'!OD15:OF15,"D"))*1))/(COUNTA(OD15:OF15)),"")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(5ème3)'!OI15:OK15,"A"))*4)+((COUNTIF('Elève (5ème3)'!OI15:OK15,"B"))*3)+((COUNTIF('Elève (5ème3)'!OI15:OK15,"C"))*2)+((COUNTIF('Elève (5ème3)'!OI15:OK15,"D"))*1))/(COUNTA(OI15:OK15)),"")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(5ème3)'!ON15:OP15,"A"))*4)+((COUNTIF('Elève (5ème3)'!ON15:OP15,"B"))*3)+((COUNTIF('Elève (5ème3)'!ON15:OP15,"C"))*2)+((COUNTIF('Elève (5ème3)'!ON15:OP15,"D"))*1))/(COUNTA(ON15:OP15)),"")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(5ème3)'!OU15:OW15,"A"))*4)+((COUNTIF('Elève (5ème3)'!OU15:OW15,"B"))*3)+((COUNTIF('Elève (5ème3)'!OU15:OW15,"C"))*2)+((COUNTIF('Elève (5ème3)'!OU15:OW15,"D"))*1))/(COUNTA(OU15:OW15)),"")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(5ème3)'!OZ15:PB15,"A"))*4)+((COUNTIF('Elève (5ème3)'!OZ15:PB15,"B"))*3)+((COUNTIF('Elève (5ème3)'!OZ15:PB15,"C"))*2)+((COUNTIF('Elève (5ème3)'!OZ15:PB15,"D"))*1))/(COUNTA(OZ15:PB15)),"")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(5ème3)'!PE15:PG15,"A"))*4)+((COUNTIF('Elève (5ème3)'!PE15:PG15,"B"))*3)+((COUNTIF('Elève (5ème3)'!PE15:PG15,"C"))*2)+((COUNTIF('Elève (5ème3)'!PE15:PG15,"D"))*1))/(COUNTA(PE15:PG15)),"")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(5ème3)'!PL15:PN15,"A"))*4)+((COUNTIF('Elève (5ème3)'!PL15:PN15,"B"))*3)+((COUNTIF('Elève (5ème3)'!PL15:PN15,"C"))*2)+((COUNTIF('Elève (5ème3)'!PL15:PN15,"D"))*1))/(COUNTA(PL15:PN15)),"")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(5ème3)'!PQ15:PS15,"A"))*4)+((COUNTIF('Elève (5ème3)'!PQ15:PS15,"B"))*3)+((COUNTIF('Elève (5ème3)'!PQ15:PS15,"C"))*2)+((COUNTIF('Elève (5ème3)'!PQ15:PS15,"D"))*1))/(COUNTA(PQ15:PS15)),"")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(5ème3)'!PV15:PX15,"A"))*4)+((COUNTIF('Elève (5ème3)'!PV15:PX15,"B"))*3)+((COUNTIF('Elève (5ème3)'!PV15:PX15,"C"))*2)+((COUNTIF('Elève (5ème3)'!PV15:PX15,"D"))*1))/(COUNTA(PV15:PX15)),"")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(5ème3)'!QC15:QE15,"A"))*4)+((COUNTIF('Elève (5ème3)'!QC15:QE15,"B"))*3)+((COUNTIF('Elève (5ème3)'!QC15:QE15,"C"))*2)+((COUNTIF('Elève (5ème3)'!QC15:QE15,"D"))*1))/(COUNTA(QC15:QE15)),"")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(5ème3)'!QH15:QJ15,"A"))*4)+((COUNTIF('Elève (5ème3)'!QH15:QJ15,"B"))*3)+((COUNTIF('Elève (5ème3)'!QH15:QJ15,"C"))*2)+((COUNTIF('Elève (5ème3)'!QH15:QJ15,"D"))*1))/(COUNTA(QH15:QJ15)),"")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(5ème3)'!QM15:QO15,"A"))*4)+((COUNTIF('Elève (5ème3)'!QM15:QO15,"B"))*3)+((COUNTIF('Elève (5ème3)'!QM15:QO15,"C"))*2)+((COUNTIF('Elève (5ème3)'!QM15:QO15,"D"))*1))/(COUNTA(QM15:QO15)),"")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(5ème3)'!QT15:QV15,"A"))*4)+((COUNTIF('Elève (5ème3)'!QT15:QV15,"B"))*3)+((COUNTIF('Elève (5ème3)'!QT15:QV15,"C"))*2)+((COUNTIF('Elève (5ème3)'!QT15:QV15,"D"))*1))/(COUNTA(QT15:QV15)),"")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(5ème3)'!QY15:RA15,"A"))*4)+((COUNTIF('Elève (5ème3)'!QY15:RA15,"B"))*3)+((COUNTIF('Elève (5ème3)'!QY15:RA15,"C"))*2)+((COUNTIF('Elève (5ème3)'!QY15:RA15,"D"))*1))/(COUNTA(QY15:RA15)),"")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(5ème3)'!RD15:RF15,"A"))*4)+((COUNTIF('Elève (5ème3)'!RD15:RF15,"B"))*3)+((COUNTIF('Elève (5ème3)'!RD15:RF15,"C"))*2)+((COUNTIF('Elève (5ème3)'!RD15:RF15,"D"))*1))/(COUNTA(RD15:RF15)),"")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(5ème3)'!RK15:RM15,"A"))*4)+((COUNTIF('Elève (5ème3)'!RK15:RM15,"B"))*3)+((COUNTIF('Elève (5ème3)'!RK15:RM15,"C"))*2)+((COUNTIF('Elève (5ème3)'!RK15:RM15,"D"))*1))/(COUNTA(RK15:RM15)),"")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(5ème3)'!RP15:RR15,"A"))*4)+((COUNTIF('Elève (5ème3)'!RP15:RR15,"B"))*3)+((COUNTIF('Elève (5ème3)'!RP15:RR15,"C"))*2)+((COUNTIF('Elève (5ème3)'!RP15:RR15,"D"))*1))/(COUNTA(RP15:RR15)),"")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(5ème3)'!RU15:RW15,"A"))*4)+((COUNTIF('Elève (5ème3)'!RU15:RW15,"B"))*3)+((COUNTIF('Elève (5ème3)'!RU15:RW15,"C"))*2)+((COUNTIF('Elève (5ème3)'!RU15:RW15,"D"))*1))/(COUNTA(RU15:RW15)),"")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(5ème3)'!SB15:SD15,"A"))*4)+((COUNTIF('Elève (5ème3)'!SB15:SD15,"B"))*3)+((COUNTIF('Elève (5ème3)'!SB15:SD15,"C"))*2)+((COUNTIF('Elève (5ème3)'!SB15:SD15,"D"))*1))/(COUNTA(SB15:SD15)),"")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(5ème3)'!SG15:SI15,"A"))*4)+((COUNTIF('Elève (5ème3)'!SG15:SI15,"B"))*3)+((COUNTIF('Elève (5ème3)'!SG15:SI15,"C"))*2)+((COUNTIF('Elève (5ème3)'!SG15:SI15,"D"))*1))/(COUNTA(SG15:SI15)),"")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(5ème3)'!SL15:SN15,"A"))*4)+((COUNTIF('Elève (5ème3)'!SL15:SN15,"B"))*3)+((COUNTIF('Elève (5ème3)'!SL15:SN15,"C"))*2)+((COUNTIF('Elève (5ème3)'!SL15:SN15,"D"))*1))/(COUNTA(SL15:SN15)),"")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3</v>
      </c>
      <c r="C16" s="152"/>
      <c r="D16" s="185"/>
      <c r="E16" s="185"/>
      <c r="F16" s="106">
        <f>IFERROR((((COUNTIF('Elève (5ème3)'!C17:E19,"A"))*4)+((COUNTIF('Elève (5ème3)'!C17:E19,"B"))*3)+((COUNTIF('Elève (5ème3)'!C17:E19,"C"))*2)+((COUNTIF('Elève (5ème3)'!C17:E19,"D"))*1))/(COUNTA(C17:E19)),"")</f>
        <v>4</v>
      </c>
      <c r="G16" s="107" t="str">
        <f t="shared" si="0"/>
        <v>A</v>
      </c>
      <c r="H16" s="204"/>
      <c r="I16" s="186"/>
      <c r="J16" s="205"/>
      <c r="K16" s="106" t="str">
        <f>IFERROR((((COUNTIF('Elève (5ème3)'!H17:J19,"A"))*4)+((COUNTIF('Elève (5ème3)'!H17:J19,"B"))*3)+((COUNTIF('Elève (5ème3)'!H17:J19,"C"))*2)+((COUNTIF('Elève (5ème3)'!H17:J19,"D"))*1))/(COUNTA(H17:J19)),"")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(5ème3)'!M17:O19,"A"))*4)+((COUNTIF('Elève (5ème3)'!M17:O19,"B"))*3)+((COUNTIF('Elève (5ème3)'!M17:O19,"C"))*2)+((COUNTIF('Elève (5ème3)'!M17:O19,"D"))*1))/(COUNTA(M17:O19)),"")</f>
        <v/>
      </c>
      <c r="Q16" s="128" t="str">
        <f t="shared" si="2"/>
        <v/>
      </c>
      <c r="R16" s="177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>4</v>
      </c>
      <c r="S16" s="130" t="str">
        <f t="shared" si="3"/>
        <v>A</v>
      </c>
      <c r="T16" s="152"/>
      <c r="U16" s="185"/>
      <c r="V16" s="185"/>
      <c r="W16" s="106">
        <f>IFERROR((((COUNTIF('Elève (5ème3)'!T17:V19,"A"))*4)+((COUNTIF('Elève (5ème3)'!T17:V19,"B"))*3)+((COUNTIF('Elève (5ème3)'!T17:V19,"C"))*2)+((COUNTIF('Elève (5ème3)'!T17:V19,"D"))*1))/(COUNTA(T17:V19)),"")</f>
        <v>4</v>
      </c>
      <c r="X16" s="107" t="str">
        <f t="shared" si="4"/>
        <v>A</v>
      </c>
      <c r="Y16" s="204"/>
      <c r="Z16" s="186"/>
      <c r="AA16" s="205"/>
      <c r="AB16" s="106" t="str">
        <f>IFERROR((((COUNTIF('Elève (5ème3)'!Y17:AA19,"A"))*4)+((COUNTIF('Elève (5ème3)'!Y17:AA19,"B"))*3)+((COUNTIF('Elève (5ème3)'!Y17:AA19,"C"))*2)+((COUNTIF('Elève (5ème3)'!Y17:AA19,"D"))*1))/(COUNTA(Y17:AA19)),"")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(5ème3)'!AD17:AF19,"A"))*4)+((COUNTIF('Elève (5ème3)'!AD17:AF19,"B"))*3)+((COUNTIF('Elève (5ème3)'!AD17:AF19,"C"))*2)+((COUNTIF('Elève (5ème3)'!AD17:AF19,"D"))*1))/(COUNTA(AD17:AF19)),"")</f>
        <v/>
      </c>
      <c r="AH16" s="128" t="str">
        <f t="shared" si="6"/>
        <v/>
      </c>
      <c r="AI16" s="177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>4</v>
      </c>
      <c r="AJ16" s="130" t="str">
        <f t="shared" si="7"/>
        <v>A</v>
      </c>
      <c r="AK16" s="152"/>
      <c r="AL16" s="185"/>
      <c r="AM16" s="185"/>
      <c r="AN16" s="106">
        <f>IFERROR((((COUNTIF('Elève (5ème3)'!AK17:AM19,"A"))*4)+((COUNTIF('Elève (5ème3)'!AK17:AM19,"B"))*3)+((COUNTIF('Elève (5ème3)'!AK17:AM19,"C"))*2)+((COUNTIF('Elève (5ème3)'!AK17:AM19,"D"))*1))/(COUNTA(AK17:AM19)),"")</f>
        <v>4</v>
      </c>
      <c r="AO16" s="107" t="str">
        <f t="shared" si="8"/>
        <v>A</v>
      </c>
      <c r="AP16" s="204"/>
      <c r="AQ16" s="186"/>
      <c r="AR16" s="205"/>
      <c r="AS16" s="106" t="str">
        <f>IFERROR((((COUNTIF('Elève (5ème3)'!AP17:AR19,"A"))*4)+((COUNTIF('Elève (5ème3)'!AP17:AR19,"B"))*3)+((COUNTIF('Elève (5ème3)'!AP17:AR19,"C"))*2)+((COUNTIF('Elève (5ème3)'!AP17:AR19,"D"))*1))/(COUNTA(AP17:AR19)),"")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(5ème3)'!AU17:AW19,"A"))*4)+((COUNTIF('Elève (5ème3)'!AU17:AW19,"B"))*3)+((COUNTIF('Elève (5ème3)'!AU17:AW19,"C"))*2)+((COUNTIF('Elève (5ème3)'!AU17:AW19,"D"))*1))/(COUNTA(AU17:AW19)),"")</f>
        <v/>
      </c>
      <c r="AY16" s="128" t="str">
        <f t="shared" si="10"/>
        <v/>
      </c>
      <c r="AZ16" s="177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>4</v>
      </c>
      <c r="BA16" s="130" t="str">
        <f t="shared" si="11"/>
        <v>A</v>
      </c>
      <c r="BB16" s="152"/>
      <c r="BC16" s="185"/>
      <c r="BD16" s="185"/>
      <c r="BE16" s="106">
        <f>IFERROR((((COUNTIF('Elève (5ème3)'!BB17:BD19,"A"))*4)+((COUNTIF('Elève (5ème3)'!BB17:BD19,"B"))*3)+((COUNTIF('Elève (5ème3)'!BB17:BD19,"C"))*2)+((COUNTIF('Elève (5ème3)'!BB17:BD19,"D"))*1))/(COUNTA(BB17:BD19)),"")</f>
        <v>4</v>
      </c>
      <c r="BF16" s="107" t="str">
        <f t="shared" si="12"/>
        <v>A</v>
      </c>
      <c r="BG16" s="204"/>
      <c r="BH16" s="186"/>
      <c r="BI16" s="205"/>
      <c r="BJ16" s="106" t="str">
        <f>IFERROR((((COUNTIF('Elève (5ème3)'!BG17:BI19,"A"))*4)+((COUNTIF('Elève (5ème3)'!BG17:BI19,"B"))*3)+((COUNTIF('Elève (5ème3)'!BG17:BI19,"C"))*2)+((COUNTIF('Elève (5ème3)'!BG17:BI19,"D"))*1))/(COUNTA(BG17:BI19)),"")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(5ème3)'!BL17:BN19,"A"))*4)+((COUNTIF('Elève (5ème3)'!BL17:BN19,"B"))*3)+((COUNTIF('Elève (5ème3)'!BL17:BN19,"C"))*2)+((COUNTIF('Elève (5ème3)'!BL17:BN19,"D"))*1))/(COUNTA(BL17:BN19)),"")</f>
        <v/>
      </c>
      <c r="BP16" s="128" t="str">
        <f t="shared" si="14"/>
        <v/>
      </c>
      <c r="BQ16" s="177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>4</v>
      </c>
      <c r="BR16" s="130" t="str">
        <f t="shared" si="15"/>
        <v>A</v>
      </c>
      <c r="BS16" s="152"/>
      <c r="BT16" s="185"/>
      <c r="BU16" s="185"/>
      <c r="BV16" s="106">
        <f>IFERROR((((COUNTIF('Elève (5ème3)'!BS17:BU19,"A"))*4)+((COUNTIF('Elève (5ème3)'!BS17:BU19,"B"))*3)+((COUNTIF('Elève (5ème3)'!BS17:BU19,"C"))*2)+((COUNTIF('Elève (5ème3)'!BS17:BU19,"D"))*1))/(COUNTA(BS17:BU19)),"")</f>
        <v>3</v>
      </c>
      <c r="BW16" s="107" t="str">
        <f t="shared" si="16"/>
        <v>B</v>
      </c>
      <c r="BX16" s="204"/>
      <c r="BY16" s="186"/>
      <c r="BZ16" s="205"/>
      <c r="CA16" s="106" t="str">
        <f>IFERROR((((COUNTIF('Elève (5ème3)'!BX17:BZ19,"A"))*4)+((COUNTIF('Elève (5ème3)'!BX17:BZ19,"B"))*3)+((COUNTIF('Elève (5ème3)'!BX17:BZ19,"C"))*2)+((COUNTIF('Elève (5ème3)'!BX17:BZ19,"D"))*1))/(COUNTA(BX17:BZ19)),"")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(5ème3)'!CC17:CE19,"A"))*4)+((COUNTIF('Elève (5ème3)'!CC17:CE19,"B"))*3)+((COUNTIF('Elève (5ème3)'!CC17:CE19,"C"))*2)+((COUNTIF('Elève (5ème3)'!CC17:CE19,"D"))*1))/(COUNTA(CC17:CE19)),"")</f>
        <v/>
      </c>
      <c r="CG16" s="128" t="str">
        <f t="shared" si="18"/>
        <v/>
      </c>
      <c r="CH16" s="177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>3</v>
      </c>
      <c r="CI16" s="130" t="str">
        <f t="shared" si="19"/>
        <v>B</v>
      </c>
      <c r="CJ16" s="152"/>
      <c r="CK16" s="185"/>
      <c r="CL16" s="185"/>
      <c r="CM16" s="106">
        <f>IFERROR((((COUNTIF('Elève (5ème3)'!CJ17:CL19,"A"))*4)+((COUNTIF('Elève (5ème3)'!CJ17:CL19,"B"))*3)+((COUNTIF('Elève (5ème3)'!CJ17:CL19,"C"))*2)+((COUNTIF('Elève (5ème3)'!CJ17:CL19,"D"))*1))/(COUNTA(CJ17:CL19)),"")</f>
        <v>4</v>
      </c>
      <c r="CN16" s="107" t="str">
        <f t="shared" si="20"/>
        <v>A</v>
      </c>
      <c r="CO16" s="204"/>
      <c r="CP16" s="186"/>
      <c r="CQ16" s="205"/>
      <c r="CR16" s="106" t="str">
        <f>IFERROR((((COUNTIF('Elève (5ème3)'!CO17:CQ19,"A"))*4)+((COUNTIF('Elève (5ème3)'!CO17:CQ19,"B"))*3)+((COUNTIF('Elève (5ème3)'!CO17:CQ19,"C"))*2)+((COUNTIF('Elève (5ème3)'!CO17:CQ19,"D"))*1))/(COUNTA(CO17:CQ19)),"")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(5ème3)'!CT17:CV19,"A"))*4)+((COUNTIF('Elève (5ème3)'!CT17:CV19,"B"))*3)+((COUNTIF('Elève (5ème3)'!CT17:CV19,"C"))*2)+((COUNTIF('Elève (5ème3)'!CT17:CV19,"D"))*1))/(COUNTA(CT17:CV19)),"")</f>
        <v/>
      </c>
      <c r="CX16" s="128" t="str">
        <f t="shared" si="22"/>
        <v/>
      </c>
      <c r="CY16" s="177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>4</v>
      </c>
      <c r="CZ16" s="130" t="str">
        <f t="shared" si="23"/>
        <v>A</v>
      </c>
      <c r="DA16" s="152"/>
      <c r="DB16" s="185"/>
      <c r="DC16" s="185"/>
      <c r="DD16" s="106">
        <f>IFERROR((((COUNTIF('Elève (5ème3)'!DA17:DC19,"A"))*4)+((COUNTIF('Elève (5ème3)'!DA17:DC19,"B"))*3)+((COUNTIF('Elève (5ème3)'!DA17:DC19,"C"))*2)+((COUNTIF('Elève (5ème3)'!DA17:DC19,"D"))*1))/(COUNTA(DA17:DC19)),"")</f>
        <v>4</v>
      </c>
      <c r="DE16" s="107" t="str">
        <f t="shared" si="24"/>
        <v>A</v>
      </c>
      <c r="DF16" s="204"/>
      <c r="DG16" s="186"/>
      <c r="DH16" s="205"/>
      <c r="DI16" s="106" t="str">
        <f>IFERROR((((COUNTIF('Elève (5ème3)'!DF17:DH19,"A"))*4)+((COUNTIF('Elève (5ème3)'!DF17:DH19,"B"))*3)+((COUNTIF('Elève (5ème3)'!DF17:DH19,"C"))*2)+((COUNTIF('Elève (5ème3)'!DF17:DH19,"D"))*1))/(COUNTA(DF17:DH19)),"")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(5ème3)'!DK17:DM19,"A"))*4)+((COUNTIF('Elève (5ème3)'!DK17:DM19,"B"))*3)+((COUNTIF('Elève (5ème3)'!DK17:DM19,"C"))*2)+((COUNTIF('Elève (5ème3)'!DK17:DM19,"D"))*1))/(COUNTA(DK17:DM19)),"")</f>
        <v/>
      </c>
      <c r="DO16" s="128" t="str">
        <f t="shared" si="26"/>
        <v/>
      </c>
      <c r="DP16" s="177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>4</v>
      </c>
      <c r="DQ16" s="130" t="str">
        <f t="shared" si="27"/>
        <v>A</v>
      </c>
      <c r="DR16" s="152"/>
      <c r="DS16" s="185"/>
      <c r="DT16" s="185"/>
      <c r="DU16" s="106">
        <f>IFERROR((((COUNTIF('Elève (5ème3)'!DR17:DT19,"A"))*4)+((COUNTIF('Elève (5ème3)'!DR17:DT19,"B"))*3)+((COUNTIF('Elève (5ème3)'!DR17:DT19,"C"))*2)+((COUNTIF('Elève (5ème3)'!DR17:DT19,"D"))*1))/(COUNTA(DR17:DT19)),"")</f>
        <v>4</v>
      </c>
      <c r="DV16" s="107" t="str">
        <f t="shared" si="28"/>
        <v>A</v>
      </c>
      <c r="DW16" s="204"/>
      <c r="DX16" s="186"/>
      <c r="DY16" s="205"/>
      <c r="DZ16" s="106" t="str">
        <f>IFERROR((((COUNTIF('Elève (5ème3)'!DW17:DY19,"A"))*4)+((COUNTIF('Elève (5ème3)'!DW17:DY19,"B"))*3)+((COUNTIF('Elève (5ème3)'!DW17:DY19,"C"))*2)+((COUNTIF('Elève (5ème3)'!DW17:DY19,"D"))*1))/(COUNTA(DW17:DY19)),"")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(5ème3)'!EB17:ED19,"A"))*4)+((COUNTIF('Elève (5ème3)'!EB17:ED19,"B"))*3)+((COUNTIF('Elève (5ème3)'!EB17:ED19,"C"))*2)+((COUNTIF('Elève (5ème3)'!EB17:ED19,"D"))*1))/(COUNTA(EB17:ED19)),"")</f>
        <v/>
      </c>
      <c r="EF16" s="128" t="str">
        <f t="shared" si="30"/>
        <v/>
      </c>
      <c r="EG16" s="177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>4</v>
      </c>
      <c r="EH16" s="130" t="str">
        <f t="shared" si="31"/>
        <v>A</v>
      </c>
      <c r="EI16" s="152"/>
      <c r="EJ16" s="185"/>
      <c r="EK16" s="185"/>
      <c r="EL16" s="106">
        <f>IFERROR((((COUNTIF('Elève (5ème3)'!EI17:EK19,"A"))*4)+((COUNTIF('Elève (5ème3)'!EI17:EK19,"B"))*3)+((COUNTIF('Elève (5ème3)'!EI17:EK19,"C"))*2)+((COUNTIF('Elève (5ème3)'!EI17:EK19,"D"))*1))/(COUNTA(EI17:EK19)),"")</f>
        <v>4</v>
      </c>
      <c r="EM16" s="107" t="str">
        <f t="shared" si="32"/>
        <v>A</v>
      </c>
      <c r="EN16" s="204"/>
      <c r="EO16" s="186"/>
      <c r="EP16" s="205"/>
      <c r="EQ16" s="106" t="str">
        <f>IFERROR((((COUNTIF('Elève (5ème3)'!EN17:EP19,"A"))*4)+((COUNTIF('Elève (5ème3)'!EN17:EP19,"B"))*3)+((COUNTIF('Elève (5ème3)'!EN17:EP19,"C"))*2)+((COUNTIF('Elève (5ème3)'!EN17:EP19,"D"))*1))/(COUNTA(EN17:EP19)),"")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(5ème3)'!ES17:EU19,"A"))*4)+((COUNTIF('Elève (5ème3)'!ES17:EU19,"B"))*3)+((COUNTIF('Elève (5ème3)'!ES17:EU19,"C"))*2)+((COUNTIF('Elève (5ème3)'!ES17:EU19,"D"))*1))/(COUNTA(ES17:EU19)),"")</f>
        <v/>
      </c>
      <c r="EW16" s="128" t="str">
        <f t="shared" si="34"/>
        <v/>
      </c>
      <c r="EX16" s="177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>4</v>
      </c>
      <c r="EY16" s="130" t="str">
        <f t="shared" si="35"/>
        <v>A</v>
      </c>
      <c r="EZ16" s="152"/>
      <c r="FA16" s="185"/>
      <c r="FB16" s="185"/>
      <c r="FC16" s="106">
        <f>IFERROR((((COUNTIF('Elève (5ème3)'!EZ17:FB19,"A"))*4)+((COUNTIF('Elève (5ème3)'!EZ17:FB19,"B"))*3)+((COUNTIF('Elève (5ème3)'!EZ17:FB19,"C"))*2)+((COUNTIF('Elève (5ème3)'!EZ17:FB19,"D"))*1))/(COUNTA(EZ17:FB19)),"")</f>
        <v>4</v>
      </c>
      <c r="FD16" s="107" t="str">
        <f t="shared" si="36"/>
        <v>A</v>
      </c>
      <c r="FE16" s="204"/>
      <c r="FF16" s="186"/>
      <c r="FG16" s="205"/>
      <c r="FH16" s="106" t="str">
        <f>IFERROR((((COUNTIF('Elève (5ème3)'!FE17:FG19,"A"))*4)+((COUNTIF('Elève (5ème3)'!FE17:FG19,"B"))*3)+((COUNTIF('Elève (5ème3)'!FE17:FG19,"C"))*2)+((COUNTIF('Elève (5ème3)'!FE17:FG19,"D"))*1))/(COUNTA(FE17:FG19)),"")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(5ème3)'!FJ17:FL19,"A"))*4)+((COUNTIF('Elève (5ème3)'!FJ17:FL19,"B"))*3)+((COUNTIF('Elève (5ème3)'!FJ17:FL19,"C"))*2)+((COUNTIF('Elève (5ème3)'!FJ17:FL19,"D"))*1))/(COUNTA(FJ17:FL19)),"")</f>
        <v/>
      </c>
      <c r="FN16" s="128" t="str">
        <f t="shared" si="38"/>
        <v/>
      </c>
      <c r="FO16" s="177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>4</v>
      </c>
      <c r="FP16" s="130" t="str">
        <f t="shared" si="39"/>
        <v>A</v>
      </c>
      <c r="FQ16" s="152"/>
      <c r="FR16" s="185"/>
      <c r="FS16" s="185"/>
      <c r="FT16" s="106">
        <f>IFERROR((((COUNTIF('Elève (5ème3)'!FQ17:FS19,"A"))*4)+((COUNTIF('Elève (5ème3)'!FQ17:FS19,"B"))*3)+((COUNTIF('Elève (5ème3)'!FQ17:FS19,"C"))*2)+((COUNTIF('Elève (5ème3)'!FQ17:FS19,"D"))*1))/(COUNTA(FQ17:FS19)),"")</f>
        <v>3</v>
      </c>
      <c r="FU16" s="107" t="str">
        <f t="shared" si="40"/>
        <v>B</v>
      </c>
      <c r="FV16" s="204"/>
      <c r="FW16" s="186"/>
      <c r="FX16" s="205"/>
      <c r="FY16" s="106" t="str">
        <f>IFERROR((((COUNTIF('Elève (5ème3)'!FV17:FX19,"A"))*4)+((COUNTIF('Elève (5ème3)'!FV17:FX19,"B"))*3)+((COUNTIF('Elève (5ème3)'!FV17:FX19,"C"))*2)+((COUNTIF('Elève (5ème3)'!FV17:FX19,"D"))*1))/(COUNTA(FV17:FX19)),"")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(5ème3)'!GA17:GC19,"A"))*4)+((COUNTIF('Elève (5ème3)'!GA17:GC19,"B"))*3)+((COUNTIF('Elève (5ème3)'!GA17:GC19,"C"))*2)+((COUNTIF('Elève (5ème3)'!GA17:GC19,"D"))*1))/(COUNTA(GA17:GC19)),"")</f>
        <v/>
      </c>
      <c r="GE16" s="128" t="str">
        <f t="shared" si="42"/>
        <v/>
      </c>
      <c r="GF16" s="177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>3</v>
      </c>
      <c r="GG16" s="130" t="str">
        <f t="shared" si="43"/>
        <v>B</v>
      </c>
      <c r="GH16" s="152"/>
      <c r="GI16" s="185"/>
      <c r="GJ16" s="185"/>
      <c r="GK16" s="106">
        <f>IFERROR((((COUNTIF('Elève (5ème3)'!GH17:GJ19,"A"))*4)+((COUNTIF('Elève (5ème3)'!GH17:GJ19,"B"))*3)+((COUNTIF('Elève (5ème3)'!GH17:GJ19,"C"))*2)+((COUNTIF('Elève (5ème3)'!GH17:GJ19,"D"))*1))/(COUNTA(GH17:GJ19)),"")</f>
        <v>3</v>
      </c>
      <c r="GL16" s="107" t="str">
        <f t="shared" si="44"/>
        <v>B</v>
      </c>
      <c r="GM16" s="204"/>
      <c r="GN16" s="186"/>
      <c r="GO16" s="205"/>
      <c r="GP16" s="106" t="str">
        <f>IFERROR((((COUNTIF('Elève (5ème3)'!GM17:GO19,"A"))*4)+((COUNTIF('Elève (5ème3)'!GM17:GO19,"B"))*3)+((COUNTIF('Elève (5ème3)'!GM17:GO19,"C"))*2)+((COUNTIF('Elève (5ème3)'!GM17:GO19,"D"))*1))/(COUNTA(GM17:GO19)),"")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(5ème3)'!GR17:GT19,"A"))*4)+((COUNTIF('Elève (5ème3)'!GR17:GT19,"B"))*3)+((COUNTIF('Elève (5ème3)'!GR17:GT19,"C"))*2)+((COUNTIF('Elève (5ème3)'!GR17:GT19,"D"))*1))/(COUNTA(GR17:GT19)),"")</f>
        <v/>
      </c>
      <c r="GV16" s="128" t="str">
        <f t="shared" si="46"/>
        <v/>
      </c>
      <c r="GW16" s="177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>3</v>
      </c>
      <c r="GX16" s="130" t="str">
        <f t="shared" si="47"/>
        <v>B</v>
      </c>
      <c r="GY16" s="152"/>
      <c r="GZ16" s="185"/>
      <c r="HA16" s="185"/>
      <c r="HB16" s="106">
        <f>IFERROR((((COUNTIF('Elève (5ème3)'!GY17:HA19,"A"))*4)+((COUNTIF('Elève (5ème3)'!GY17:HA19,"B"))*3)+((COUNTIF('Elève (5ème3)'!GY17:HA19,"C"))*2)+((COUNTIF('Elève (5ème3)'!GY17:HA19,"D"))*1))/(COUNTA(GY17:HA19)),"")</f>
        <v>4</v>
      </c>
      <c r="HC16" s="107" t="str">
        <f t="shared" si="48"/>
        <v>A</v>
      </c>
      <c r="HD16" s="204"/>
      <c r="HE16" s="186"/>
      <c r="HF16" s="205"/>
      <c r="HG16" s="106" t="str">
        <f>IFERROR((((COUNTIF('Elève (5ème3)'!HD17:HF19,"A"))*4)+((COUNTIF('Elève (5ème3)'!HD17:HF19,"B"))*3)+((COUNTIF('Elève (5ème3)'!HD17:HF19,"C"))*2)+((COUNTIF('Elève (5ème3)'!HD17:HF19,"D"))*1))/(COUNTA(HD17:HF19)),"")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(5ème3)'!HI17:HK19,"A"))*4)+((COUNTIF('Elève (5ème3)'!HI17:HK19,"B"))*3)+((COUNTIF('Elève (5ème3)'!HI17:HK19,"C"))*2)+((COUNTIF('Elève (5ème3)'!HI17:HK19,"D"))*1))/(COUNTA(HI17:HK19)),"")</f>
        <v/>
      </c>
      <c r="HM16" s="128" t="str">
        <f t="shared" si="50"/>
        <v/>
      </c>
      <c r="HN16" s="177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>4</v>
      </c>
      <c r="HO16" s="130" t="str">
        <f t="shared" si="51"/>
        <v>A</v>
      </c>
      <c r="HP16" s="152"/>
      <c r="HQ16" s="185"/>
      <c r="HR16" s="185"/>
      <c r="HS16" s="106">
        <f>IFERROR((((COUNTIF('Elève (5ème3)'!HP17:HR19,"A"))*4)+((COUNTIF('Elève (5ème3)'!HP17:HR19,"B"))*3)+((COUNTIF('Elève (5ème3)'!HP17:HR19,"C"))*2)+((COUNTIF('Elève (5ème3)'!HP17:HR19,"D"))*1))/(COUNTA(HP17:HR19)),"")</f>
        <v>4</v>
      </c>
      <c r="HT16" s="107" t="str">
        <f t="shared" si="52"/>
        <v>A</v>
      </c>
      <c r="HU16" s="204"/>
      <c r="HV16" s="186"/>
      <c r="HW16" s="205"/>
      <c r="HX16" s="106" t="str">
        <f>IFERROR((((COUNTIF('Elève (5ème3)'!HU17:HW19,"A"))*4)+((COUNTIF('Elève (5ème3)'!HU17:HW19,"B"))*3)+((COUNTIF('Elève (5ème3)'!HU17:HW19,"C"))*2)+((COUNTIF('Elève (5ème3)'!HU17:HW19,"D"))*1))/(COUNTA(HU17:HW19)),"")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(5ème3)'!HZ17:IB19,"A"))*4)+((COUNTIF('Elève (5ème3)'!HZ17:IB19,"B"))*3)+((COUNTIF('Elève (5ème3)'!HZ17:IB19,"C"))*2)+((COUNTIF('Elève (5ème3)'!HZ17:IB19,"D"))*1))/(COUNTA(HZ17:IB19)),"")</f>
        <v/>
      </c>
      <c r="ID16" s="128" t="str">
        <f t="shared" si="54"/>
        <v/>
      </c>
      <c r="IE16" s="177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>4</v>
      </c>
      <c r="IF16" s="130" t="str">
        <f t="shared" si="55"/>
        <v>A</v>
      </c>
      <c r="IG16" s="152"/>
      <c r="IH16" s="185"/>
      <c r="II16" s="185"/>
      <c r="IJ16" s="106">
        <f>IFERROR((((COUNTIF('Elève (5ème3)'!IG17:II19,"A"))*4)+((COUNTIF('Elève (5ème3)'!IG17:II19,"B"))*3)+((COUNTIF('Elève (5ème3)'!IG17:II19,"C"))*2)+((COUNTIF('Elève (5ème3)'!IG17:II19,"D"))*1))/(COUNTA(IG17:II19)),"")</f>
        <v>1</v>
      </c>
      <c r="IK16" s="107" t="str">
        <f t="shared" si="56"/>
        <v>D</v>
      </c>
      <c r="IL16" s="204"/>
      <c r="IM16" s="186"/>
      <c r="IN16" s="205"/>
      <c r="IO16" s="106" t="str">
        <f>IFERROR((((COUNTIF('Elève (5ème3)'!IL17:IN19,"A"))*4)+((COUNTIF('Elève (5ème3)'!IL17:IN19,"B"))*3)+((COUNTIF('Elève (5ème3)'!IL17:IN19,"C"))*2)+((COUNTIF('Elève (5ème3)'!IL17:IN19,"D"))*1))/(COUNTA(IL17:IN19)),"")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(5ème3)'!IQ17:IS19,"A"))*4)+((COUNTIF('Elève (5ème3)'!IQ17:IS19,"B"))*3)+((COUNTIF('Elève (5ème3)'!IQ17:IS19,"C"))*2)+((COUNTIF('Elève (5ème3)'!IQ17:IS19,"D"))*1))/(COUNTA(IQ17:IS19)),"")</f>
        <v/>
      </c>
      <c r="IU16" s="128" t="str">
        <f t="shared" si="58"/>
        <v/>
      </c>
      <c r="IV16" s="177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>1</v>
      </c>
      <c r="IW16" s="130" t="str">
        <f t="shared" si="59"/>
        <v>D</v>
      </c>
      <c r="IX16" s="152"/>
      <c r="IY16" s="185"/>
      <c r="IZ16" s="185"/>
      <c r="JA16" s="106">
        <f>IFERROR((((COUNTIF('Elève (5ème3)'!IX17:IZ19,"A"))*4)+((COUNTIF('Elève (5ème3)'!IX17:IZ19,"B"))*3)+((COUNTIF('Elève (5ème3)'!IX17:IZ19,"C"))*2)+((COUNTIF('Elève (5ème3)'!IX17:IZ19,"D"))*1))/(COUNTA(IX17:IZ19)),"")</f>
        <v>4</v>
      </c>
      <c r="JB16" s="107" t="str">
        <f t="shared" si="60"/>
        <v>A</v>
      </c>
      <c r="JC16" s="204"/>
      <c r="JD16" s="186"/>
      <c r="JE16" s="205"/>
      <c r="JF16" s="106" t="str">
        <f>IFERROR((((COUNTIF('Elève (5ème3)'!JC17:JE19,"A"))*4)+((COUNTIF('Elève (5ème3)'!JC17:JE19,"B"))*3)+((COUNTIF('Elève (5ème3)'!JC17:JE19,"C"))*2)+((COUNTIF('Elève (5ème3)'!JC17:JE19,"D"))*1))/(COUNTA(JC17:JE19)),"")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(5ème3)'!JH17:JJ19,"A"))*4)+((COUNTIF('Elève (5ème3)'!JH17:JJ19,"B"))*3)+((COUNTIF('Elève (5ème3)'!JH17:JJ19,"C"))*2)+((COUNTIF('Elève (5ème3)'!JH17:JJ19,"D"))*1))/(COUNTA(JH17:JJ19)),"")</f>
        <v/>
      </c>
      <c r="JL16" s="128" t="str">
        <f t="shared" si="62"/>
        <v/>
      </c>
      <c r="JM16" s="177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>4</v>
      </c>
      <c r="JN16" s="130" t="str">
        <f t="shared" si="63"/>
        <v>A</v>
      </c>
      <c r="JO16" s="152"/>
      <c r="JP16" s="185"/>
      <c r="JQ16" s="185"/>
      <c r="JR16" s="106">
        <f>IFERROR((((COUNTIF('Elève (5ème3)'!JO17:JQ19,"A"))*4)+((COUNTIF('Elève (5ème3)'!JO17:JQ19,"B"))*3)+((COUNTIF('Elève (5ème3)'!JO17:JQ19,"C"))*2)+((COUNTIF('Elève (5ème3)'!JO17:JQ19,"D"))*1))/(COUNTA(JO17:JQ19)),"")</f>
        <v>4</v>
      </c>
      <c r="JS16" s="107" t="str">
        <f t="shared" si="64"/>
        <v>A</v>
      </c>
      <c r="JT16" s="204"/>
      <c r="JU16" s="186"/>
      <c r="JV16" s="205"/>
      <c r="JW16" s="106" t="str">
        <f>IFERROR((((COUNTIF('Elève (5ème3)'!JT17:JV19,"A"))*4)+((COUNTIF('Elève (5ème3)'!JT17:JV19,"B"))*3)+((COUNTIF('Elève (5ème3)'!JT17:JV19,"C"))*2)+((COUNTIF('Elève (5ème3)'!JT17:JV19,"D"))*1))/(COUNTA(JT17:JV19)),"")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(5ème3)'!JY17:KA19,"A"))*4)+((COUNTIF('Elève (5ème3)'!JY17:KA19,"B"))*3)+((COUNTIF('Elève (5ème3)'!JY17:KA19,"C"))*2)+((COUNTIF('Elève (5ème3)'!JY17:KA19,"D"))*1))/(COUNTA(JY17:KA19)),"")</f>
        <v/>
      </c>
      <c r="KC16" s="128" t="str">
        <f t="shared" si="66"/>
        <v/>
      </c>
      <c r="KD16" s="177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>4</v>
      </c>
      <c r="KE16" s="130" t="str">
        <f t="shared" si="67"/>
        <v>A</v>
      </c>
      <c r="KF16" s="152"/>
      <c r="KG16" s="185"/>
      <c r="KH16" s="185"/>
      <c r="KI16" s="106">
        <f>IFERROR((((COUNTIF('Elève (5ème3)'!KF17:KH19,"A"))*4)+((COUNTIF('Elève (5ème3)'!KF17:KH19,"B"))*3)+((COUNTIF('Elève (5ème3)'!KF17:KH19,"C"))*2)+((COUNTIF('Elève (5ème3)'!KF17:KH19,"D"))*1))/(COUNTA(KF17:KH19)),"")</f>
        <v>3</v>
      </c>
      <c r="KJ16" s="107" t="str">
        <f t="shared" si="68"/>
        <v>B</v>
      </c>
      <c r="KK16" s="204"/>
      <c r="KL16" s="186"/>
      <c r="KM16" s="205"/>
      <c r="KN16" s="106" t="str">
        <f>IFERROR((((COUNTIF('Elève (5ème3)'!KK17:KM19,"A"))*4)+((COUNTIF('Elève (5ème3)'!KK17:KM19,"B"))*3)+((COUNTIF('Elève (5ème3)'!KK17:KM19,"C"))*2)+((COUNTIF('Elève (5ème3)'!KK17:KM19,"D"))*1))/(COUNTA(KK17:KM19)),"")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(5ème3)'!KP17:KR19,"A"))*4)+((COUNTIF('Elève (5ème3)'!KP17:KR19,"B"))*3)+((COUNTIF('Elève (5ème3)'!KP17:KR19,"C"))*2)+((COUNTIF('Elève (5ème3)'!KP17:KR19,"D"))*1))/(COUNTA(KP17:KR19)),"")</f>
        <v/>
      </c>
      <c r="KT16" s="128" t="str">
        <f t="shared" si="70"/>
        <v/>
      </c>
      <c r="KU16" s="177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>3</v>
      </c>
      <c r="KV16" s="130" t="str">
        <f t="shared" si="71"/>
        <v>B</v>
      </c>
      <c r="KW16" s="152"/>
      <c r="KX16" s="185"/>
      <c r="KY16" s="185"/>
      <c r="KZ16" s="106">
        <f>IFERROR((((COUNTIF('Elève (5ème3)'!KW17:KY19,"A"))*4)+((COUNTIF('Elève (5ème3)'!KW17:KY19,"B"))*3)+((COUNTIF('Elève (5ème3)'!KW17:KY19,"C"))*2)+((COUNTIF('Elève (5ème3)'!KW17:KY19,"D"))*1))/(COUNTA(KW17:KY19)),"")</f>
        <v>4</v>
      </c>
      <c r="LA16" s="107" t="str">
        <f t="shared" si="72"/>
        <v>A</v>
      </c>
      <c r="LB16" s="204"/>
      <c r="LC16" s="186"/>
      <c r="LD16" s="205"/>
      <c r="LE16" s="106" t="str">
        <f>IFERROR((((COUNTIF('Elève (5ème3)'!LB17:LD19,"A"))*4)+((COUNTIF('Elève (5ème3)'!LB17:LD19,"B"))*3)+((COUNTIF('Elève (5ème3)'!LB17:LD19,"C"))*2)+((COUNTIF('Elève (5ème3)'!LB17:LD19,"D"))*1))/(COUNTA(LB17:LD19)),"")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(5ème3)'!LG17:LI19,"A"))*4)+((COUNTIF('Elève (5ème3)'!LG17:LI19,"B"))*3)+((COUNTIF('Elève (5ème3)'!LG17:LI19,"C"))*2)+((COUNTIF('Elève (5ème3)'!LG17:LI19,"D"))*1))/(COUNTA(LG17:LI19)),"")</f>
        <v/>
      </c>
      <c r="LK16" s="128" t="str">
        <f t="shared" si="74"/>
        <v/>
      </c>
      <c r="LL16" s="177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>4</v>
      </c>
      <c r="LM16" s="130" t="str">
        <f t="shared" si="75"/>
        <v>A</v>
      </c>
      <c r="LN16" s="152"/>
      <c r="LO16" s="185"/>
      <c r="LP16" s="185"/>
      <c r="LQ16" s="106">
        <f>IFERROR((((COUNTIF('Elève (5ème3)'!LN17:LP19,"A"))*4)+((COUNTIF('Elève (5ème3)'!LN17:LP19,"B"))*3)+((COUNTIF('Elève (5ème3)'!LN17:LP19,"C"))*2)+((COUNTIF('Elève (5ème3)'!LN17:LP19,"D"))*1))/(COUNTA(LN17:LP19)),"")</f>
        <v>3</v>
      </c>
      <c r="LR16" s="107" t="str">
        <f t="shared" si="76"/>
        <v>B</v>
      </c>
      <c r="LS16" s="204"/>
      <c r="LT16" s="186"/>
      <c r="LU16" s="205"/>
      <c r="LV16" s="106" t="str">
        <f>IFERROR((((COUNTIF('Elève (5ème3)'!LS17:LU19,"A"))*4)+((COUNTIF('Elève (5ème3)'!LS17:LU19,"B"))*3)+((COUNTIF('Elève (5ème3)'!LS17:LU19,"C"))*2)+((COUNTIF('Elève (5ème3)'!LS17:LU19,"D"))*1))/(COUNTA(LS17:LU19)),"")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(5ème3)'!LX17:LZ19,"A"))*4)+((COUNTIF('Elève (5ème3)'!LX17:LZ19,"B"))*3)+((COUNTIF('Elève (5ème3)'!LX17:LZ19,"C"))*2)+((COUNTIF('Elève (5ème3)'!LX17:LZ19,"D"))*1))/(COUNTA(LX17:LZ19)),"")</f>
        <v/>
      </c>
      <c r="MB16" s="128" t="str">
        <f t="shared" si="78"/>
        <v/>
      </c>
      <c r="MC16" s="177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>3</v>
      </c>
      <c r="MD16" s="130" t="str">
        <f t="shared" si="79"/>
        <v>B</v>
      </c>
      <c r="ME16" s="152"/>
      <c r="MF16" s="185"/>
      <c r="MG16" s="185"/>
      <c r="MH16" s="106">
        <f>IFERROR((((COUNTIF('Elève (5ème3)'!ME17:MG19,"A"))*4)+((COUNTIF('Elève (5ème3)'!ME17:MG19,"B"))*3)+((COUNTIF('Elève (5ème3)'!ME17:MG19,"C"))*2)+((COUNTIF('Elève (5ème3)'!ME17:MG19,"D"))*1))/(COUNTA(ME17:MG19)),"")</f>
        <v>3</v>
      </c>
      <c r="MI16" s="107" t="str">
        <f t="shared" si="80"/>
        <v>B</v>
      </c>
      <c r="MJ16" s="204"/>
      <c r="MK16" s="186"/>
      <c r="ML16" s="205"/>
      <c r="MM16" s="106" t="str">
        <f>IFERROR((((COUNTIF('Elève (5ème3)'!MJ17:ML19,"A"))*4)+((COUNTIF('Elève (5ème3)'!MJ17:ML19,"B"))*3)+((COUNTIF('Elève (5ème3)'!MJ17:ML19,"C"))*2)+((COUNTIF('Elève (5ème3)'!MJ17:ML19,"D"))*1))/(COUNTA(MJ17:ML19)),"")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(5ème3)'!MO17:MQ19,"A"))*4)+((COUNTIF('Elève (5ème3)'!MO17:MQ19,"B"))*3)+((COUNTIF('Elève (5ème3)'!MO17:MQ19,"C"))*2)+((COUNTIF('Elève (5ème3)'!MO17:MQ19,"D"))*1))/(COUNTA(MO17:MQ19)),"")</f>
        <v/>
      </c>
      <c r="MS16" s="128" t="str">
        <f t="shared" si="82"/>
        <v/>
      </c>
      <c r="MT16" s="177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>3</v>
      </c>
      <c r="MU16" s="130" t="str">
        <f t="shared" si="83"/>
        <v>B</v>
      </c>
      <c r="MV16" s="152"/>
      <c r="MW16" s="185"/>
      <c r="MX16" s="185"/>
      <c r="MY16" s="106">
        <f>IFERROR((((COUNTIF('Elève (5ème3)'!MV17:MX19,"A"))*4)+((COUNTIF('Elève (5ème3)'!MV17:MX19,"B"))*3)+((COUNTIF('Elève (5ème3)'!MV17:MX19,"C"))*2)+((COUNTIF('Elève (5ème3)'!MV17:MX19,"D"))*1))/(COUNTA(MV17:MX19)),"")</f>
        <v>4</v>
      </c>
      <c r="MZ16" s="107" t="str">
        <f t="shared" si="84"/>
        <v>A</v>
      </c>
      <c r="NA16" s="204"/>
      <c r="NB16" s="186"/>
      <c r="NC16" s="205"/>
      <c r="ND16" s="106" t="str">
        <f>IFERROR((((COUNTIF('Elève (5ème3)'!NA17:NC19,"A"))*4)+((COUNTIF('Elève (5ème3)'!NA17:NC19,"B"))*3)+((COUNTIF('Elève (5ème3)'!NA17:NC19,"C"))*2)+((COUNTIF('Elève (5ème3)'!NA17:NC19,"D"))*1))/(COUNTA(NA17:NC19)),"")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(5ème3)'!NF17:NH19,"A"))*4)+((COUNTIF('Elève (5ème3)'!NF17:NH19,"B"))*3)+((COUNTIF('Elève (5ème3)'!NF17:NH19,"C"))*2)+((COUNTIF('Elève (5ème3)'!NF17:NH19,"D"))*1))/(COUNTA(NF17:NH19)),"")</f>
        <v/>
      </c>
      <c r="NJ16" s="128" t="str">
        <f t="shared" si="86"/>
        <v/>
      </c>
      <c r="NK16" s="177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>4</v>
      </c>
      <c r="NL16" s="130" t="str">
        <f t="shared" si="87"/>
        <v>A</v>
      </c>
      <c r="NM16" s="152"/>
      <c r="NN16" s="185"/>
      <c r="NO16" s="185"/>
      <c r="NP16" s="106">
        <f>IFERROR((((COUNTIF('Elève (5ème3)'!NM17:NO19,"A"))*4)+((COUNTIF('Elève (5ème3)'!NM17:NO19,"B"))*3)+((COUNTIF('Elève (5ème3)'!NM17:NO19,"C"))*2)+((COUNTIF('Elève (5ème3)'!NM17:NO19,"D"))*1))/(COUNTA(NM17:NO19)),"")</f>
        <v>4</v>
      </c>
      <c r="NQ16" s="107" t="str">
        <f t="shared" si="88"/>
        <v>A</v>
      </c>
      <c r="NR16" s="204"/>
      <c r="NS16" s="186"/>
      <c r="NT16" s="205"/>
      <c r="NU16" s="106" t="str">
        <f>IFERROR((((COUNTIF('Elève (5ème3)'!NR17:NT19,"A"))*4)+((COUNTIF('Elève (5ème3)'!NR17:NT19,"B"))*3)+((COUNTIF('Elève (5ème3)'!NR17:NT19,"C"))*2)+((COUNTIF('Elève (5ème3)'!NR17:NT19,"D"))*1))/(COUNTA(NR17:NT19)),"")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(5ème3)'!NW17:NY19,"A"))*4)+((COUNTIF('Elève (5ème3)'!NW17:NY19,"B"))*3)+((COUNTIF('Elève (5ème3)'!NW17:NY19,"C"))*2)+((COUNTIF('Elève (5ème3)'!NW17:NY19,"D"))*1))/(COUNTA(NW17:NY19)),"")</f>
        <v/>
      </c>
      <c r="OA16" s="128" t="str">
        <f t="shared" si="90"/>
        <v/>
      </c>
      <c r="OB16" s="177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>4</v>
      </c>
      <c r="OC16" s="130" t="str">
        <f t="shared" si="91"/>
        <v>A</v>
      </c>
      <c r="OD16" s="152"/>
      <c r="OE16" s="185"/>
      <c r="OF16" s="185"/>
      <c r="OG16" s="106">
        <f>IFERROR((((COUNTIF('Elève (5ème3)'!OD17:OF19,"A"))*4)+((COUNTIF('Elève (5ème3)'!OD17:OF19,"B"))*3)+((COUNTIF('Elève (5ème3)'!OD17:OF19,"C"))*2)+((COUNTIF('Elève (5ème3)'!OD17:OF19,"D"))*1))/(COUNTA(OD17:OF19)),"")</f>
        <v>4</v>
      </c>
      <c r="OH16" s="107" t="str">
        <f t="shared" si="92"/>
        <v>A</v>
      </c>
      <c r="OI16" s="204"/>
      <c r="OJ16" s="186"/>
      <c r="OK16" s="205"/>
      <c r="OL16" s="106" t="str">
        <f>IFERROR((((COUNTIF('Elève (5ème3)'!OI17:OK19,"A"))*4)+((COUNTIF('Elève (5ème3)'!OI17:OK19,"B"))*3)+((COUNTIF('Elève (5ème3)'!OI17:OK19,"C"))*2)+((COUNTIF('Elève (5ème3)'!OI17:OK19,"D"))*1))/(COUNTA(OI17:OK19)),"")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(5ème3)'!ON17:OP19,"A"))*4)+((COUNTIF('Elève (5ème3)'!ON17:OP19,"B"))*3)+((COUNTIF('Elève (5ème3)'!ON17:OP19,"C"))*2)+((COUNTIF('Elève (5ème3)'!ON17:OP19,"D"))*1))/(COUNTA(ON17:OP19)),"")</f>
        <v/>
      </c>
      <c r="OR16" s="128" t="str">
        <f t="shared" si="94"/>
        <v/>
      </c>
      <c r="OS16" s="177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>4</v>
      </c>
      <c r="OT16" s="130" t="str">
        <f t="shared" si="95"/>
        <v>A</v>
      </c>
      <c r="OU16" s="152"/>
      <c r="OV16" s="185"/>
      <c r="OW16" s="185"/>
      <c r="OX16" s="106">
        <f>IFERROR((((COUNTIF('Elève (5ème3)'!OU17:OW19,"A"))*4)+((COUNTIF('Elève (5ème3)'!OU17:OW19,"B"))*3)+((COUNTIF('Elève (5ème3)'!OU17:OW19,"C"))*2)+((COUNTIF('Elève (5ème3)'!OU17:OW19,"D"))*1))/(COUNTA(OU17:OW19)),"")</f>
        <v>4</v>
      </c>
      <c r="OY16" s="107" t="str">
        <f t="shared" si="96"/>
        <v>A</v>
      </c>
      <c r="OZ16" s="204"/>
      <c r="PA16" s="186"/>
      <c r="PB16" s="205"/>
      <c r="PC16" s="106" t="str">
        <f>IFERROR((((COUNTIF('Elève (5ème3)'!OZ17:PB19,"A"))*4)+((COUNTIF('Elève (5ème3)'!OZ17:PB19,"B"))*3)+((COUNTIF('Elève (5ème3)'!OZ17:PB19,"C"))*2)+((COUNTIF('Elève (5ème3)'!OZ17:PB19,"D"))*1))/(COUNTA(OZ17:PB19)),"")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(5ème3)'!PE17:PG19,"A"))*4)+((COUNTIF('Elève (5ème3)'!PE17:PG19,"B"))*3)+((COUNTIF('Elève (5ème3)'!PE17:PG19,"C"))*2)+((COUNTIF('Elève (5ème3)'!PE17:PG19,"D"))*1))/(COUNTA(PE17:PG19)),"")</f>
        <v/>
      </c>
      <c r="PI16" s="128" t="str">
        <f t="shared" si="98"/>
        <v/>
      </c>
      <c r="PJ16" s="177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>4</v>
      </c>
      <c r="PK16" s="130" t="str">
        <f t="shared" si="99"/>
        <v>A</v>
      </c>
      <c r="PL16" s="152"/>
      <c r="PM16" s="185"/>
      <c r="PN16" s="185"/>
      <c r="PO16" s="106">
        <f>IFERROR((((COUNTIF('Elève (5ème3)'!PL17:PN19,"A"))*4)+((COUNTIF('Elève (5ème3)'!PL17:PN19,"B"))*3)+((COUNTIF('Elève (5ème3)'!PL17:PN19,"C"))*2)+((COUNTIF('Elève (5ème3)'!PL17:PN19,"D"))*1))/(COUNTA(PL17:PN19)),"")</f>
        <v>3</v>
      </c>
      <c r="PP16" s="107" t="str">
        <f t="shared" si="100"/>
        <v>B</v>
      </c>
      <c r="PQ16" s="204"/>
      <c r="PR16" s="186"/>
      <c r="PS16" s="205"/>
      <c r="PT16" s="106" t="str">
        <f>IFERROR((((COUNTIF('Elève (5ème3)'!PQ17:PS19,"A"))*4)+((COUNTIF('Elève (5ème3)'!PQ17:PS19,"B"))*3)+((COUNTIF('Elève (5ème3)'!PQ17:PS19,"C"))*2)+((COUNTIF('Elève (5ème3)'!PQ17:PS19,"D"))*1))/(COUNTA(PQ17:PS19)),"")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(5ème3)'!PV17:PX19,"A"))*4)+((COUNTIF('Elève (5ème3)'!PV17:PX19,"B"))*3)+((COUNTIF('Elève (5ème3)'!PV17:PX19,"C"))*2)+((COUNTIF('Elève (5ème3)'!PV17:PX19,"D"))*1))/(COUNTA(PV17:PX19)),"")</f>
        <v/>
      </c>
      <c r="PZ16" s="128" t="str">
        <f t="shared" si="102"/>
        <v/>
      </c>
      <c r="QA16" s="177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>3</v>
      </c>
      <c r="QB16" s="130" t="str">
        <f t="shared" si="103"/>
        <v>B</v>
      </c>
      <c r="QC16" s="152"/>
      <c r="QD16" s="185"/>
      <c r="QE16" s="185"/>
      <c r="QF16" s="106">
        <f>IFERROR((((COUNTIF('Elève (5ème3)'!QC17:QE19,"A"))*4)+((COUNTIF('Elève (5ème3)'!QC17:QE19,"B"))*3)+((COUNTIF('Elève (5ème3)'!QC17:QE19,"C"))*2)+((COUNTIF('Elève (5ème3)'!QC17:QE19,"D"))*1))/(COUNTA(QC17:QE19)),"")</f>
        <v>3</v>
      </c>
      <c r="QG16" s="107" t="str">
        <f t="shared" si="104"/>
        <v>B</v>
      </c>
      <c r="QH16" s="204"/>
      <c r="QI16" s="186"/>
      <c r="QJ16" s="205"/>
      <c r="QK16" s="106" t="str">
        <f>IFERROR((((COUNTIF('Elève (5ème3)'!QH17:QJ19,"A"))*4)+((COUNTIF('Elève (5ème3)'!QH17:QJ19,"B"))*3)+((COUNTIF('Elève (5ème3)'!QH17:QJ19,"C"))*2)+((COUNTIF('Elève (5ème3)'!QH17:QJ19,"D"))*1))/(COUNTA(QH17:QJ19)),"")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(5ème3)'!QM17:QO19,"A"))*4)+((COUNTIF('Elève (5ème3)'!QM17:QO19,"B"))*3)+((COUNTIF('Elève (5ème3)'!QM17:QO19,"C"))*2)+((COUNTIF('Elève (5ème3)'!QM17:QO19,"D"))*1))/(COUNTA(QM17:QO19)),"")</f>
        <v/>
      </c>
      <c r="QQ16" s="128" t="str">
        <f t="shared" si="106"/>
        <v/>
      </c>
      <c r="QR16" s="177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>3</v>
      </c>
      <c r="QS16" s="130" t="str">
        <f t="shared" si="107"/>
        <v>B</v>
      </c>
      <c r="QT16" s="152"/>
      <c r="QU16" s="185"/>
      <c r="QV16" s="185"/>
      <c r="QW16" s="106">
        <f>IFERROR((((COUNTIF('Elève (5ème3)'!QT17:QV19,"A"))*4)+((COUNTIF('Elève (5ème3)'!QT17:QV19,"B"))*3)+((COUNTIF('Elève (5ème3)'!QT17:QV19,"C"))*2)+((COUNTIF('Elève (5ème3)'!QT17:QV19,"D"))*1))/(COUNTA(QT17:QV19)),"")</f>
        <v>3</v>
      </c>
      <c r="QX16" s="107" t="str">
        <f t="shared" si="108"/>
        <v>B</v>
      </c>
      <c r="QY16" s="204"/>
      <c r="QZ16" s="186"/>
      <c r="RA16" s="205"/>
      <c r="RB16" s="106" t="str">
        <f>IFERROR((((COUNTIF('Elève (5ème3)'!QY17:RA19,"A"))*4)+((COUNTIF('Elève (5ème3)'!QY17:RA19,"B"))*3)+((COUNTIF('Elève (5ème3)'!QY17:RA19,"C"))*2)+((COUNTIF('Elève (5ème3)'!QY17:RA19,"D"))*1))/(COUNTA(QY17:RA19)),"")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(5ème3)'!RD17:RF19,"A"))*4)+((COUNTIF('Elève (5ème3)'!RD17:RF19,"B"))*3)+((COUNTIF('Elève (5ème3)'!RD17:RF19,"C"))*2)+((COUNTIF('Elève (5ème3)'!RD17:RF19,"D"))*1))/(COUNTA(RD17:RF19)),"")</f>
        <v/>
      </c>
      <c r="RH16" s="128" t="str">
        <f t="shared" si="110"/>
        <v/>
      </c>
      <c r="RI16" s="177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>3</v>
      </c>
      <c r="RJ16" s="130" t="str">
        <f t="shared" si="111"/>
        <v>B</v>
      </c>
      <c r="RK16" s="152"/>
      <c r="RL16" s="185"/>
      <c r="RM16" s="185"/>
      <c r="RN16" s="106" t="str">
        <f>IFERROR((((COUNTIF('Elève (5ème3)'!RK17:RM19,"A"))*4)+((COUNTIF('Elève (5ème3)'!RK17:RM19,"B"))*3)+((COUNTIF('Elève (5ème3)'!RK17:RM19,"C"))*2)+((COUNTIF('Elève (5ème3)'!RK17:RM19,"D"))*1))/(COUNTA(RK17:RM19)),"")</f>
        <v/>
      </c>
      <c r="RO16" s="107" t="str">
        <f t="shared" si="112"/>
        <v/>
      </c>
      <c r="RP16" s="204"/>
      <c r="RQ16" s="186"/>
      <c r="RR16" s="205"/>
      <c r="RS16" s="106" t="str">
        <f>IFERROR((((COUNTIF('Elève (5ème3)'!RP17:RR19,"A"))*4)+((COUNTIF('Elève (5ème3)'!RP17:RR19,"B"))*3)+((COUNTIF('Elève (5ème3)'!RP17:RR19,"C"))*2)+((COUNTIF('Elève (5ème3)'!RP17:RR19,"D"))*1))/(COUNTA(RP17:RR19)),"")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(5ème3)'!RU17:RW19,"A"))*4)+((COUNTIF('Elève (5ème3)'!RU17:RW19,"B"))*3)+((COUNTIF('Elève (5ème3)'!RU17:RW19,"C"))*2)+((COUNTIF('Elève (5ème3)'!RU17:RW19,"D"))*1))/(COUNTA(RU17:RW19)),"")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(5ème3)'!SB17:SD19,"A"))*4)+((COUNTIF('Elève (5ème3)'!SB17:SD19,"B"))*3)+((COUNTIF('Elève (5ème3)'!SB17:SD19,"C"))*2)+((COUNTIF('Elève (5ème3)'!SB17:SD19,"D"))*1))/(COUNTA(SB17:SD19)),"")</f>
        <v/>
      </c>
      <c r="SF16" s="107" t="str">
        <f t="shared" si="116"/>
        <v/>
      </c>
      <c r="SG16" s="204"/>
      <c r="SH16" s="186"/>
      <c r="SI16" s="205"/>
      <c r="SJ16" s="106" t="str">
        <f>IFERROR((((COUNTIF('Elève (5ème3)'!SG17:SI19,"A"))*4)+((COUNTIF('Elève (5ème3)'!SG17:SI19,"B"))*3)+((COUNTIF('Elève (5ème3)'!SG17:SI19,"C"))*2)+((COUNTIF('Elève (5ème3)'!SG17:SI19,"D"))*1))/(COUNTA(SG17:SI19)),"")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(5ème3)'!SL17:SN19,"A"))*4)+((COUNTIF('Elève (5ème3)'!SL17:SN19,"B"))*3)+((COUNTIF('Elève (5ème3)'!SL17:SN19,"C"))*2)+((COUNTIF('Elève (5ème3)'!SL17:SN19,"D"))*1))/(COUNTA(SL17:SN19)),"")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1" t="s">
        <v>21</v>
      </c>
      <c r="B17" s="222"/>
      <c r="C17" s="156" t="s">
        <v>27</v>
      </c>
      <c r="D17" s="157"/>
      <c r="E17" s="158"/>
      <c r="F17" s="108">
        <f>IFERROR((((COUNTIF('Elève (5ème3)'!C17:E17,"A"))*4)+((COUNTIF('Elève (5ème3)'!C17:E17,"B"))*3)+((COUNTIF('Elève (5ème3)'!C17:E17,"C"))*2)+((COUNTIF('Elève (5ème3)'!C17:E17,"D"))*1))/(COUNTA(C17:E17)),"")</f>
        <v>4</v>
      </c>
      <c r="G17" s="109" t="str">
        <f t="shared" si="0"/>
        <v>A</v>
      </c>
      <c r="H17" s="81"/>
      <c r="I17" s="82"/>
      <c r="J17" s="83"/>
      <c r="K17" s="108" t="str">
        <f>IFERROR((((COUNTIF('Elève (5ème3)'!H17:J17,"A"))*4)+((COUNTIF('Elève (5ème3)'!H17:J17,"B"))*3)+((COUNTIF('Elève (5ème3)'!H17:J17,"C"))*2)+((COUNTIF('Elève (5ème3)'!H17:J17,"D"))*1))/(COUNTA(H17:J17)),"")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(5ème3)'!M17:O17,"A"))*4)+((COUNTIF('Elève (5ème3)'!M17:O17,"B"))*3)+((COUNTIF('Elève (5ème3)'!M17:O17,"C"))*2)+((COUNTIF('Elève (5ème3)'!M17:O17,"D"))*1))/(COUNTA(M17:O17)),"")</f>
        <v/>
      </c>
      <c r="Q17" s="109" t="str">
        <f t="shared" si="2"/>
        <v/>
      </c>
      <c r="R17" s="178">
        <f>IF(COUNT(F17,K17,P17)=0,"",SUM(F17,K17,P17)/COUNT(F17,K17,P17))</f>
        <v>4</v>
      </c>
      <c r="S17" s="134" t="str">
        <f t="shared" si="3"/>
        <v>A</v>
      </c>
      <c r="T17" s="156" t="s">
        <v>27</v>
      </c>
      <c r="U17" s="157"/>
      <c r="V17" s="158"/>
      <c r="W17" s="108">
        <f>IFERROR((((COUNTIF('Elève (5ème3)'!T17:V17,"A"))*4)+((COUNTIF('Elève (5ème3)'!T17:V17,"B"))*3)+((COUNTIF('Elève (5ème3)'!T17:V17,"C"))*2)+((COUNTIF('Elève (5ème3)'!T17:V17,"D"))*1))/(COUNTA(T17:V17)),"")</f>
        <v>4</v>
      </c>
      <c r="X17" s="109" t="str">
        <f t="shared" si="4"/>
        <v>A</v>
      </c>
      <c r="Y17" s="81"/>
      <c r="Z17" s="82"/>
      <c r="AA17" s="83"/>
      <c r="AB17" s="108" t="str">
        <f>IFERROR((((COUNTIF('Elève (5ème3)'!Y17:AA17,"A"))*4)+((COUNTIF('Elève (5ème3)'!Y17:AA17,"B"))*3)+((COUNTIF('Elève (5ème3)'!Y17:AA17,"C"))*2)+((COUNTIF('Elève (5ème3)'!Y17:AA17,"D"))*1))/(COUNTA(Y17:AA17)),"")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(5ème3)'!AD17:AF17,"A"))*4)+((COUNTIF('Elève (5ème3)'!AD17:AF17,"B"))*3)+((COUNTIF('Elève (5ème3)'!AD17:AF17,"C"))*2)+((COUNTIF('Elève (5ème3)'!AD17:AF17,"D"))*1))/(COUNTA(AD17:AF17)),"")</f>
        <v/>
      </c>
      <c r="AH17" s="109" t="str">
        <f t="shared" si="6"/>
        <v/>
      </c>
      <c r="AI17" s="178">
        <f>IF(COUNT(W17,AB17,AG17)=0,"",SUM(W17,AB17,AG17)/COUNT(W17,AB17,AG17))</f>
        <v>4</v>
      </c>
      <c r="AJ17" s="134" t="str">
        <f t="shared" si="7"/>
        <v>A</v>
      </c>
      <c r="AK17" s="156" t="s">
        <v>27</v>
      </c>
      <c r="AL17" s="157"/>
      <c r="AM17" s="158"/>
      <c r="AN17" s="108">
        <f>IFERROR((((COUNTIF('Elève (5ème3)'!AK17:AM17,"A"))*4)+((COUNTIF('Elève (5ème3)'!AK17:AM17,"B"))*3)+((COUNTIF('Elève (5ème3)'!AK17:AM17,"C"))*2)+((COUNTIF('Elève (5ème3)'!AK17:AM17,"D"))*1))/(COUNTA(AK17:AM17)),"")</f>
        <v>4</v>
      </c>
      <c r="AO17" s="109" t="str">
        <f t="shared" si="8"/>
        <v>A</v>
      </c>
      <c r="AP17" s="81"/>
      <c r="AQ17" s="82"/>
      <c r="AR17" s="83"/>
      <c r="AS17" s="108" t="str">
        <f>IFERROR((((COUNTIF('Elève (5ème3)'!AP17:AR17,"A"))*4)+((COUNTIF('Elève (5ème3)'!AP17:AR17,"B"))*3)+((COUNTIF('Elève (5ème3)'!AP17:AR17,"C"))*2)+((COUNTIF('Elève (5ème3)'!AP17:AR17,"D"))*1))/(COUNTA(AP17:AR17)),"")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(5ème3)'!AU17:AW17,"A"))*4)+((COUNTIF('Elève (5ème3)'!AU17:AW17,"B"))*3)+((COUNTIF('Elève (5ème3)'!AU17:AW17,"C"))*2)+((COUNTIF('Elève (5ème3)'!AU17:AW17,"D"))*1))/(COUNTA(AU17:AW17)),"")</f>
        <v/>
      </c>
      <c r="AY17" s="109" t="str">
        <f t="shared" si="10"/>
        <v/>
      </c>
      <c r="AZ17" s="178">
        <f>IF(COUNT(AN17,AS17,AX17)=0,"",SUM(AN17,AS17,AX17)/COUNT(AN17,AS17,AX17))</f>
        <v>4</v>
      </c>
      <c r="BA17" s="134" t="str">
        <f t="shared" si="11"/>
        <v>A</v>
      </c>
      <c r="BB17" s="156" t="s">
        <v>27</v>
      </c>
      <c r="BC17" s="157"/>
      <c r="BD17" s="158"/>
      <c r="BE17" s="108">
        <f>IFERROR((((COUNTIF('Elève (5ème3)'!BB17:BD17,"A"))*4)+((COUNTIF('Elève (5ème3)'!BB17:BD17,"B"))*3)+((COUNTIF('Elève (5ème3)'!BB17:BD17,"C"))*2)+((COUNTIF('Elève (5ème3)'!BB17:BD17,"D"))*1))/(COUNTA(BB17:BD17)),"")</f>
        <v>4</v>
      </c>
      <c r="BF17" s="109" t="str">
        <f t="shared" si="12"/>
        <v>A</v>
      </c>
      <c r="BG17" s="81"/>
      <c r="BH17" s="82"/>
      <c r="BI17" s="83"/>
      <c r="BJ17" s="108" t="str">
        <f>IFERROR((((COUNTIF('Elève (5ème3)'!BG17:BI17,"A"))*4)+((COUNTIF('Elève (5ème3)'!BG17:BI17,"B"))*3)+((COUNTIF('Elève (5ème3)'!BG17:BI17,"C"))*2)+((COUNTIF('Elève (5ème3)'!BG17:BI17,"D"))*1))/(COUNTA(BG17:BI17)),"")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(5ème3)'!BL17:BN17,"A"))*4)+((COUNTIF('Elève (5ème3)'!BL17:BN17,"B"))*3)+((COUNTIF('Elève (5ème3)'!BL17:BN17,"C"))*2)+((COUNTIF('Elève (5ème3)'!BL17:BN17,"D"))*1))/(COUNTA(BL17:BN17)),"")</f>
        <v/>
      </c>
      <c r="BP17" s="109" t="str">
        <f t="shared" si="14"/>
        <v/>
      </c>
      <c r="BQ17" s="178">
        <f>IF(COUNT(BE17,BJ17,BO17)=0,"",SUM(BE17,BJ17,BO17)/COUNT(BE17,BJ17,BO17))</f>
        <v>4</v>
      </c>
      <c r="BR17" s="134" t="str">
        <f t="shared" si="15"/>
        <v>A</v>
      </c>
      <c r="BS17" s="156" t="s">
        <v>28</v>
      </c>
      <c r="BT17" s="157"/>
      <c r="BU17" s="158"/>
      <c r="BV17" s="108">
        <f>IFERROR((((COUNTIF('Elève (5ème3)'!BS17:BU17,"A"))*4)+((COUNTIF('Elève (5ème3)'!BS17:BU17,"B"))*3)+((COUNTIF('Elève (5ème3)'!BS17:BU17,"C"))*2)+((COUNTIF('Elève (5ème3)'!BS17:BU17,"D"))*1))/(COUNTA(BS17:BU17)),"")</f>
        <v>3</v>
      </c>
      <c r="BW17" s="109" t="str">
        <f t="shared" si="16"/>
        <v>B</v>
      </c>
      <c r="BX17" s="81"/>
      <c r="BY17" s="82"/>
      <c r="BZ17" s="83"/>
      <c r="CA17" s="108" t="str">
        <f>IFERROR((((COUNTIF('Elève (5ème3)'!BX17:BZ17,"A"))*4)+((COUNTIF('Elève (5ème3)'!BX17:BZ17,"B"))*3)+((COUNTIF('Elève (5ème3)'!BX17:BZ17,"C"))*2)+((COUNTIF('Elève (5ème3)'!BX17:BZ17,"D"))*1))/(COUNTA(BX17:BZ17)),"")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(5ème3)'!CC17:CE17,"A"))*4)+((COUNTIF('Elève (5ème3)'!CC17:CE17,"B"))*3)+((COUNTIF('Elève (5ème3)'!CC17:CE17,"C"))*2)+((COUNTIF('Elève (5ème3)'!CC17:CE17,"D"))*1))/(COUNTA(CC17:CE17)),"")</f>
        <v/>
      </c>
      <c r="CG17" s="109" t="str">
        <f t="shared" si="18"/>
        <v/>
      </c>
      <c r="CH17" s="178">
        <f>IF(COUNT(BV17,CA17,CF17)=0,"",SUM(BV17,CA17,CF17)/COUNT(BV17,CA17,CF17))</f>
        <v>3</v>
      </c>
      <c r="CI17" s="134" t="str">
        <f t="shared" si="19"/>
        <v>B</v>
      </c>
      <c r="CJ17" s="156" t="s">
        <v>27</v>
      </c>
      <c r="CK17" s="157"/>
      <c r="CL17" s="158"/>
      <c r="CM17" s="108">
        <f>IFERROR((((COUNTIF('Elève (5ème3)'!CJ17:CL17,"A"))*4)+((COUNTIF('Elève (5ème3)'!CJ17:CL17,"B"))*3)+((COUNTIF('Elève (5ème3)'!CJ17:CL17,"C"))*2)+((COUNTIF('Elève (5ème3)'!CJ17:CL17,"D"))*1))/(COUNTA(CJ17:CL17)),"")</f>
        <v>4</v>
      </c>
      <c r="CN17" s="109" t="str">
        <f t="shared" si="20"/>
        <v>A</v>
      </c>
      <c r="CO17" s="81"/>
      <c r="CP17" s="82"/>
      <c r="CQ17" s="83"/>
      <c r="CR17" s="108" t="str">
        <f>IFERROR((((COUNTIF('Elève (5ème3)'!CO17:CQ17,"A"))*4)+((COUNTIF('Elève (5ème3)'!CO17:CQ17,"B"))*3)+((COUNTIF('Elève (5ème3)'!CO17:CQ17,"C"))*2)+((COUNTIF('Elève (5ème3)'!CO17:CQ17,"D"))*1))/(COUNTA(CO17:CQ17)),"")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(5ème3)'!CT17:CV17,"A"))*4)+((COUNTIF('Elève (5ème3)'!CT17:CV17,"B"))*3)+((COUNTIF('Elève (5ème3)'!CT17:CV17,"C"))*2)+((COUNTIF('Elève (5ème3)'!CT17:CV17,"D"))*1))/(COUNTA(CT17:CV17)),"")</f>
        <v/>
      </c>
      <c r="CX17" s="109" t="str">
        <f t="shared" si="22"/>
        <v/>
      </c>
      <c r="CY17" s="178">
        <f>IF(COUNT(CM17,CR17,CW17)=0,"",SUM(CM17,CR17,CW17)/COUNT(CM17,CR17,CW17))</f>
        <v>4</v>
      </c>
      <c r="CZ17" s="134" t="str">
        <f t="shared" si="23"/>
        <v>A</v>
      </c>
      <c r="DA17" s="156" t="s">
        <v>27</v>
      </c>
      <c r="DB17" s="157"/>
      <c r="DC17" s="158"/>
      <c r="DD17" s="108">
        <f>IFERROR((((COUNTIF('Elève (5ème3)'!DA17:DC17,"A"))*4)+((COUNTIF('Elève (5ème3)'!DA17:DC17,"B"))*3)+((COUNTIF('Elève (5ème3)'!DA17:DC17,"C"))*2)+((COUNTIF('Elève (5ème3)'!DA17:DC17,"D"))*1))/(COUNTA(DA17:DC17)),"")</f>
        <v>4</v>
      </c>
      <c r="DE17" s="109" t="str">
        <f t="shared" si="24"/>
        <v>A</v>
      </c>
      <c r="DF17" s="81"/>
      <c r="DG17" s="82"/>
      <c r="DH17" s="83"/>
      <c r="DI17" s="108" t="str">
        <f>IFERROR((((COUNTIF('Elève (5ème3)'!DF17:DH17,"A"))*4)+((COUNTIF('Elève (5ème3)'!DF17:DH17,"B"))*3)+((COUNTIF('Elève (5ème3)'!DF17:DH17,"C"))*2)+((COUNTIF('Elève (5ème3)'!DF17:DH17,"D"))*1))/(COUNTA(DF17:DH17)),"")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(5ème3)'!DK17:DM17,"A"))*4)+((COUNTIF('Elève (5ème3)'!DK17:DM17,"B"))*3)+((COUNTIF('Elève (5ème3)'!DK17:DM17,"C"))*2)+((COUNTIF('Elève (5ème3)'!DK17:DM17,"D"))*1))/(COUNTA(DK17:DM17)),"")</f>
        <v/>
      </c>
      <c r="DO17" s="109" t="str">
        <f t="shared" si="26"/>
        <v/>
      </c>
      <c r="DP17" s="178">
        <f>IF(COUNT(DD17,DI17,DN17)=0,"",SUM(DD17,DI17,DN17)/COUNT(DD17,DI17,DN17))</f>
        <v>4</v>
      </c>
      <c r="DQ17" s="134" t="str">
        <f t="shared" si="27"/>
        <v>A</v>
      </c>
      <c r="DR17" s="156" t="s">
        <v>27</v>
      </c>
      <c r="DS17" s="157"/>
      <c r="DT17" s="158"/>
      <c r="DU17" s="108">
        <f>IFERROR((((COUNTIF('Elève (5ème3)'!DR17:DT17,"A"))*4)+((COUNTIF('Elève (5ème3)'!DR17:DT17,"B"))*3)+((COUNTIF('Elève (5ème3)'!DR17:DT17,"C"))*2)+((COUNTIF('Elève (5ème3)'!DR17:DT17,"D"))*1))/(COUNTA(DR17:DT17)),"")</f>
        <v>4</v>
      </c>
      <c r="DV17" s="109" t="str">
        <f t="shared" si="28"/>
        <v>A</v>
      </c>
      <c r="DW17" s="81"/>
      <c r="DX17" s="82"/>
      <c r="DY17" s="83"/>
      <c r="DZ17" s="108" t="str">
        <f>IFERROR((((COUNTIF('Elève (5ème3)'!DW17:DY17,"A"))*4)+((COUNTIF('Elève (5ème3)'!DW17:DY17,"B"))*3)+((COUNTIF('Elève (5ème3)'!DW17:DY17,"C"))*2)+((COUNTIF('Elève (5ème3)'!DW17:DY17,"D"))*1))/(COUNTA(DW17:DY17)),"")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(5ème3)'!EB17:ED17,"A"))*4)+((COUNTIF('Elève (5ème3)'!EB17:ED17,"B"))*3)+((COUNTIF('Elève (5ème3)'!EB17:ED17,"C"))*2)+((COUNTIF('Elève (5ème3)'!EB17:ED17,"D"))*1))/(COUNTA(EB17:ED17)),"")</f>
        <v/>
      </c>
      <c r="EF17" s="109" t="str">
        <f t="shared" si="30"/>
        <v/>
      </c>
      <c r="EG17" s="178">
        <f>IF(COUNT(DU17,DZ17,EE17)=0,"",SUM(DU17,DZ17,EE17)/COUNT(DU17,DZ17,EE17))</f>
        <v>4</v>
      </c>
      <c r="EH17" s="134" t="str">
        <f t="shared" si="31"/>
        <v>A</v>
      </c>
      <c r="EI17" s="156" t="s">
        <v>27</v>
      </c>
      <c r="EJ17" s="157"/>
      <c r="EK17" s="158"/>
      <c r="EL17" s="108">
        <f>IFERROR((((COUNTIF('Elève (5ème3)'!EI17:EK17,"A"))*4)+((COUNTIF('Elève (5ème3)'!EI17:EK17,"B"))*3)+((COUNTIF('Elève (5ème3)'!EI17:EK17,"C"))*2)+((COUNTIF('Elève (5ème3)'!EI17:EK17,"D"))*1))/(COUNTA(EI17:EK17)),"")</f>
        <v>4</v>
      </c>
      <c r="EM17" s="109" t="str">
        <f t="shared" si="32"/>
        <v>A</v>
      </c>
      <c r="EN17" s="81"/>
      <c r="EO17" s="82"/>
      <c r="EP17" s="83"/>
      <c r="EQ17" s="108" t="str">
        <f>IFERROR((((COUNTIF('Elève (5ème3)'!EN17:EP17,"A"))*4)+((COUNTIF('Elève (5ème3)'!EN17:EP17,"B"))*3)+((COUNTIF('Elève (5ème3)'!EN17:EP17,"C"))*2)+((COUNTIF('Elève (5ème3)'!EN17:EP17,"D"))*1))/(COUNTA(EN17:EP17)),"")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(5ème3)'!ES17:EU17,"A"))*4)+((COUNTIF('Elève (5ème3)'!ES17:EU17,"B"))*3)+((COUNTIF('Elève (5ème3)'!ES17:EU17,"C"))*2)+((COUNTIF('Elève (5ème3)'!ES17:EU17,"D"))*1))/(COUNTA(ES17:EU17)),"")</f>
        <v/>
      </c>
      <c r="EW17" s="109" t="str">
        <f t="shared" si="34"/>
        <v/>
      </c>
      <c r="EX17" s="178">
        <f>IF(COUNT(EL17,EQ17,EV17)=0,"",SUM(EL17,EQ17,EV17)/COUNT(EL17,EQ17,EV17))</f>
        <v>4</v>
      </c>
      <c r="EY17" s="134" t="str">
        <f t="shared" si="35"/>
        <v>A</v>
      </c>
      <c r="EZ17" s="156" t="s">
        <v>27</v>
      </c>
      <c r="FA17" s="157"/>
      <c r="FB17" s="158"/>
      <c r="FC17" s="108">
        <f>IFERROR((((COUNTIF('Elève (5ème3)'!EZ17:FB17,"A"))*4)+((COUNTIF('Elève (5ème3)'!EZ17:FB17,"B"))*3)+((COUNTIF('Elève (5ème3)'!EZ17:FB17,"C"))*2)+((COUNTIF('Elève (5ème3)'!EZ17:FB17,"D"))*1))/(COUNTA(EZ17:FB17)),"")</f>
        <v>4</v>
      </c>
      <c r="FD17" s="109" t="str">
        <f t="shared" si="36"/>
        <v>A</v>
      </c>
      <c r="FE17" s="81"/>
      <c r="FF17" s="82"/>
      <c r="FG17" s="83"/>
      <c r="FH17" s="108" t="str">
        <f>IFERROR((((COUNTIF('Elève (5ème3)'!FE17:FG17,"A"))*4)+((COUNTIF('Elève (5ème3)'!FE17:FG17,"B"))*3)+((COUNTIF('Elève (5ème3)'!FE17:FG17,"C"))*2)+((COUNTIF('Elève (5ème3)'!FE17:FG17,"D"))*1))/(COUNTA(FE17:FG17)),"")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(5ème3)'!FJ17:FL17,"A"))*4)+((COUNTIF('Elève (5ème3)'!FJ17:FL17,"B"))*3)+((COUNTIF('Elève (5ème3)'!FJ17:FL17,"C"))*2)+((COUNTIF('Elève (5ème3)'!FJ17:FL17,"D"))*1))/(COUNTA(FJ17:FL17)),"")</f>
        <v/>
      </c>
      <c r="FN17" s="109" t="str">
        <f t="shared" si="38"/>
        <v/>
      </c>
      <c r="FO17" s="178">
        <f>IF(COUNT(FC17,FH17,FM17)=0,"",SUM(FC17,FH17,FM17)/COUNT(FC17,FH17,FM17))</f>
        <v>4</v>
      </c>
      <c r="FP17" s="134" t="str">
        <f t="shared" si="39"/>
        <v>A</v>
      </c>
      <c r="FQ17" s="156" t="s">
        <v>28</v>
      </c>
      <c r="FR17" s="157"/>
      <c r="FS17" s="158"/>
      <c r="FT17" s="108">
        <f>IFERROR((((COUNTIF('Elève (5ème3)'!FQ17:FS17,"A"))*4)+((COUNTIF('Elève (5ème3)'!FQ17:FS17,"B"))*3)+((COUNTIF('Elève (5ème3)'!FQ17:FS17,"C"))*2)+((COUNTIF('Elève (5ème3)'!FQ17:FS17,"D"))*1))/(COUNTA(FQ17:FS17)),"")</f>
        <v>3</v>
      </c>
      <c r="FU17" s="109" t="str">
        <f t="shared" si="40"/>
        <v>B</v>
      </c>
      <c r="FV17" s="81"/>
      <c r="FW17" s="82"/>
      <c r="FX17" s="83"/>
      <c r="FY17" s="108" t="str">
        <f>IFERROR((((COUNTIF('Elève (5ème3)'!FV17:FX17,"A"))*4)+((COUNTIF('Elève (5ème3)'!FV17:FX17,"B"))*3)+((COUNTIF('Elève (5ème3)'!FV17:FX17,"C"))*2)+((COUNTIF('Elève (5ème3)'!FV17:FX17,"D"))*1))/(COUNTA(FV17:FX17)),"")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(5ème3)'!GA17:GC17,"A"))*4)+((COUNTIF('Elève (5ème3)'!GA17:GC17,"B"))*3)+((COUNTIF('Elève (5ème3)'!GA17:GC17,"C"))*2)+((COUNTIF('Elève (5ème3)'!GA17:GC17,"D"))*1))/(COUNTA(GA17:GC17)),"")</f>
        <v/>
      </c>
      <c r="GE17" s="109" t="str">
        <f t="shared" si="42"/>
        <v/>
      </c>
      <c r="GF17" s="178">
        <f>IF(COUNT(FT17,FY17,GD17)=0,"",SUM(FT17,FY17,GD17)/COUNT(FT17,FY17,GD17))</f>
        <v>3</v>
      </c>
      <c r="GG17" s="134" t="str">
        <f t="shared" si="43"/>
        <v>B</v>
      </c>
      <c r="GH17" s="156" t="s">
        <v>28</v>
      </c>
      <c r="GI17" s="157"/>
      <c r="GJ17" s="158"/>
      <c r="GK17" s="108">
        <f>IFERROR((((COUNTIF('Elève (5ème3)'!GH17:GJ17,"A"))*4)+((COUNTIF('Elève (5ème3)'!GH17:GJ17,"B"))*3)+((COUNTIF('Elève (5ème3)'!GH17:GJ17,"C"))*2)+((COUNTIF('Elève (5ème3)'!GH17:GJ17,"D"))*1))/(COUNTA(GH17:GJ17)),"")</f>
        <v>3</v>
      </c>
      <c r="GL17" s="109" t="str">
        <f t="shared" si="44"/>
        <v>B</v>
      </c>
      <c r="GM17" s="81"/>
      <c r="GN17" s="82"/>
      <c r="GO17" s="83"/>
      <c r="GP17" s="108" t="str">
        <f>IFERROR((((COUNTIF('Elève (5ème3)'!GM17:GO17,"A"))*4)+((COUNTIF('Elève (5ème3)'!GM17:GO17,"B"))*3)+((COUNTIF('Elève (5ème3)'!GM17:GO17,"C"))*2)+((COUNTIF('Elève (5ème3)'!GM17:GO17,"D"))*1))/(COUNTA(GM17:GO17)),"")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(5ème3)'!GR17:GT17,"A"))*4)+((COUNTIF('Elève (5ème3)'!GR17:GT17,"B"))*3)+((COUNTIF('Elève (5ème3)'!GR17:GT17,"C"))*2)+((COUNTIF('Elève (5ème3)'!GR17:GT17,"D"))*1))/(COUNTA(GR17:GT17)),"")</f>
        <v/>
      </c>
      <c r="GV17" s="109" t="str">
        <f t="shared" si="46"/>
        <v/>
      </c>
      <c r="GW17" s="178">
        <f>IF(COUNT(GK17,GP17,GU17)=0,"",SUM(GK17,GP17,GU17)/COUNT(GK17,GP17,GU17))</f>
        <v>3</v>
      </c>
      <c r="GX17" s="134" t="str">
        <f t="shared" si="47"/>
        <v>B</v>
      </c>
      <c r="GY17" s="156" t="s">
        <v>27</v>
      </c>
      <c r="GZ17" s="157"/>
      <c r="HA17" s="158"/>
      <c r="HB17" s="108">
        <f>IFERROR((((COUNTIF('Elève (5ème3)'!GY17:HA17,"A"))*4)+((COUNTIF('Elève (5ème3)'!GY17:HA17,"B"))*3)+((COUNTIF('Elève (5ème3)'!GY17:HA17,"C"))*2)+((COUNTIF('Elève (5ème3)'!GY17:HA17,"D"))*1))/(COUNTA(GY17:HA17)),"")</f>
        <v>4</v>
      </c>
      <c r="HC17" s="109" t="str">
        <f t="shared" si="48"/>
        <v>A</v>
      </c>
      <c r="HD17" s="81"/>
      <c r="HE17" s="82"/>
      <c r="HF17" s="83"/>
      <c r="HG17" s="108" t="str">
        <f>IFERROR((((COUNTIF('Elève (5ème3)'!HD17:HF17,"A"))*4)+((COUNTIF('Elève (5ème3)'!HD17:HF17,"B"))*3)+((COUNTIF('Elève (5ème3)'!HD17:HF17,"C"))*2)+((COUNTIF('Elève (5ème3)'!HD17:HF17,"D"))*1))/(COUNTA(HD17:HF17)),"")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(5ème3)'!HI17:HK17,"A"))*4)+((COUNTIF('Elève (5ème3)'!HI17:HK17,"B"))*3)+((COUNTIF('Elève (5ème3)'!HI17:HK17,"C"))*2)+((COUNTIF('Elève (5ème3)'!HI17:HK17,"D"))*1))/(COUNTA(HI17:HK17)),"")</f>
        <v/>
      </c>
      <c r="HM17" s="109" t="str">
        <f t="shared" si="50"/>
        <v/>
      </c>
      <c r="HN17" s="178">
        <f>IF(COUNT(HB17,HG17,HL17)=0,"",SUM(HB17,HG17,HL17)/COUNT(HB17,HG17,HL17))</f>
        <v>4</v>
      </c>
      <c r="HO17" s="134" t="str">
        <f t="shared" si="51"/>
        <v>A</v>
      </c>
      <c r="HP17" s="156" t="s">
        <v>27</v>
      </c>
      <c r="HQ17" s="157"/>
      <c r="HR17" s="158"/>
      <c r="HS17" s="108">
        <f>IFERROR((((COUNTIF('Elève (5ème3)'!HP17:HR17,"A"))*4)+((COUNTIF('Elève (5ème3)'!HP17:HR17,"B"))*3)+((COUNTIF('Elève (5ème3)'!HP17:HR17,"C"))*2)+((COUNTIF('Elève (5ème3)'!HP17:HR17,"D"))*1))/(COUNTA(HP17:HR17)),"")</f>
        <v>4</v>
      </c>
      <c r="HT17" s="109" t="str">
        <f t="shared" si="52"/>
        <v>A</v>
      </c>
      <c r="HU17" s="81"/>
      <c r="HV17" s="82"/>
      <c r="HW17" s="83"/>
      <c r="HX17" s="108" t="str">
        <f>IFERROR((((COUNTIF('Elève (5ème3)'!HU17:HW17,"A"))*4)+((COUNTIF('Elève (5ème3)'!HU17:HW17,"B"))*3)+((COUNTIF('Elève (5ème3)'!HU17:HW17,"C"))*2)+((COUNTIF('Elève (5ème3)'!HU17:HW17,"D"))*1))/(COUNTA(HU17:HW17)),"")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(5ème3)'!HZ17:IB17,"A"))*4)+((COUNTIF('Elève (5ème3)'!HZ17:IB17,"B"))*3)+((COUNTIF('Elève (5ème3)'!HZ17:IB17,"C"))*2)+((COUNTIF('Elève (5ème3)'!HZ17:IB17,"D"))*1))/(COUNTA(HZ17:IB17)),"")</f>
        <v/>
      </c>
      <c r="ID17" s="109" t="str">
        <f t="shared" si="54"/>
        <v/>
      </c>
      <c r="IE17" s="178">
        <f>IF(COUNT(HS17,HX17,IC17)=0,"",SUM(HS17,HX17,IC17)/COUNT(HS17,HX17,IC17))</f>
        <v>4</v>
      </c>
      <c r="IF17" s="134" t="str">
        <f t="shared" si="55"/>
        <v>A</v>
      </c>
      <c r="IG17" s="156" t="s">
        <v>30</v>
      </c>
      <c r="IH17" s="157"/>
      <c r="II17" s="158"/>
      <c r="IJ17" s="108">
        <f>IFERROR((((COUNTIF('Elève (5ème3)'!IG17:II17,"A"))*4)+((COUNTIF('Elève (5ème3)'!IG17:II17,"B"))*3)+((COUNTIF('Elève (5ème3)'!IG17:II17,"C"))*2)+((COUNTIF('Elève (5ème3)'!IG17:II17,"D"))*1))/(COUNTA(IG17:II17)),"")</f>
        <v>1</v>
      </c>
      <c r="IK17" s="109" t="str">
        <f t="shared" si="56"/>
        <v>D</v>
      </c>
      <c r="IL17" s="81"/>
      <c r="IM17" s="82"/>
      <c r="IN17" s="83"/>
      <c r="IO17" s="108" t="str">
        <f>IFERROR((((COUNTIF('Elève (5ème3)'!IL17:IN17,"A"))*4)+((COUNTIF('Elève (5ème3)'!IL17:IN17,"B"))*3)+((COUNTIF('Elève (5ème3)'!IL17:IN17,"C"))*2)+((COUNTIF('Elève (5ème3)'!IL17:IN17,"D"))*1))/(COUNTA(IL17:IN17)),"")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(5ème3)'!IQ17:IS17,"A"))*4)+((COUNTIF('Elève (5ème3)'!IQ17:IS17,"B"))*3)+((COUNTIF('Elève (5ème3)'!IQ17:IS17,"C"))*2)+((COUNTIF('Elève (5ème3)'!IQ17:IS17,"D"))*1))/(COUNTA(IQ17:IS17)),"")</f>
        <v/>
      </c>
      <c r="IU17" s="109" t="str">
        <f t="shared" si="58"/>
        <v/>
      </c>
      <c r="IV17" s="178">
        <f>IF(COUNT(IJ17,IO17,IT17)=0,"",SUM(IJ17,IO17,IT17)/COUNT(IJ17,IO17,IT17))</f>
        <v>1</v>
      </c>
      <c r="IW17" s="134" t="str">
        <f t="shared" si="59"/>
        <v>D</v>
      </c>
      <c r="IX17" s="156" t="s">
        <v>27</v>
      </c>
      <c r="IY17" s="157"/>
      <c r="IZ17" s="158"/>
      <c r="JA17" s="108">
        <f>IFERROR((((COUNTIF('Elève (5ème3)'!IX17:IZ17,"A"))*4)+((COUNTIF('Elève (5ème3)'!IX17:IZ17,"B"))*3)+((COUNTIF('Elève (5ème3)'!IX17:IZ17,"C"))*2)+((COUNTIF('Elève (5ème3)'!IX17:IZ17,"D"))*1))/(COUNTA(IX17:IZ17)),"")</f>
        <v>4</v>
      </c>
      <c r="JB17" s="109" t="str">
        <f t="shared" si="60"/>
        <v>A</v>
      </c>
      <c r="JC17" s="81"/>
      <c r="JD17" s="82"/>
      <c r="JE17" s="83"/>
      <c r="JF17" s="108" t="str">
        <f>IFERROR((((COUNTIF('Elève (5ème3)'!JC17:JE17,"A"))*4)+((COUNTIF('Elève (5ème3)'!JC17:JE17,"B"))*3)+((COUNTIF('Elève (5ème3)'!JC17:JE17,"C"))*2)+((COUNTIF('Elève (5ème3)'!JC17:JE17,"D"))*1))/(COUNTA(JC17:JE17)),"")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(5ème3)'!JH17:JJ17,"A"))*4)+((COUNTIF('Elève (5ème3)'!JH17:JJ17,"B"))*3)+((COUNTIF('Elève (5ème3)'!JH17:JJ17,"C"))*2)+((COUNTIF('Elève (5ème3)'!JH17:JJ17,"D"))*1))/(COUNTA(JH17:JJ17)),"")</f>
        <v/>
      </c>
      <c r="JL17" s="109" t="str">
        <f t="shared" si="62"/>
        <v/>
      </c>
      <c r="JM17" s="178">
        <f>IF(COUNT(JA17,JF17,JK17)=0,"",SUM(JA17,JF17,JK17)/COUNT(JA17,JF17,JK17))</f>
        <v>4</v>
      </c>
      <c r="JN17" s="134" t="str">
        <f t="shared" si="63"/>
        <v>A</v>
      </c>
      <c r="JO17" s="156" t="s">
        <v>27</v>
      </c>
      <c r="JP17" s="157"/>
      <c r="JQ17" s="158"/>
      <c r="JR17" s="108">
        <f>IFERROR((((COUNTIF('Elève (5ème3)'!JO17:JQ17,"A"))*4)+((COUNTIF('Elève (5ème3)'!JO17:JQ17,"B"))*3)+((COUNTIF('Elève (5ème3)'!JO17:JQ17,"C"))*2)+((COUNTIF('Elève (5ème3)'!JO17:JQ17,"D"))*1))/(COUNTA(JO17:JQ17)),"")</f>
        <v>4</v>
      </c>
      <c r="JS17" s="109" t="str">
        <f t="shared" si="64"/>
        <v>A</v>
      </c>
      <c r="JT17" s="81"/>
      <c r="JU17" s="82"/>
      <c r="JV17" s="83"/>
      <c r="JW17" s="108" t="str">
        <f>IFERROR((((COUNTIF('Elève (5ème3)'!JT17:JV17,"A"))*4)+((COUNTIF('Elève (5ème3)'!JT17:JV17,"B"))*3)+((COUNTIF('Elève (5ème3)'!JT17:JV17,"C"))*2)+((COUNTIF('Elève (5ème3)'!JT17:JV17,"D"))*1))/(COUNTA(JT17:JV17)),"")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(5ème3)'!JY17:KA17,"A"))*4)+((COUNTIF('Elève (5ème3)'!JY17:KA17,"B"))*3)+((COUNTIF('Elève (5ème3)'!JY17:KA17,"C"))*2)+((COUNTIF('Elève (5ème3)'!JY17:KA17,"D"))*1))/(COUNTA(JY17:KA17)),"")</f>
        <v/>
      </c>
      <c r="KC17" s="109" t="str">
        <f t="shared" si="66"/>
        <v/>
      </c>
      <c r="KD17" s="178">
        <f>IF(COUNT(JR17,JW17,KB17)=0,"",SUM(JR17,JW17,KB17)/COUNT(JR17,JW17,KB17))</f>
        <v>4</v>
      </c>
      <c r="KE17" s="134" t="str">
        <f t="shared" si="67"/>
        <v>A</v>
      </c>
      <c r="KF17" s="156" t="s">
        <v>28</v>
      </c>
      <c r="KG17" s="157"/>
      <c r="KH17" s="158"/>
      <c r="KI17" s="108">
        <f>IFERROR((((COUNTIF('Elève (5ème3)'!KF17:KH17,"A"))*4)+((COUNTIF('Elève (5ème3)'!KF17:KH17,"B"))*3)+((COUNTIF('Elève (5ème3)'!KF17:KH17,"C"))*2)+((COUNTIF('Elève (5ème3)'!KF17:KH17,"D"))*1))/(COUNTA(KF17:KH17)),"")</f>
        <v>3</v>
      </c>
      <c r="KJ17" s="109" t="str">
        <f t="shared" si="68"/>
        <v>B</v>
      </c>
      <c r="KK17" s="81"/>
      <c r="KL17" s="82"/>
      <c r="KM17" s="83"/>
      <c r="KN17" s="108" t="str">
        <f>IFERROR((((COUNTIF('Elève (5ème3)'!KK17:KM17,"A"))*4)+((COUNTIF('Elève (5ème3)'!KK17:KM17,"B"))*3)+((COUNTIF('Elève (5ème3)'!KK17:KM17,"C"))*2)+((COUNTIF('Elève (5ème3)'!KK17:KM17,"D"))*1))/(COUNTA(KK17:KM17)),"")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(5ème3)'!KP17:KR17,"A"))*4)+((COUNTIF('Elève (5ème3)'!KP17:KR17,"B"))*3)+((COUNTIF('Elève (5ème3)'!KP17:KR17,"C"))*2)+((COUNTIF('Elève (5ème3)'!KP17:KR17,"D"))*1))/(COUNTA(KP17:KR17)),"")</f>
        <v/>
      </c>
      <c r="KT17" s="109" t="str">
        <f t="shared" si="70"/>
        <v/>
      </c>
      <c r="KU17" s="178">
        <f>IF(COUNT(KI17,KN17,KS17)=0,"",SUM(KI17,KN17,KS17)/COUNT(KI17,KN17,KS17))</f>
        <v>3</v>
      </c>
      <c r="KV17" s="134" t="str">
        <f t="shared" si="71"/>
        <v>B</v>
      </c>
      <c r="KW17" s="156" t="s">
        <v>27</v>
      </c>
      <c r="KX17" s="157"/>
      <c r="KY17" s="158"/>
      <c r="KZ17" s="108">
        <f>IFERROR((((COUNTIF('Elève (5ème3)'!KW17:KY17,"A"))*4)+((COUNTIF('Elève (5ème3)'!KW17:KY17,"B"))*3)+((COUNTIF('Elève (5ème3)'!KW17:KY17,"C"))*2)+((COUNTIF('Elève (5ème3)'!KW17:KY17,"D"))*1))/(COUNTA(KW17:KY17)),"")</f>
        <v>4</v>
      </c>
      <c r="LA17" s="109" t="str">
        <f t="shared" si="72"/>
        <v>A</v>
      </c>
      <c r="LB17" s="81"/>
      <c r="LC17" s="82"/>
      <c r="LD17" s="83"/>
      <c r="LE17" s="108" t="str">
        <f>IFERROR((((COUNTIF('Elève (5ème3)'!LB17:LD17,"A"))*4)+((COUNTIF('Elève (5ème3)'!LB17:LD17,"B"))*3)+((COUNTIF('Elève (5ème3)'!LB17:LD17,"C"))*2)+((COUNTIF('Elève (5ème3)'!LB17:LD17,"D"))*1))/(COUNTA(LB17:LD17)),"")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(5ème3)'!LG17:LI17,"A"))*4)+((COUNTIF('Elève (5ème3)'!LG17:LI17,"B"))*3)+((COUNTIF('Elève (5ème3)'!LG17:LI17,"C"))*2)+((COUNTIF('Elève (5ème3)'!LG17:LI17,"D"))*1))/(COUNTA(LG17:LI17)),"")</f>
        <v/>
      </c>
      <c r="LK17" s="109" t="str">
        <f t="shared" si="74"/>
        <v/>
      </c>
      <c r="LL17" s="178">
        <f>IF(COUNT(KZ17,LE17,LJ17)=0,"",SUM(KZ17,LE17,LJ17)/COUNT(KZ17,LE17,LJ17))</f>
        <v>4</v>
      </c>
      <c r="LM17" s="134" t="str">
        <f t="shared" si="75"/>
        <v>A</v>
      </c>
      <c r="LN17" s="156" t="s">
        <v>28</v>
      </c>
      <c r="LO17" s="157"/>
      <c r="LP17" s="158"/>
      <c r="LQ17" s="108">
        <f>IFERROR((((COUNTIF('Elève (5ème3)'!LN17:LP17,"A"))*4)+((COUNTIF('Elève (5ème3)'!LN17:LP17,"B"))*3)+((COUNTIF('Elève (5ème3)'!LN17:LP17,"C"))*2)+((COUNTIF('Elève (5ème3)'!LN17:LP17,"D"))*1))/(COUNTA(LN17:LP17)),"")</f>
        <v>3</v>
      </c>
      <c r="LR17" s="109" t="str">
        <f t="shared" si="76"/>
        <v>B</v>
      </c>
      <c r="LS17" s="81"/>
      <c r="LT17" s="82"/>
      <c r="LU17" s="83"/>
      <c r="LV17" s="108" t="str">
        <f>IFERROR((((COUNTIF('Elève (5ème3)'!LS17:LU17,"A"))*4)+((COUNTIF('Elève (5ème3)'!LS17:LU17,"B"))*3)+((COUNTIF('Elève (5ème3)'!LS17:LU17,"C"))*2)+((COUNTIF('Elève (5ème3)'!LS17:LU17,"D"))*1))/(COUNTA(LS17:LU17)),"")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(5ème3)'!LX17:LZ17,"A"))*4)+((COUNTIF('Elève (5ème3)'!LX17:LZ17,"B"))*3)+((COUNTIF('Elève (5ème3)'!LX17:LZ17,"C"))*2)+((COUNTIF('Elève (5ème3)'!LX17:LZ17,"D"))*1))/(COUNTA(LX17:LZ17)),"")</f>
        <v/>
      </c>
      <c r="MB17" s="109" t="str">
        <f t="shared" si="78"/>
        <v/>
      </c>
      <c r="MC17" s="178">
        <f>IF(COUNT(LQ17,LV17,MA17)=0,"",SUM(LQ17,LV17,MA17)/COUNT(LQ17,LV17,MA17))</f>
        <v>3</v>
      </c>
      <c r="MD17" s="134" t="str">
        <f t="shared" si="79"/>
        <v>B</v>
      </c>
      <c r="ME17" s="156" t="s">
        <v>28</v>
      </c>
      <c r="MF17" s="157"/>
      <c r="MG17" s="158"/>
      <c r="MH17" s="108">
        <f>IFERROR((((COUNTIF('Elève (5ème3)'!ME17:MG17,"A"))*4)+((COUNTIF('Elève (5ème3)'!ME17:MG17,"B"))*3)+((COUNTIF('Elève (5ème3)'!ME17:MG17,"C"))*2)+((COUNTIF('Elève (5ème3)'!ME17:MG17,"D"))*1))/(COUNTA(ME17:MG17)),"")</f>
        <v>3</v>
      </c>
      <c r="MI17" s="109" t="str">
        <f t="shared" si="80"/>
        <v>B</v>
      </c>
      <c r="MJ17" s="81"/>
      <c r="MK17" s="82"/>
      <c r="ML17" s="83"/>
      <c r="MM17" s="108" t="str">
        <f>IFERROR((((COUNTIF('Elève (5ème3)'!MJ17:ML17,"A"))*4)+((COUNTIF('Elève (5ème3)'!MJ17:ML17,"B"))*3)+((COUNTIF('Elève (5ème3)'!MJ17:ML17,"C"))*2)+((COUNTIF('Elève (5ème3)'!MJ17:ML17,"D"))*1))/(COUNTA(MJ17:ML17)),"")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(5ème3)'!MO17:MQ17,"A"))*4)+((COUNTIF('Elève (5ème3)'!MO17:MQ17,"B"))*3)+((COUNTIF('Elève (5ème3)'!MO17:MQ17,"C"))*2)+((COUNTIF('Elève (5ème3)'!MO17:MQ17,"D"))*1))/(COUNTA(MO17:MQ17)),"")</f>
        <v/>
      </c>
      <c r="MS17" s="109" t="str">
        <f t="shared" si="82"/>
        <v/>
      </c>
      <c r="MT17" s="178">
        <f>IF(COUNT(MH17,MM17,MR17)=0,"",SUM(MH17,MM17,MR17)/COUNT(MH17,MM17,MR17))</f>
        <v>3</v>
      </c>
      <c r="MU17" s="134" t="str">
        <f t="shared" si="83"/>
        <v>B</v>
      </c>
      <c r="MV17" s="156" t="s">
        <v>27</v>
      </c>
      <c r="MW17" s="157"/>
      <c r="MX17" s="158"/>
      <c r="MY17" s="108">
        <f>IFERROR((((COUNTIF('Elève (5ème3)'!MV17:MX17,"A"))*4)+((COUNTIF('Elève (5ème3)'!MV17:MX17,"B"))*3)+((COUNTIF('Elève (5ème3)'!MV17:MX17,"C"))*2)+((COUNTIF('Elève (5ème3)'!MV17:MX17,"D"))*1))/(COUNTA(MV17:MX17)),"")</f>
        <v>4</v>
      </c>
      <c r="MZ17" s="109" t="str">
        <f t="shared" si="84"/>
        <v>A</v>
      </c>
      <c r="NA17" s="81"/>
      <c r="NB17" s="82"/>
      <c r="NC17" s="83"/>
      <c r="ND17" s="108" t="str">
        <f>IFERROR((((COUNTIF('Elève (5ème3)'!NA17:NC17,"A"))*4)+((COUNTIF('Elève (5ème3)'!NA17:NC17,"B"))*3)+((COUNTIF('Elève (5ème3)'!NA17:NC17,"C"))*2)+((COUNTIF('Elève (5ème3)'!NA17:NC17,"D"))*1))/(COUNTA(NA17:NC17)),"")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(5ème3)'!NF17:NH17,"A"))*4)+((COUNTIF('Elève (5ème3)'!NF17:NH17,"B"))*3)+((COUNTIF('Elève (5ème3)'!NF17:NH17,"C"))*2)+((COUNTIF('Elève (5ème3)'!NF17:NH17,"D"))*1))/(COUNTA(NF17:NH17)),"")</f>
        <v/>
      </c>
      <c r="NJ17" s="109" t="str">
        <f t="shared" si="86"/>
        <v/>
      </c>
      <c r="NK17" s="178">
        <f>IF(COUNT(MY17,ND17,NI17)=0,"",SUM(MY17,ND17,NI17)/COUNT(MY17,ND17,NI17))</f>
        <v>4</v>
      </c>
      <c r="NL17" s="134" t="str">
        <f t="shared" si="87"/>
        <v>A</v>
      </c>
      <c r="NM17" s="156" t="s">
        <v>27</v>
      </c>
      <c r="NN17" s="157"/>
      <c r="NO17" s="158"/>
      <c r="NP17" s="108">
        <f>IFERROR((((COUNTIF('Elève (5ème3)'!NM17:NO17,"A"))*4)+((COUNTIF('Elève (5ème3)'!NM17:NO17,"B"))*3)+((COUNTIF('Elève (5ème3)'!NM17:NO17,"C"))*2)+((COUNTIF('Elève (5ème3)'!NM17:NO17,"D"))*1))/(COUNTA(NM17:NO17)),"")</f>
        <v>4</v>
      </c>
      <c r="NQ17" s="109" t="str">
        <f t="shared" si="88"/>
        <v>A</v>
      </c>
      <c r="NR17" s="81"/>
      <c r="NS17" s="82"/>
      <c r="NT17" s="83"/>
      <c r="NU17" s="108" t="str">
        <f>IFERROR((((COUNTIF('Elève (5ème3)'!NR17:NT17,"A"))*4)+((COUNTIF('Elève (5ème3)'!NR17:NT17,"B"))*3)+((COUNTIF('Elève (5ème3)'!NR17:NT17,"C"))*2)+((COUNTIF('Elève (5ème3)'!NR17:NT17,"D"))*1))/(COUNTA(NR17:NT17)),"")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(5ème3)'!NW17:NY17,"A"))*4)+((COUNTIF('Elève (5ème3)'!NW17:NY17,"B"))*3)+((COUNTIF('Elève (5ème3)'!NW17:NY17,"C"))*2)+((COUNTIF('Elève (5ème3)'!NW17:NY17,"D"))*1))/(COUNTA(NW17:NY17)),"")</f>
        <v/>
      </c>
      <c r="OA17" s="109" t="str">
        <f t="shared" si="90"/>
        <v/>
      </c>
      <c r="OB17" s="178">
        <f>IF(COUNT(NP17,NU17,NZ17)=0,"",SUM(NP17,NU17,NZ17)/COUNT(NP17,NU17,NZ17))</f>
        <v>4</v>
      </c>
      <c r="OC17" s="134" t="str">
        <f t="shared" si="91"/>
        <v>A</v>
      </c>
      <c r="OD17" s="156" t="s">
        <v>27</v>
      </c>
      <c r="OE17" s="157"/>
      <c r="OF17" s="158"/>
      <c r="OG17" s="108">
        <f>IFERROR((((COUNTIF('Elève (5ème3)'!OD17:OF17,"A"))*4)+((COUNTIF('Elève (5ème3)'!OD17:OF17,"B"))*3)+((COUNTIF('Elève (5ème3)'!OD17:OF17,"C"))*2)+((COUNTIF('Elève (5ème3)'!OD17:OF17,"D"))*1))/(COUNTA(OD17:OF17)),"")</f>
        <v>4</v>
      </c>
      <c r="OH17" s="109" t="str">
        <f t="shared" si="92"/>
        <v>A</v>
      </c>
      <c r="OI17" s="81"/>
      <c r="OJ17" s="82"/>
      <c r="OK17" s="83"/>
      <c r="OL17" s="108" t="str">
        <f>IFERROR((((COUNTIF('Elève (5ème3)'!OI17:OK17,"A"))*4)+((COUNTIF('Elève (5ème3)'!OI17:OK17,"B"))*3)+((COUNTIF('Elève (5ème3)'!OI17:OK17,"C"))*2)+((COUNTIF('Elève (5ème3)'!OI17:OK17,"D"))*1))/(COUNTA(OI17:OK17)),"")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(5ème3)'!ON17:OP17,"A"))*4)+((COUNTIF('Elève (5ème3)'!ON17:OP17,"B"))*3)+((COUNTIF('Elève (5ème3)'!ON17:OP17,"C"))*2)+((COUNTIF('Elève (5ème3)'!ON17:OP17,"D"))*1))/(COUNTA(ON17:OP17)),"")</f>
        <v/>
      </c>
      <c r="OR17" s="109" t="str">
        <f t="shared" si="94"/>
        <v/>
      </c>
      <c r="OS17" s="178">
        <f>IF(COUNT(OG17,OL17,OQ17)=0,"",SUM(OG17,OL17,OQ17)/COUNT(OG17,OL17,OQ17))</f>
        <v>4</v>
      </c>
      <c r="OT17" s="134" t="str">
        <f t="shared" si="95"/>
        <v>A</v>
      </c>
      <c r="OU17" s="156" t="s">
        <v>27</v>
      </c>
      <c r="OV17" s="157"/>
      <c r="OW17" s="158"/>
      <c r="OX17" s="108">
        <f>IFERROR((((COUNTIF('Elève (5ème3)'!OU17:OW17,"A"))*4)+((COUNTIF('Elève (5ème3)'!OU17:OW17,"B"))*3)+((COUNTIF('Elève (5ème3)'!OU17:OW17,"C"))*2)+((COUNTIF('Elève (5ème3)'!OU17:OW17,"D"))*1))/(COUNTA(OU17:OW17)),"")</f>
        <v>4</v>
      </c>
      <c r="OY17" s="109" t="str">
        <f t="shared" si="96"/>
        <v>A</v>
      </c>
      <c r="OZ17" s="81"/>
      <c r="PA17" s="82"/>
      <c r="PB17" s="83"/>
      <c r="PC17" s="108" t="str">
        <f>IFERROR((((COUNTIF('Elève (5ème3)'!OZ17:PB17,"A"))*4)+((COUNTIF('Elève (5ème3)'!OZ17:PB17,"B"))*3)+((COUNTIF('Elève (5ème3)'!OZ17:PB17,"C"))*2)+((COUNTIF('Elève (5ème3)'!OZ17:PB17,"D"))*1))/(COUNTA(OZ17:PB17)),"")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(5ème3)'!PE17:PG17,"A"))*4)+((COUNTIF('Elève (5ème3)'!PE17:PG17,"B"))*3)+((COUNTIF('Elève (5ème3)'!PE17:PG17,"C"))*2)+((COUNTIF('Elève (5ème3)'!PE17:PG17,"D"))*1))/(COUNTA(PE17:PG17)),"")</f>
        <v/>
      </c>
      <c r="PI17" s="109" t="str">
        <f t="shared" si="98"/>
        <v/>
      </c>
      <c r="PJ17" s="178">
        <f>IF(COUNT(OX17,PC17,PH17)=0,"",SUM(OX17,PC17,PH17)/COUNT(OX17,PC17,PH17))</f>
        <v>4</v>
      </c>
      <c r="PK17" s="134" t="str">
        <f t="shared" si="99"/>
        <v>A</v>
      </c>
      <c r="PL17" s="156" t="s">
        <v>28</v>
      </c>
      <c r="PM17" s="157"/>
      <c r="PN17" s="158"/>
      <c r="PO17" s="108">
        <f>IFERROR((((COUNTIF('Elève (5ème3)'!PL17:PN17,"A"))*4)+((COUNTIF('Elève (5ème3)'!PL17:PN17,"B"))*3)+((COUNTIF('Elève (5ème3)'!PL17:PN17,"C"))*2)+((COUNTIF('Elève (5ème3)'!PL17:PN17,"D"))*1))/(COUNTA(PL17:PN17)),"")</f>
        <v>3</v>
      </c>
      <c r="PP17" s="109" t="str">
        <f t="shared" si="100"/>
        <v>B</v>
      </c>
      <c r="PQ17" s="81"/>
      <c r="PR17" s="82"/>
      <c r="PS17" s="83"/>
      <c r="PT17" s="108" t="str">
        <f>IFERROR((((COUNTIF('Elève (5ème3)'!PQ17:PS17,"A"))*4)+((COUNTIF('Elève (5ème3)'!PQ17:PS17,"B"))*3)+((COUNTIF('Elève (5ème3)'!PQ17:PS17,"C"))*2)+((COUNTIF('Elève (5ème3)'!PQ17:PS17,"D"))*1))/(COUNTA(PQ17:PS17)),"")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(5ème3)'!PV17:PX17,"A"))*4)+((COUNTIF('Elève (5ème3)'!PV17:PX17,"B"))*3)+((COUNTIF('Elève (5ème3)'!PV17:PX17,"C"))*2)+((COUNTIF('Elève (5ème3)'!PV17:PX17,"D"))*1))/(COUNTA(PV17:PX17)),"")</f>
        <v/>
      </c>
      <c r="PZ17" s="109" t="str">
        <f t="shared" si="102"/>
        <v/>
      </c>
      <c r="QA17" s="178">
        <f>IF(COUNT(PO17,PT17,PY17)=0,"",SUM(PO17,PT17,PY17)/COUNT(PO17,PT17,PY17))</f>
        <v>3</v>
      </c>
      <c r="QB17" s="134" t="str">
        <f t="shared" si="103"/>
        <v>B</v>
      </c>
      <c r="QC17" s="156" t="s">
        <v>28</v>
      </c>
      <c r="QD17" s="157"/>
      <c r="QE17" s="158"/>
      <c r="QF17" s="108">
        <f>IFERROR((((COUNTIF('Elève (5ème3)'!QC17:QE17,"A"))*4)+((COUNTIF('Elève (5ème3)'!QC17:QE17,"B"))*3)+((COUNTIF('Elève (5ème3)'!QC17:QE17,"C"))*2)+((COUNTIF('Elève (5ème3)'!QC17:QE17,"D"))*1))/(COUNTA(QC17:QE17)),"")</f>
        <v>3</v>
      </c>
      <c r="QG17" s="109" t="str">
        <f t="shared" si="104"/>
        <v>B</v>
      </c>
      <c r="QH17" s="81"/>
      <c r="QI17" s="82"/>
      <c r="QJ17" s="83"/>
      <c r="QK17" s="108" t="str">
        <f>IFERROR((((COUNTIF('Elève (5ème3)'!QH17:QJ17,"A"))*4)+((COUNTIF('Elève (5ème3)'!QH17:QJ17,"B"))*3)+((COUNTIF('Elève (5ème3)'!QH17:QJ17,"C"))*2)+((COUNTIF('Elève (5ème3)'!QH17:QJ17,"D"))*1))/(COUNTA(QH17:QJ17)),"")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(5ème3)'!QM17:QO17,"A"))*4)+((COUNTIF('Elève (5ème3)'!QM17:QO17,"B"))*3)+((COUNTIF('Elève (5ème3)'!QM17:QO17,"C"))*2)+((COUNTIF('Elève (5ème3)'!QM17:QO17,"D"))*1))/(COUNTA(QM17:QO17)),"")</f>
        <v/>
      </c>
      <c r="QQ17" s="109" t="str">
        <f t="shared" si="106"/>
        <v/>
      </c>
      <c r="QR17" s="178">
        <f>IF(COUNT(QF17,QK17,QP17)=0,"",SUM(QF17,QK17,QP17)/COUNT(QF17,QK17,QP17))</f>
        <v>3</v>
      </c>
      <c r="QS17" s="134" t="str">
        <f t="shared" si="107"/>
        <v>B</v>
      </c>
      <c r="QT17" s="156" t="s">
        <v>28</v>
      </c>
      <c r="QU17" s="157"/>
      <c r="QV17" s="158"/>
      <c r="QW17" s="108">
        <f>IFERROR((((COUNTIF('Elève (5ème3)'!QT17:QV17,"A"))*4)+((COUNTIF('Elève (5ème3)'!QT17:QV17,"B"))*3)+((COUNTIF('Elève (5ème3)'!QT17:QV17,"C"))*2)+((COUNTIF('Elève (5ème3)'!QT17:QV17,"D"))*1))/(COUNTA(QT17:QV17)),"")</f>
        <v>3</v>
      </c>
      <c r="QX17" s="109" t="str">
        <f t="shared" si="108"/>
        <v>B</v>
      </c>
      <c r="QY17" s="81"/>
      <c r="QZ17" s="82"/>
      <c r="RA17" s="83"/>
      <c r="RB17" s="108" t="str">
        <f>IFERROR((((COUNTIF('Elève (5ème3)'!QY17:RA17,"A"))*4)+((COUNTIF('Elève (5ème3)'!QY17:RA17,"B"))*3)+((COUNTIF('Elève (5ème3)'!QY17:RA17,"C"))*2)+((COUNTIF('Elève (5ème3)'!QY17:RA17,"D"))*1))/(COUNTA(QY17:RA17)),"")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(5ème3)'!RD17:RF17,"A"))*4)+((COUNTIF('Elève (5ème3)'!RD17:RF17,"B"))*3)+((COUNTIF('Elève (5ème3)'!RD17:RF17,"C"))*2)+((COUNTIF('Elève (5ème3)'!RD17:RF17,"D"))*1))/(COUNTA(RD17:RF17)),"")</f>
        <v/>
      </c>
      <c r="RH17" s="109" t="str">
        <f t="shared" si="110"/>
        <v/>
      </c>
      <c r="RI17" s="178">
        <f>IF(COUNT(QW17,RB17,RG17)=0,"",SUM(QW17,RB17,RG17)/COUNT(QW17,RB17,RG17))</f>
        <v>3</v>
      </c>
      <c r="RJ17" s="134" t="str">
        <f t="shared" si="111"/>
        <v>B</v>
      </c>
      <c r="RK17" s="156"/>
      <c r="RL17" s="157"/>
      <c r="RM17" s="158"/>
      <c r="RN17" s="108" t="str">
        <f>IFERROR((((COUNTIF('Elève (5ème3)'!RK17:RM17,"A"))*4)+((COUNTIF('Elève (5ème3)'!RK17:RM17,"B"))*3)+((COUNTIF('Elève (5ème3)'!RK17:RM17,"C"))*2)+((COUNTIF('Elève (5ème3)'!RK17:RM17,"D"))*1))/(COUNTA(RK17:RM17)),"")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(5ème3)'!RP17:RR17,"A"))*4)+((COUNTIF('Elève (5ème3)'!RP17:RR17,"B"))*3)+((COUNTIF('Elève (5ème3)'!RP17:RR17,"C"))*2)+((COUNTIF('Elève (5ème3)'!RP17:RR17,"D"))*1))/(COUNTA(RP17:RR17)),"")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(5ème3)'!RU17:RW17,"A"))*4)+((COUNTIF('Elève (5ème3)'!RU17:RW17,"B"))*3)+((COUNTIF('Elève (5ème3)'!RU17:RW17,"C"))*2)+((COUNTIF('Elève (5ème3)'!RU17:RW17,"D"))*1))/(COUNTA(RU17:RW17)),"")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(5ème3)'!SB17:SD17,"A"))*4)+((COUNTIF('Elève (5ème3)'!SB17:SD17,"B"))*3)+((COUNTIF('Elève (5ème3)'!SB17:SD17,"C"))*2)+((COUNTIF('Elève (5ème3)'!SB17:SD17,"D"))*1))/(COUNTA(SB17:SD17)),"")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(5ème3)'!SG17:SI17,"A"))*4)+((COUNTIF('Elève (5ème3)'!SG17:SI17,"B"))*3)+((COUNTIF('Elève (5ème3)'!SG17:SI17,"C"))*2)+((COUNTIF('Elève (5ème3)'!SG17:SI17,"D"))*1))/(COUNTA(SG17:SI17)),"")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(5ème3)'!SL17:SN17,"A"))*4)+((COUNTIF('Elève (5ème3)'!SL17:SN17,"B"))*3)+((COUNTIF('Elève (5ème3)'!SL17:SN17,"C"))*2)+((COUNTIF('Elève (5ème3)'!SL17:SN17,"D"))*1))/(COUNTA(SL17:SN17)),"")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7" t="s">
        <v>22</v>
      </c>
      <c r="B18" s="228"/>
      <c r="C18" s="156"/>
      <c r="D18" s="157"/>
      <c r="E18" s="158"/>
      <c r="F18" s="110" t="str">
        <f>IFERROR((((COUNTIF('Elève (5ème3)'!C18:E18,"A"))*4)+((COUNTIF('Elève (5ème3)'!C18:E18,"B"))*3)+((COUNTIF('Elève (5ème3)'!C18:E18,"C"))*2)+((COUNTIF('Elève (5ème3)'!C18:E18,"D"))*1))/(COUNTA(C18:E18)),"")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(5ème3)'!H18:J18,"A"))*4)+((COUNTIF('Elève (5ème3)'!H18:J18,"B"))*3)+((COUNTIF('Elève (5ème3)'!H18:J18,"C"))*2)+((COUNTIF('Elève (5ème3)'!H18:J18,"D"))*1))/(COUNTA(H18:J18)),"")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(5ème3)'!M18:O18,"A"))*4)+((COUNTIF('Elève (5ème3)'!M18:O18,"B"))*3)+((COUNTIF('Elève (5ème3)'!M18:O18,"C"))*2)+((COUNTIF('Elève (5ème3)'!M18:O18,"D"))*1))/(COUNTA(M18:O18)),"")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(5ème3)'!T18:V18,"A"))*4)+((COUNTIF('Elève (5ème3)'!T18:V18,"B"))*3)+((COUNTIF('Elève (5ème3)'!T18:V18,"C"))*2)+((COUNTIF('Elève (5ème3)'!T18:V18,"D"))*1))/(COUNTA(T18:V18)),"")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(5ème3)'!Y18:AA18,"A"))*4)+((COUNTIF('Elève (5ème3)'!Y18:AA18,"B"))*3)+((COUNTIF('Elève (5ème3)'!Y18:AA18,"C"))*2)+((COUNTIF('Elève (5ème3)'!Y18:AA18,"D"))*1))/(COUNTA(Y18:AA18)),"")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(5ème3)'!AD18:AF18,"A"))*4)+((COUNTIF('Elève (5ème3)'!AD18:AF18,"B"))*3)+((COUNTIF('Elève (5ème3)'!AD18:AF18,"C"))*2)+((COUNTIF('Elève (5ème3)'!AD18:AF18,"D"))*1))/(COUNTA(AD18:AF18)),"")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(5ème3)'!AK18:AM18,"A"))*4)+((COUNTIF('Elève (5ème3)'!AK18:AM18,"B"))*3)+((COUNTIF('Elève (5ème3)'!AK18:AM18,"C"))*2)+((COUNTIF('Elève (5ème3)'!AK18:AM18,"D"))*1))/(COUNTA(AK18:AM18)),"")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(5ème3)'!AP18:AR18,"A"))*4)+((COUNTIF('Elève (5ème3)'!AP18:AR18,"B"))*3)+((COUNTIF('Elève (5ème3)'!AP18:AR18,"C"))*2)+((COUNTIF('Elève (5ème3)'!AP18:AR18,"D"))*1))/(COUNTA(AP18:AR18)),"")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(5ème3)'!AU18:AW18,"A"))*4)+((COUNTIF('Elève (5ème3)'!AU18:AW18,"B"))*3)+((COUNTIF('Elève (5ème3)'!AU18:AW18,"C"))*2)+((COUNTIF('Elève (5ème3)'!AU18:AW18,"D"))*1))/(COUNTA(AU18:AW18)),"")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(5ème3)'!BB18:BD18,"A"))*4)+((COUNTIF('Elève (5ème3)'!BB18:BD18,"B"))*3)+((COUNTIF('Elève (5ème3)'!BB18:BD18,"C"))*2)+((COUNTIF('Elève (5ème3)'!BB18:BD18,"D"))*1))/(COUNTA(BB18:BD18)),"")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(5ème3)'!BG18:BI18,"A"))*4)+((COUNTIF('Elève (5ème3)'!BG18:BI18,"B"))*3)+((COUNTIF('Elève (5ème3)'!BG18:BI18,"C"))*2)+((COUNTIF('Elève (5ème3)'!BG18:BI18,"D"))*1))/(COUNTA(BG18:BI18)),"")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(5ème3)'!BL18:BN18,"A"))*4)+((COUNTIF('Elève (5ème3)'!BL18:BN18,"B"))*3)+((COUNTIF('Elève (5ème3)'!BL18:BN18,"C"))*2)+((COUNTIF('Elève (5ème3)'!BL18:BN18,"D"))*1))/(COUNTA(BL18:BN18)),"")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(5ème3)'!BS18:BU18,"A"))*4)+((COUNTIF('Elève (5ème3)'!BS18:BU18,"B"))*3)+((COUNTIF('Elève (5ème3)'!BS18:BU18,"C"))*2)+((COUNTIF('Elève (5ème3)'!BS18:BU18,"D"))*1))/(COUNTA(BS18:BU18)),"")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(5ème3)'!BX18:BZ18,"A"))*4)+((COUNTIF('Elève (5ème3)'!BX18:BZ18,"B"))*3)+((COUNTIF('Elève (5ème3)'!BX18:BZ18,"C"))*2)+((COUNTIF('Elève (5ème3)'!BX18:BZ18,"D"))*1))/(COUNTA(BX18:BZ18)),"")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(5ème3)'!CC18:CE18,"A"))*4)+((COUNTIF('Elève (5ème3)'!CC18:CE18,"B"))*3)+((COUNTIF('Elève (5ème3)'!CC18:CE18,"C"))*2)+((COUNTIF('Elève (5ème3)'!CC18:CE18,"D"))*1))/(COUNTA(CC18:CE18)),"")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(5ème3)'!CJ18:CL18,"A"))*4)+((COUNTIF('Elève (5ème3)'!CJ18:CL18,"B"))*3)+((COUNTIF('Elève (5ème3)'!CJ18:CL18,"C"))*2)+((COUNTIF('Elève (5ème3)'!CJ18:CL18,"D"))*1))/(COUNTA(CJ18:CL18)),"")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(5ème3)'!CO18:CQ18,"A"))*4)+((COUNTIF('Elève (5ème3)'!CO18:CQ18,"B"))*3)+((COUNTIF('Elève (5ème3)'!CO18:CQ18,"C"))*2)+((COUNTIF('Elève (5ème3)'!CO18:CQ18,"D"))*1))/(COUNTA(CO18:CQ18)),"")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(5ème3)'!CT18:CV18,"A"))*4)+((COUNTIF('Elève (5ème3)'!CT18:CV18,"B"))*3)+((COUNTIF('Elève (5ème3)'!CT18:CV18,"C"))*2)+((COUNTIF('Elève (5ème3)'!CT18:CV18,"D"))*1))/(COUNTA(CT18:CV18)),"")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(5ème3)'!DA18:DC18,"A"))*4)+((COUNTIF('Elève (5ème3)'!DA18:DC18,"B"))*3)+((COUNTIF('Elève (5ème3)'!DA18:DC18,"C"))*2)+((COUNTIF('Elève (5ème3)'!DA18:DC18,"D"))*1))/(COUNTA(DA18:DC18)),"")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(5ème3)'!DF18:DH18,"A"))*4)+((COUNTIF('Elève (5ème3)'!DF18:DH18,"B"))*3)+((COUNTIF('Elève (5ème3)'!DF18:DH18,"C"))*2)+((COUNTIF('Elève (5ème3)'!DF18:DH18,"D"))*1))/(COUNTA(DF18:DH18)),"")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(5ème3)'!DK18:DM18,"A"))*4)+((COUNTIF('Elève (5ème3)'!DK18:DM18,"B"))*3)+((COUNTIF('Elève (5ème3)'!DK18:DM18,"C"))*2)+((COUNTIF('Elève (5ème3)'!DK18:DM18,"D"))*1))/(COUNTA(DK18:DM18)),"")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(5ème3)'!DR18:DT18,"A"))*4)+((COUNTIF('Elève (5ème3)'!DR18:DT18,"B"))*3)+((COUNTIF('Elève (5ème3)'!DR18:DT18,"C"))*2)+((COUNTIF('Elève (5ème3)'!DR18:DT18,"D"))*1))/(COUNTA(DR18:DT18)),"")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(5ème3)'!DW18:DY18,"A"))*4)+((COUNTIF('Elève (5ème3)'!DW18:DY18,"B"))*3)+((COUNTIF('Elève (5ème3)'!DW18:DY18,"C"))*2)+((COUNTIF('Elève (5ème3)'!DW18:DY18,"D"))*1))/(COUNTA(DW18:DY18)),"")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(5ème3)'!EB18:ED18,"A"))*4)+((COUNTIF('Elève (5ème3)'!EB18:ED18,"B"))*3)+((COUNTIF('Elève (5ème3)'!EB18:ED18,"C"))*2)+((COUNTIF('Elève (5ème3)'!EB18:ED18,"D"))*1))/(COUNTA(EB18:ED18)),"")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(5ème3)'!EI18:EK18,"A"))*4)+((COUNTIF('Elève (5ème3)'!EI18:EK18,"B"))*3)+((COUNTIF('Elève (5ème3)'!EI18:EK18,"C"))*2)+((COUNTIF('Elève (5ème3)'!EI18:EK18,"D"))*1))/(COUNTA(EI18:EK18)),"")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(5ème3)'!EN18:EP18,"A"))*4)+((COUNTIF('Elève (5ème3)'!EN18:EP18,"B"))*3)+((COUNTIF('Elève (5ème3)'!EN18:EP18,"C"))*2)+((COUNTIF('Elève (5ème3)'!EN18:EP18,"D"))*1))/(COUNTA(EN18:EP18)),"")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(5ème3)'!ES18:EU18,"A"))*4)+((COUNTIF('Elève (5ème3)'!ES18:EU18,"B"))*3)+((COUNTIF('Elève (5ème3)'!ES18:EU18,"C"))*2)+((COUNTIF('Elève (5ème3)'!ES18:EU18,"D"))*1))/(COUNTA(ES18:EU18)),"")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(5ème3)'!EZ18:FB18,"A"))*4)+((COUNTIF('Elève (5ème3)'!EZ18:FB18,"B"))*3)+((COUNTIF('Elève (5ème3)'!EZ18:FB18,"C"))*2)+((COUNTIF('Elève (5ème3)'!EZ18:FB18,"D"))*1))/(COUNTA(EZ18:FB18)),"")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(5ème3)'!FE18:FG18,"A"))*4)+((COUNTIF('Elève (5ème3)'!FE18:FG18,"B"))*3)+((COUNTIF('Elève (5ème3)'!FE18:FG18,"C"))*2)+((COUNTIF('Elève (5ème3)'!FE18:FG18,"D"))*1))/(COUNTA(FE18:FG18)),"")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(5ème3)'!FJ18:FL18,"A"))*4)+((COUNTIF('Elève (5ème3)'!FJ18:FL18,"B"))*3)+((COUNTIF('Elève (5ème3)'!FJ18:FL18,"C"))*2)+((COUNTIF('Elève (5ème3)'!FJ18:FL18,"D"))*1))/(COUNTA(FJ18:FL18)),"")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(5ème3)'!FQ18:FS18,"A"))*4)+((COUNTIF('Elève (5ème3)'!FQ18:FS18,"B"))*3)+((COUNTIF('Elève (5ème3)'!FQ18:FS18,"C"))*2)+((COUNTIF('Elève (5ème3)'!FQ18:FS18,"D"))*1))/(COUNTA(FQ18:FS18)),"")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(5ème3)'!FV18:FX18,"A"))*4)+((COUNTIF('Elève (5ème3)'!FV18:FX18,"B"))*3)+((COUNTIF('Elève (5ème3)'!FV18:FX18,"C"))*2)+((COUNTIF('Elève (5ème3)'!FV18:FX18,"D"))*1))/(COUNTA(FV18:FX18)),"")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(5ème3)'!GA18:GC18,"A"))*4)+((COUNTIF('Elève (5ème3)'!GA18:GC18,"B"))*3)+((COUNTIF('Elève (5ème3)'!GA18:GC18,"C"))*2)+((COUNTIF('Elève (5ème3)'!GA18:GC18,"D"))*1))/(COUNTA(GA18:GC18)),"")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(5ème3)'!GH18:GJ18,"A"))*4)+((COUNTIF('Elève (5ème3)'!GH18:GJ18,"B"))*3)+((COUNTIF('Elève (5ème3)'!GH18:GJ18,"C"))*2)+((COUNTIF('Elève (5ème3)'!GH18:GJ18,"D"))*1))/(COUNTA(GH18:GJ18)),"")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(5ème3)'!GM18:GO18,"A"))*4)+((COUNTIF('Elève (5ème3)'!GM18:GO18,"B"))*3)+((COUNTIF('Elève (5ème3)'!GM18:GO18,"C"))*2)+((COUNTIF('Elève (5ème3)'!GM18:GO18,"D"))*1))/(COUNTA(GM18:GO18)),"")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(5ème3)'!GR18:GT18,"A"))*4)+((COUNTIF('Elève (5ème3)'!GR18:GT18,"B"))*3)+((COUNTIF('Elève (5ème3)'!GR18:GT18,"C"))*2)+((COUNTIF('Elève (5ème3)'!GR18:GT18,"D"))*1))/(COUNTA(GR18:GT18)),"")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(5ème3)'!GY18:HA18,"A"))*4)+((COUNTIF('Elève (5ème3)'!GY18:HA18,"B"))*3)+((COUNTIF('Elève (5ème3)'!GY18:HA18,"C"))*2)+((COUNTIF('Elève (5ème3)'!GY18:HA18,"D"))*1))/(COUNTA(GY18:HA18)),"")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(5ème3)'!HD18:HF18,"A"))*4)+((COUNTIF('Elève (5ème3)'!HD18:HF18,"B"))*3)+((COUNTIF('Elève (5ème3)'!HD18:HF18,"C"))*2)+((COUNTIF('Elève (5ème3)'!HD18:HF18,"D"))*1))/(COUNTA(HD18:HF18)),"")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(5ème3)'!HI18:HK18,"A"))*4)+((COUNTIF('Elève (5ème3)'!HI18:HK18,"B"))*3)+((COUNTIF('Elève (5ème3)'!HI18:HK18,"C"))*2)+((COUNTIF('Elève (5ème3)'!HI18:HK18,"D"))*1))/(COUNTA(HI18:HK18)),"")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(5ème3)'!HP18:HR18,"A"))*4)+((COUNTIF('Elève (5ème3)'!HP18:HR18,"B"))*3)+((COUNTIF('Elève (5ème3)'!HP18:HR18,"C"))*2)+((COUNTIF('Elève (5ème3)'!HP18:HR18,"D"))*1))/(COUNTA(HP18:HR18)),"")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(5ème3)'!HU18:HW18,"A"))*4)+((COUNTIF('Elève (5ème3)'!HU18:HW18,"B"))*3)+((COUNTIF('Elève (5ème3)'!HU18:HW18,"C"))*2)+((COUNTIF('Elève (5ème3)'!HU18:HW18,"D"))*1))/(COUNTA(HU18:HW18)),"")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(5ème3)'!HZ18:IB18,"A"))*4)+((COUNTIF('Elève (5ème3)'!HZ18:IB18,"B"))*3)+((COUNTIF('Elève (5ème3)'!HZ18:IB18,"C"))*2)+((COUNTIF('Elève (5ème3)'!HZ18:IB18,"D"))*1))/(COUNTA(HZ18:IB18)),"")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(5ème3)'!IG18:II18,"A"))*4)+((COUNTIF('Elève (5ème3)'!IG18:II18,"B"))*3)+((COUNTIF('Elève (5ème3)'!IG18:II18,"C"))*2)+((COUNTIF('Elève (5ème3)'!IG18:II18,"D"))*1))/(COUNTA(IG18:II18)),"")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(5ème3)'!IL18:IN18,"A"))*4)+((COUNTIF('Elève (5ème3)'!IL18:IN18,"B"))*3)+((COUNTIF('Elève (5ème3)'!IL18:IN18,"C"))*2)+((COUNTIF('Elève (5ème3)'!IL18:IN18,"D"))*1))/(COUNTA(IL18:IN18)),"")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(5ème3)'!IQ18:IS18,"A"))*4)+((COUNTIF('Elève (5ème3)'!IQ18:IS18,"B"))*3)+((COUNTIF('Elève (5ème3)'!IQ18:IS18,"C"))*2)+((COUNTIF('Elève (5ème3)'!IQ18:IS18,"D"))*1))/(COUNTA(IQ18:IS18)),"")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(5ème3)'!IX18:IZ18,"A"))*4)+((COUNTIF('Elève (5ème3)'!IX18:IZ18,"B"))*3)+((COUNTIF('Elève (5ème3)'!IX18:IZ18,"C"))*2)+((COUNTIF('Elève (5ème3)'!IX18:IZ18,"D"))*1))/(COUNTA(IX18:IZ18)),"")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(5ème3)'!JC18:JE18,"A"))*4)+((COUNTIF('Elève (5ème3)'!JC18:JE18,"B"))*3)+((COUNTIF('Elève (5ème3)'!JC18:JE18,"C"))*2)+((COUNTIF('Elève (5ème3)'!JC18:JE18,"D"))*1))/(COUNTA(JC18:JE18)),"")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(5ème3)'!JH18:JJ18,"A"))*4)+((COUNTIF('Elève (5ème3)'!JH18:JJ18,"B"))*3)+((COUNTIF('Elève (5ème3)'!JH18:JJ18,"C"))*2)+((COUNTIF('Elève (5ème3)'!JH18:JJ18,"D"))*1))/(COUNTA(JH18:JJ18)),"")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(5ème3)'!JO18:JQ18,"A"))*4)+((COUNTIF('Elève (5ème3)'!JO18:JQ18,"B"))*3)+((COUNTIF('Elève (5ème3)'!JO18:JQ18,"C"))*2)+((COUNTIF('Elève (5ème3)'!JO18:JQ18,"D"))*1))/(COUNTA(JO18:JQ18)),"")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(5ème3)'!JT18:JV18,"A"))*4)+((COUNTIF('Elève (5ème3)'!JT18:JV18,"B"))*3)+((COUNTIF('Elève (5ème3)'!JT18:JV18,"C"))*2)+((COUNTIF('Elève (5ème3)'!JT18:JV18,"D"))*1))/(COUNTA(JT18:JV18)),"")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(5ème3)'!JY18:KA18,"A"))*4)+((COUNTIF('Elève (5ème3)'!JY18:KA18,"B"))*3)+((COUNTIF('Elève (5ème3)'!JY18:KA18,"C"))*2)+((COUNTIF('Elève (5ème3)'!JY18:KA18,"D"))*1))/(COUNTA(JY18:KA18)),"")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(5ème3)'!KF18:KH18,"A"))*4)+((COUNTIF('Elève (5ème3)'!KF18:KH18,"B"))*3)+((COUNTIF('Elève (5ème3)'!KF18:KH18,"C"))*2)+((COUNTIF('Elève (5ème3)'!KF18:KH18,"D"))*1))/(COUNTA(KF18:KH18)),"")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(5ème3)'!KK18:KM18,"A"))*4)+((COUNTIF('Elève (5ème3)'!KK18:KM18,"B"))*3)+((COUNTIF('Elève (5ème3)'!KK18:KM18,"C"))*2)+((COUNTIF('Elève (5ème3)'!KK18:KM18,"D"))*1))/(COUNTA(KK18:KM18)),"")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(5ème3)'!KP18:KR18,"A"))*4)+((COUNTIF('Elève (5ème3)'!KP18:KR18,"B"))*3)+((COUNTIF('Elève (5ème3)'!KP18:KR18,"C"))*2)+((COUNTIF('Elève (5ème3)'!KP18:KR18,"D"))*1))/(COUNTA(KP18:KR18)),"")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(5ème3)'!KW18:KY18,"A"))*4)+((COUNTIF('Elève (5ème3)'!KW18:KY18,"B"))*3)+((COUNTIF('Elève (5ème3)'!KW18:KY18,"C"))*2)+((COUNTIF('Elève (5ème3)'!KW18:KY18,"D"))*1))/(COUNTA(KW18:KY18)),"")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(5ème3)'!LB18:LD18,"A"))*4)+((COUNTIF('Elève (5ème3)'!LB18:LD18,"B"))*3)+((COUNTIF('Elève (5ème3)'!LB18:LD18,"C"))*2)+((COUNTIF('Elève (5ème3)'!LB18:LD18,"D"))*1))/(COUNTA(LB18:LD18)),"")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(5ème3)'!LG18:LI18,"A"))*4)+((COUNTIF('Elève (5ème3)'!LG18:LI18,"B"))*3)+((COUNTIF('Elève (5ème3)'!LG18:LI18,"C"))*2)+((COUNTIF('Elève (5ème3)'!LG18:LI18,"D"))*1))/(COUNTA(LG18:LI18)),"")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(5ème3)'!LN18:LP18,"A"))*4)+((COUNTIF('Elève (5ème3)'!LN18:LP18,"B"))*3)+((COUNTIF('Elève (5ème3)'!LN18:LP18,"C"))*2)+((COUNTIF('Elève (5ème3)'!LN18:LP18,"D"))*1))/(COUNTA(LN18:LP18)),"")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(5ème3)'!LS18:LU18,"A"))*4)+((COUNTIF('Elève (5ème3)'!LS18:LU18,"B"))*3)+((COUNTIF('Elève (5ème3)'!LS18:LU18,"C"))*2)+((COUNTIF('Elève (5ème3)'!LS18:LU18,"D"))*1))/(COUNTA(LS18:LU18)),"")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(5ème3)'!LX18:LZ18,"A"))*4)+((COUNTIF('Elève (5ème3)'!LX18:LZ18,"B"))*3)+((COUNTIF('Elève (5ème3)'!LX18:LZ18,"C"))*2)+((COUNTIF('Elève (5ème3)'!LX18:LZ18,"D"))*1))/(COUNTA(LX18:LZ18)),"")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(5ème3)'!ME18:MG18,"A"))*4)+((COUNTIF('Elève (5ème3)'!ME18:MG18,"B"))*3)+((COUNTIF('Elève (5ème3)'!ME18:MG18,"C"))*2)+((COUNTIF('Elève (5ème3)'!ME18:MG18,"D"))*1))/(COUNTA(ME18:MG18)),"")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(5ème3)'!MJ18:ML18,"A"))*4)+((COUNTIF('Elève (5ème3)'!MJ18:ML18,"B"))*3)+((COUNTIF('Elève (5ème3)'!MJ18:ML18,"C"))*2)+((COUNTIF('Elève (5ème3)'!MJ18:ML18,"D"))*1))/(COUNTA(MJ18:ML18)),"")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(5ème3)'!MO18:MQ18,"A"))*4)+((COUNTIF('Elève (5ème3)'!MO18:MQ18,"B"))*3)+((COUNTIF('Elève (5ème3)'!MO18:MQ18,"C"))*2)+((COUNTIF('Elève (5ème3)'!MO18:MQ18,"D"))*1))/(COUNTA(MO18:MQ18)),"")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(5ème3)'!MV18:MX18,"A"))*4)+((COUNTIF('Elève (5ème3)'!MV18:MX18,"B"))*3)+((COUNTIF('Elève (5ème3)'!MV18:MX18,"C"))*2)+((COUNTIF('Elève (5ème3)'!MV18:MX18,"D"))*1))/(COUNTA(MV18:MX18)),"")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(5ème3)'!NA18:NC18,"A"))*4)+((COUNTIF('Elève (5ème3)'!NA18:NC18,"B"))*3)+((COUNTIF('Elève (5ème3)'!NA18:NC18,"C"))*2)+((COUNTIF('Elève (5ème3)'!NA18:NC18,"D"))*1))/(COUNTA(NA18:NC18)),"")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(5ème3)'!NF18:NH18,"A"))*4)+((COUNTIF('Elève (5ème3)'!NF18:NH18,"B"))*3)+((COUNTIF('Elève (5ème3)'!NF18:NH18,"C"))*2)+((COUNTIF('Elève (5ème3)'!NF18:NH18,"D"))*1))/(COUNTA(NF18:NH18)),"")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(5ème3)'!NM18:NO18,"A"))*4)+((COUNTIF('Elève (5ème3)'!NM18:NO18,"B"))*3)+((COUNTIF('Elève (5ème3)'!NM18:NO18,"C"))*2)+((COUNTIF('Elève (5ème3)'!NM18:NO18,"D"))*1))/(COUNTA(NM18:NO18)),"")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(5ème3)'!NR18:NT18,"A"))*4)+((COUNTIF('Elève (5ème3)'!NR18:NT18,"B"))*3)+((COUNTIF('Elève (5ème3)'!NR18:NT18,"C"))*2)+((COUNTIF('Elève (5ème3)'!NR18:NT18,"D"))*1))/(COUNTA(NR18:NT18)),"")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(5ème3)'!NW18:NY18,"A"))*4)+((COUNTIF('Elève (5ème3)'!NW18:NY18,"B"))*3)+((COUNTIF('Elève (5ème3)'!NW18:NY18,"C"))*2)+((COUNTIF('Elève (5ème3)'!NW18:NY18,"D"))*1))/(COUNTA(NW18:NY18)),"")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(5ème3)'!OD18:OF18,"A"))*4)+((COUNTIF('Elève (5ème3)'!OD18:OF18,"B"))*3)+((COUNTIF('Elève (5ème3)'!OD18:OF18,"C"))*2)+((COUNTIF('Elève (5ème3)'!OD18:OF18,"D"))*1))/(COUNTA(OD18:OF18)),"")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(5ème3)'!OI18:OK18,"A"))*4)+((COUNTIF('Elève (5ème3)'!OI18:OK18,"B"))*3)+((COUNTIF('Elève (5ème3)'!OI18:OK18,"C"))*2)+((COUNTIF('Elève (5ème3)'!OI18:OK18,"D"))*1))/(COUNTA(OI18:OK18)),"")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(5ème3)'!ON18:OP18,"A"))*4)+((COUNTIF('Elève (5ème3)'!ON18:OP18,"B"))*3)+((COUNTIF('Elève (5ème3)'!ON18:OP18,"C"))*2)+((COUNTIF('Elève (5ème3)'!ON18:OP18,"D"))*1))/(COUNTA(ON18:OP18)),"")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(5ème3)'!OU18:OW18,"A"))*4)+((COUNTIF('Elève (5ème3)'!OU18:OW18,"B"))*3)+((COUNTIF('Elève (5ème3)'!OU18:OW18,"C"))*2)+((COUNTIF('Elève (5ème3)'!OU18:OW18,"D"))*1))/(COUNTA(OU18:OW18)),"")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(5ème3)'!OZ18:PB18,"A"))*4)+((COUNTIF('Elève (5ème3)'!OZ18:PB18,"B"))*3)+((COUNTIF('Elève (5ème3)'!OZ18:PB18,"C"))*2)+((COUNTIF('Elève (5ème3)'!OZ18:PB18,"D"))*1))/(COUNTA(OZ18:PB18)),"")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(5ème3)'!PE18:PG18,"A"))*4)+((COUNTIF('Elève (5ème3)'!PE18:PG18,"B"))*3)+((COUNTIF('Elève (5ème3)'!PE18:PG18,"C"))*2)+((COUNTIF('Elève (5ème3)'!PE18:PG18,"D"))*1))/(COUNTA(PE18:PG18)),"")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(5ème3)'!PL18:PN18,"A"))*4)+((COUNTIF('Elève (5ème3)'!PL18:PN18,"B"))*3)+((COUNTIF('Elève (5ème3)'!PL18:PN18,"C"))*2)+((COUNTIF('Elève (5ème3)'!PL18:PN18,"D"))*1))/(COUNTA(PL18:PN18)),"")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(5ème3)'!PQ18:PS18,"A"))*4)+((COUNTIF('Elève (5ème3)'!PQ18:PS18,"B"))*3)+((COUNTIF('Elève (5ème3)'!PQ18:PS18,"C"))*2)+((COUNTIF('Elève (5ème3)'!PQ18:PS18,"D"))*1))/(COUNTA(PQ18:PS18)),"")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(5ème3)'!PV18:PX18,"A"))*4)+((COUNTIF('Elève (5ème3)'!PV18:PX18,"B"))*3)+((COUNTIF('Elève (5ème3)'!PV18:PX18,"C"))*2)+((COUNTIF('Elève (5ème3)'!PV18:PX18,"D"))*1))/(COUNTA(PV18:PX18)),"")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(5ème3)'!QC18:QE18,"A"))*4)+((COUNTIF('Elève (5ème3)'!QC18:QE18,"B"))*3)+((COUNTIF('Elève (5ème3)'!QC18:QE18,"C"))*2)+((COUNTIF('Elève (5ème3)'!QC18:QE18,"D"))*1))/(COUNTA(QC18:QE18)),"")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(5ème3)'!QH18:QJ18,"A"))*4)+((COUNTIF('Elève (5ème3)'!QH18:QJ18,"B"))*3)+((COUNTIF('Elève (5ème3)'!QH18:QJ18,"C"))*2)+((COUNTIF('Elève (5ème3)'!QH18:QJ18,"D"))*1))/(COUNTA(QH18:QJ18)),"")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(5ème3)'!QM18:QO18,"A"))*4)+((COUNTIF('Elève (5ème3)'!QM18:QO18,"B"))*3)+((COUNTIF('Elève (5ème3)'!QM18:QO18,"C"))*2)+((COUNTIF('Elève (5ème3)'!QM18:QO18,"D"))*1))/(COUNTA(QM18:QO18)),"")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(5ème3)'!QT18:QV18,"A"))*4)+((COUNTIF('Elève (5ème3)'!QT18:QV18,"B"))*3)+((COUNTIF('Elève (5ème3)'!QT18:QV18,"C"))*2)+((COUNTIF('Elève (5ème3)'!QT18:QV18,"D"))*1))/(COUNTA(QT18:QV18)),"")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(5ème3)'!QY18:RA18,"A"))*4)+((COUNTIF('Elève (5ème3)'!QY18:RA18,"B"))*3)+((COUNTIF('Elève (5ème3)'!QY18:RA18,"C"))*2)+((COUNTIF('Elève (5ème3)'!QY18:RA18,"D"))*1))/(COUNTA(QY18:RA18)),"")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(5ème3)'!RD18:RF18,"A"))*4)+((COUNTIF('Elève (5ème3)'!RD18:RF18,"B"))*3)+((COUNTIF('Elève (5ème3)'!RD18:RF18,"C"))*2)+((COUNTIF('Elève (5ème3)'!RD18:RF18,"D"))*1))/(COUNTA(RD18:RF18)),"")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(5ème3)'!RK18:RM18,"A"))*4)+((COUNTIF('Elève (5ème3)'!RK18:RM18,"B"))*3)+((COUNTIF('Elève (5ème3)'!RK18:RM18,"C"))*2)+((COUNTIF('Elève (5ème3)'!RK18:RM18,"D"))*1))/(COUNTA(RK18:RM18)),"")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(5ème3)'!RP18:RR18,"A"))*4)+((COUNTIF('Elève (5ème3)'!RP18:RR18,"B"))*3)+((COUNTIF('Elève (5ème3)'!RP18:RR18,"C"))*2)+((COUNTIF('Elève (5ème3)'!RP18:RR18,"D"))*1))/(COUNTA(RP18:RR18)),"")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(5ème3)'!RU18:RW18,"A"))*4)+((COUNTIF('Elève (5ème3)'!RU18:RW18,"B"))*3)+((COUNTIF('Elève (5ème3)'!RU18:RW18,"C"))*2)+((COUNTIF('Elève (5ème3)'!RU18:RW18,"D"))*1))/(COUNTA(RU18:RW18)),"")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(5ème3)'!SB18:SD18,"A"))*4)+((COUNTIF('Elève (5ème3)'!SB18:SD18,"B"))*3)+((COUNTIF('Elève (5ème3)'!SB18:SD18,"C"))*2)+((COUNTIF('Elève (5ème3)'!SB18:SD18,"D"))*1))/(COUNTA(SB18:SD18)),"")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(5ème3)'!SG18:SI18,"A"))*4)+((COUNTIF('Elève (5ème3)'!SG18:SI18,"B"))*3)+((COUNTIF('Elève (5ème3)'!SG18:SI18,"C"))*2)+((COUNTIF('Elève (5ème3)'!SG18:SI18,"D"))*1))/(COUNTA(SG18:SI18)),"")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(5ème3)'!SL18:SN18,"A"))*4)+((COUNTIF('Elève (5ème3)'!SL18:SN18,"B"))*3)+((COUNTIF('Elève (5ème3)'!SL18:SN18,"C"))*2)+((COUNTIF('Elève (5ème3)'!SL18:SN18,"D"))*1))/(COUNTA(SL18:SN18)),"")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25" t="s">
        <v>23</v>
      </c>
      <c r="B19" s="226"/>
      <c r="C19" s="159"/>
      <c r="D19" s="160"/>
      <c r="E19" s="161"/>
      <c r="F19" s="136" t="str">
        <f>IFERROR((((COUNTIF('Elève (5ème3)'!C19:E19,"A"))*4)+((COUNTIF('Elève (5ème3)'!C19:E19,"B"))*3)+((COUNTIF('Elève (5ème3)'!C19:E19,"C"))*2)+((COUNTIF('Elève (5ème3)'!C19:E19,"D"))*1))/(COUNTA(C19:E19)),"")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(5ème3)'!H19:J19,"A"))*4)+((COUNTIF('Elève (5ème3)'!H19:J19,"B"))*3)+((COUNTIF('Elève (5ème3)'!H19:J19,"C"))*2)+((COUNTIF('Elève (5ème3)'!H19:J19,"D"))*1))/(COUNTA(H19:J19)),"")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(5ème3)'!M19:O19,"A"))*4)+((COUNTIF('Elève (5ème3)'!M19:O19,"B"))*3)+((COUNTIF('Elève (5ème3)'!M19:O19,"C"))*2)+((COUNTIF('Elève (5ème3)'!M19:O19,"D"))*1))/(COUNTA(M19:O19)),"")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(5ème3)'!T19:V19,"A"))*4)+((COUNTIF('Elève (5ème3)'!T19:V19,"B"))*3)+((COUNTIF('Elève (5ème3)'!T19:V19,"C"))*2)+((COUNTIF('Elève (5ème3)'!T19:V19,"D"))*1))/(COUNTA(T19:V19)),"")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(5ème3)'!Y19:AA19,"A"))*4)+((COUNTIF('Elève (5ème3)'!Y19:AA19,"B"))*3)+((COUNTIF('Elève (5ème3)'!Y19:AA19,"C"))*2)+((COUNTIF('Elève (5ème3)'!Y19:AA19,"D"))*1))/(COUNTA(Y19:AA19)),"")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(5ème3)'!AD19:AF19,"A"))*4)+((COUNTIF('Elève (5ème3)'!AD19:AF19,"B"))*3)+((COUNTIF('Elève (5ème3)'!AD19:AF19,"C"))*2)+((COUNTIF('Elève (5ème3)'!AD19:AF19,"D"))*1))/(COUNTA(AD19:AF19)),"")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(5ème3)'!AK19:AM19,"A"))*4)+((COUNTIF('Elève (5ème3)'!AK19:AM19,"B"))*3)+((COUNTIF('Elève (5ème3)'!AK19:AM19,"C"))*2)+((COUNTIF('Elève (5ème3)'!AK19:AM19,"D"))*1))/(COUNTA(AK19:AM19)),"")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(5ème3)'!AP19:AR19,"A"))*4)+((COUNTIF('Elève (5ème3)'!AP19:AR19,"B"))*3)+((COUNTIF('Elève (5ème3)'!AP19:AR19,"C"))*2)+((COUNTIF('Elève (5ème3)'!AP19:AR19,"D"))*1))/(COUNTA(AP19:AR19)),"")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(5ème3)'!AU19:AW19,"A"))*4)+((COUNTIF('Elève (5ème3)'!AU19:AW19,"B"))*3)+((COUNTIF('Elève (5ème3)'!AU19:AW19,"C"))*2)+((COUNTIF('Elève (5ème3)'!AU19:AW19,"D"))*1))/(COUNTA(AU19:AW19)),"")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(5ème3)'!BB19:BD19,"A"))*4)+((COUNTIF('Elève (5ème3)'!BB19:BD19,"B"))*3)+((COUNTIF('Elève (5ème3)'!BB19:BD19,"C"))*2)+((COUNTIF('Elève (5ème3)'!BB19:BD19,"D"))*1))/(COUNTA(BB19:BD19)),"")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(5ème3)'!BG19:BI19,"A"))*4)+((COUNTIF('Elève (5ème3)'!BG19:BI19,"B"))*3)+((COUNTIF('Elève (5ème3)'!BG19:BI19,"C"))*2)+((COUNTIF('Elève (5ème3)'!BG19:BI19,"D"))*1))/(COUNTA(BG19:BI19)),"")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(5ème3)'!BL19:BN19,"A"))*4)+((COUNTIF('Elève (5ème3)'!BL19:BN19,"B"))*3)+((COUNTIF('Elève (5ème3)'!BL19:BN19,"C"))*2)+((COUNTIF('Elève (5ème3)'!BL19:BN19,"D"))*1))/(COUNTA(BL19:BN19)),"")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(5ème3)'!BS19:BU19,"A"))*4)+((COUNTIF('Elève (5ème3)'!BS19:BU19,"B"))*3)+((COUNTIF('Elève (5ème3)'!BS19:BU19,"C"))*2)+((COUNTIF('Elève (5ème3)'!BS19:BU19,"D"))*1))/(COUNTA(BS19:BU19)),"")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(5ème3)'!BX19:BZ19,"A"))*4)+((COUNTIF('Elève (5ème3)'!BX19:BZ19,"B"))*3)+((COUNTIF('Elève (5ème3)'!BX19:BZ19,"C"))*2)+((COUNTIF('Elève (5ème3)'!BX19:BZ19,"D"))*1))/(COUNTA(BX19:BZ19)),"")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(5ème3)'!CC19:CE19,"A"))*4)+((COUNTIF('Elève (5ème3)'!CC19:CE19,"B"))*3)+((COUNTIF('Elève (5ème3)'!CC19:CE19,"C"))*2)+((COUNTIF('Elève (5ème3)'!CC19:CE19,"D"))*1))/(COUNTA(CC19:CE19)),"")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(5ème3)'!CJ19:CL19,"A"))*4)+((COUNTIF('Elève (5ème3)'!CJ19:CL19,"B"))*3)+((COUNTIF('Elève (5ème3)'!CJ19:CL19,"C"))*2)+((COUNTIF('Elève (5ème3)'!CJ19:CL19,"D"))*1))/(COUNTA(CJ19:CL19)),"")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(5ème3)'!CO19:CQ19,"A"))*4)+((COUNTIF('Elève (5ème3)'!CO19:CQ19,"B"))*3)+((COUNTIF('Elève (5ème3)'!CO19:CQ19,"C"))*2)+((COUNTIF('Elève (5ème3)'!CO19:CQ19,"D"))*1))/(COUNTA(CO19:CQ19)),"")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(5ème3)'!CT19:CV19,"A"))*4)+((COUNTIF('Elève (5ème3)'!CT19:CV19,"B"))*3)+((COUNTIF('Elève (5ème3)'!CT19:CV19,"C"))*2)+((COUNTIF('Elève (5ème3)'!CT19:CV19,"D"))*1))/(COUNTA(CT19:CV19)),"")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(5ème3)'!DA19:DC19,"A"))*4)+((COUNTIF('Elève (5ème3)'!DA19:DC19,"B"))*3)+((COUNTIF('Elève (5ème3)'!DA19:DC19,"C"))*2)+((COUNTIF('Elève (5ème3)'!DA19:DC19,"D"))*1))/(COUNTA(DA19:DC19)),"")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(5ème3)'!DF19:DH19,"A"))*4)+((COUNTIF('Elève (5ème3)'!DF19:DH19,"B"))*3)+((COUNTIF('Elève (5ème3)'!DF19:DH19,"C"))*2)+((COUNTIF('Elève (5ème3)'!DF19:DH19,"D"))*1))/(COUNTA(DF19:DH19)),"")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(5ème3)'!DK19:DM19,"A"))*4)+((COUNTIF('Elève (5ème3)'!DK19:DM19,"B"))*3)+((COUNTIF('Elève (5ème3)'!DK19:DM19,"C"))*2)+((COUNTIF('Elève (5ème3)'!DK19:DM19,"D"))*1))/(COUNTA(DK19:DM19)),"")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(5ème3)'!DR19:DT19,"A"))*4)+((COUNTIF('Elève (5ème3)'!DR19:DT19,"B"))*3)+((COUNTIF('Elève (5ème3)'!DR19:DT19,"C"))*2)+((COUNTIF('Elève (5ème3)'!DR19:DT19,"D"))*1))/(COUNTA(DR19:DT19)),"")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(5ème3)'!DW19:DY19,"A"))*4)+((COUNTIF('Elève (5ème3)'!DW19:DY19,"B"))*3)+((COUNTIF('Elève (5ème3)'!DW19:DY19,"C"))*2)+((COUNTIF('Elève (5ème3)'!DW19:DY19,"D"))*1))/(COUNTA(DW19:DY19)),"")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(5ème3)'!EB19:ED19,"A"))*4)+((COUNTIF('Elève (5ème3)'!EB19:ED19,"B"))*3)+((COUNTIF('Elève (5ème3)'!EB19:ED19,"C"))*2)+((COUNTIF('Elève (5ème3)'!EB19:ED19,"D"))*1))/(COUNTA(EB19:ED19)),"")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(5ème3)'!EI19:EK19,"A"))*4)+((COUNTIF('Elève (5ème3)'!EI19:EK19,"B"))*3)+((COUNTIF('Elève (5ème3)'!EI19:EK19,"C"))*2)+((COUNTIF('Elève (5ème3)'!EI19:EK19,"D"))*1))/(COUNTA(EI19:EK19)),"")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(5ème3)'!EN19:EP19,"A"))*4)+((COUNTIF('Elève (5ème3)'!EN19:EP19,"B"))*3)+((COUNTIF('Elève (5ème3)'!EN19:EP19,"C"))*2)+((COUNTIF('Elève (5ème3)'!EN19:EP19,"D"))*1))/(COUNTA(EN19:EP19)),"")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(5ème3)'!ES19:EU19,"A"))*4)+((COUNTIF('Elève (5ème3)'!ES19:EU19,"B"))*3)+((COUNTIF('Elève (5ème3)'!ES19:EU19,"C"))*2)+((COUNTIF('Elève (5ème3)'!ES19:EU19,"D"))*1))/(COUNTA(ES19:EU19)),"")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(5ème3)'!EZ19:FB19,"A"))*4)+((COUNTIF('Elève (5ème3)'!EZ19:FB19,"B"))*3)+((COUNTIF('Elève (5ème3)'!EZ19:FB19,"C"))*2)+((COUNTIF('Elève (5ème3)'!EZ19:FB19,"D"))*1))/(COUNTA(EZ19:FB19)),"")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(5ème3)'!FE19:FG19,"A"))*4)+((COUNTIF('Elève (5ème3)'!FE19:FG19,"B"))*3)+((COUNTIF('Elève (5ème3)'!FE19:FG19,"C"))*2)+((COUNTIF('Elève (5ème3)'!FE19:FG19,"D"))*1))/(COUNTA(FE19:FG19)),"")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(5ème3)'!FJ19:FL19,"A"))*4)+((COUNTIF('Elève (5ème3)'!FJ19:FL19,"B"))*3)+((COUNTIF('Elève (5ème3)'!FJ19:FL19,"C"))*2)+((COUNTIF('Elève (5ème3)'!FJ19:FL19,"D"))*1))/(COUNTA(FJ19:FL19)),"")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(5ème3)'!FQ19:FS19,"A"))*4)+((COUNTIF('Elève (5ème3)'!FQ19:FS19,"B"))*3)+((COUNTIF('Elève (5ème3)'!FQ19:FS19,"C"))*2)+((COUNTIF('Elève (5ème3)'!FQ19:FS19,"D"))*1))/(COUNTA(FQ19:FS19)),"")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(5ème3)'!FV19:FX19,"A"))*4)+((COUNTIF('Elève (5ème3)'!FV19:FX19,"B"))*3)+((COUNTIF('Elève (5ème3)'!FV19:FX19,"C"))*2)+((COUNTIF('Elève (5ème3)'!FV19:FX19,"D"))*1))/(COUNTA(FV19:FX19)),"")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(5ème3)'!GA19:GC19,"A"))*4)+((COUNTIF('Elève (5ème3)'!GA19:GC19,"B"))*3)+((COUNTIF('Elève (5ème3)'!GA19:GC19,"C"))*2)+((COUNTIF('Elève (5ème3)'!GA19:GC19,"D"))*1))/(COUNTA(GA19:GC19)),"")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(5ème3)'!GH19:GJ19,"A"))*4)+((COUNTIF('Elève (5ème3)'!GH19:GJ19,"B"))*3)+((COUNTIF('Elève (5ème3)'!GH19:GJ19,"C"))*2)+((COUNTIF('Elève (5ème3)'!GH19:GJ19,"D"))*1))/(COUNTA(GH19:GJ19)),"")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(5ème3)'!GM19:GO19,"A"))*4)+((COUNTIF('Elève (5ème3)'!GM19:GO19,"B"))*3)+((COUNTIF('Elève (5ème3)'!GM19:GO19,"C"))*2)+((COUNTIF('Elève (5ème3)'!GM19:GO19,"D"))*1))/(COUNTA(GM19:GO19)),"")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(5ème3)'!GR19:GT19,"A"))*4)+((COUNTIF('Elève (5ème3)'!GR19:GT19,"B"))*3)+((COUNTIF('Elève (5ème3)'!GR19:GT19,"C"))*2)+((COUNTIF('Elève (5ème3)'!GR19:GT19,"D"))*1))/(COUNTA(GR19:GT19)),"")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(5ème3)'!GY19:HA19,"A"))*4)+((COUNTIF('Elève (5ème3)'!GY19:HA19,"B"))*3)+((COUNTIF('Elève (5ème3)'!GY19:HA19,"C"))*2)+((COUNTIF('Elève (5ème3)'!GY19:HA19,"D"))*1))/(COUNTA(GY19:HA19)),"")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(5ème3)'!HD19:HF19,"A"))*4)+((COUNTIF('Elève (5ème3)'!HD19:HF19,"B"))*3)+((COUNTIF('Elève (5ème3)'!HD19:HF19,"C"))*2)+((COUNTIF('Elève (5ème3)'!HD19:HF19,"D"))*1))/(COUNTA(HD19:HF19)),"")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(5ème3)'!HI19:HK19,"A"))*4)+((COUNTIF('Elève (5ème3)'!HI19:HK19,"B"))*3)+((COUNTIF('Elève (5ème3)'!HI19:HK19,"C"))*2)+((COUNTIF('Elève (5ème3)'!HI19:HK19,"D"))*1))/(COUNTA(HI19:HK19)),"")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(5ème3)'!HP19:HR19,"A"))*4)+((COUNTIF('Elève (5ème3)'!HP19:HR19,"B"))*3)+((COUNTIF('Elève (5ème3)'!HP19:HR19,"C"))*2)+((COUNTIF('Elève (5ème3)'!HP19:HR19,"D"))*1))/(COUNTA(HP19:HR19)),"")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(5ème3)'!HU19:HW19,"A"))*4)+((COUNTIF('Elève (5ème3)'!HU19:HW19,"B"))*3)+((COUNTIF('Elève (5ème3)'!HU19:HW19,"C"))*2)+((COUNTIF('Elève (5ème3)'!HU19:HW19,"D"))*1))/(COUNTA(HU19:HW19)),"")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(5ème3)'!HZ19:IB19,"A"))*4)+((COUNTIF('Elève (5ème3)'!HZ19:IB19,"B"))*3)+((COUNTIF('Elève (5ème3)'!HZ19:IB19,"C"))*2)+((COUNTIF('Elève (5ème3)'!HZ19:IB19,"D"))*1))/(COUNTA(HZ19:IB19)),"")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(5ème3)'!IG19:II19,"A"))*4)+((COUNTIF('Elève (5ème3)'!IG19:II19,"B"))*3)+((COUNTIF('Elève (5ème3)'!IG19:II19,"C"))*2)+((COUNTIF('Elève (5ème3)'!IG19:II19,"D"))*1))/(COUNTA(IG19:II19)),"")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(5ème3)'!IL19:IN19,"A"))*4)+((COUNTIF('Elève (5ème3)'!IL19:IN19,"B"))*3)+((COUNTIF('Elève (5ème3)'!IL19:IN19,"C"))*2)+((COUNTIF('Elève (5ème3)'!IL19:IN19,"D"))*1))/(COUNTA(IL19:IN19)),"")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(5ème3)'!IQ19:IS19,"A"))*4)+((COUNTIF('Elève (5ème3)'!IQ19:IS19,"B"))*3)+((COUNTIF('Elève (5ème3)'!IQ19:IS19,"C"))*2)+((COUNTIF('Elève (5ème3)'!IQ19:IS19,"D"))*1))/(COUNTA(IQ19:IS19)),"")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(5ème3)'!IX19:IZ19,"A"))*4)+((COUNTIF('Elève (5ème3)'!IX19:IZ19,"B"))*3)+((COUNTIF('Elève (5ème3)'!IX19:IZ19,"C"))*2)+((COUNTIF('Elève (5ème3)'!IX19:IZ19,"D"))*1))/(COUNTA(IX19:IZ19)),"")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(5ème3)'!JC19:JE19,"A"))*4)+((COUNTIF('Elève (5ème3)'!JC19:JE19,"B"))*3)+((COUNTIF('Elève (5ème3)'!JC19:JE19,"C"))*2)+((COUNTIF('Elève (5ème3)'!JC19:JE19,"D"))*1))/(COUNTA(JC19:JE19)),"")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(5ème3)'!JH19:JJ19,"A"))*4)+((COUNTIF('Elève (5ème3)'!JH19:JJ19,"B"))*3)+((COUNTIF('Elève (5ème3)'!JH19:JJ19,"C"))*2)+((COUNTIF('Elève (5ème3)'!JH19:JJ19,"D"))*1))/(COUNTA(JH19:JJ19)),"")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(5ème3)'!JO19:JQ19,"A"))*4)+((COUNTIF('Elève (5ème3)'!JO19:JQ19,"B"))*3)+((COUNTIF('Elève (5ème3)'!JO19:JQ19,"C"))*2)+((COUNTIF('Elève (5ème3)'!JO19:JQ19,"D"))*1))/(COUNTA(JO19:JQ19)),"")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(5ème3)'!JT19:JV19,"A"))*4)+((COUNTIF('Elève (5ème3)'!JT19:JV19,"B"))*3)+((COUNTIF('Elève (5ème3)'!JT19:JV19,"C"))*2)+((COUNTIF('Elève (5ème3)'!JT19:JV19,"D"))*1))/(COUNTA(JT19:JV19)),"")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(5ème3)'!JY19:KA19,"A"))*4)+((COUNTIF('Elève (5ème3)'!JY19:KA19,"B"))*3)+((COUNTIF('Elève (5ème3)'!JY19:KA19,"C"))*2)+((COUNTIF('Elève (5ème3)'!JY19:KA19,"D"))*1))/(COUNTA(JY19:KA19)),"")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(5ème3)'!KF19:KH19,"A"))*4)+((COUNTIF('Elève (5ème3)'!KF19:KH19,"B"))*3)+((COUNTIF('Elève (5ème3)'!KF19:KH19,"C"))*2)+((COUNTIF('Elève (5ème3)'!KF19:KH19,"D"))*1))/(COUNTA(KF19:KH19)),"")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(5ème3)'!KK19:KM19,"A"))*4)+((COUNTIF('Elève (5ème3)'!KK19:KM19,"B"))*3)+((COUNTIF('Elève (5ème3)'!KK19:KM19,"C"))*2)+((COUNTIF('Elève (5ème3)'!KK19:KM19,"D"))*1))/(COUNTA(KK19:KM19)),"")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(5ème3)'!KP19:KR19,"A"))*4)+((COUNTIF('Elève (5ème3)'!KP19:KR19,"B"))*3)+((COUNTIF('Elève (5ème3)'!KP19:KR19,"C"))*2)+((COUNTIF('Elève (5ème3)'!KP19:KR19,"D"))*1))/(COUNTA(KP19:KR19)),"")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(5ème3)'!KW19:KY19,"A"))*4)+((COUNTIF('Elève (5ème3)'!KW19:KY19,"B"))*3)+((COUNTIF('Elève (5ème3)'!KW19:KY19,"C"))*2)+((COUNTIF('Elève (5ème3)'!KW19:KY19,"D"))*1))/(COUNTA(KW19:KY19)),"")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(5ème3)'!LB19:LD19,"A"))*4)+((COUNTIF('Elève (5ème3)'!LB19:LD19,"B"))*3)+((COUNTIF('Elève (5ème3)'!LB19:LD19,"C"))*2)+((COUNTIF('Elève (5ème3)'!LB19:LD19,"D"))*1))/(COUNTA(LB19:LD19)),"")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(5ème3)'!LG19:LI19,"A"))*4)+((COUNTIF('Elève (5ème3)'!LG19:LI19,"B"))*3)+((COUNTIF('Elève (5ème3)'!LG19:LI19,"C"))*2)+((COUNTIF('Elève (5ème3)'!LG19:LI19,"D"))*1))/(COUNTA(LG19:LI19)),"")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(5ème3)'!LN19:LP19,"A"))*4)+((COUNTIF('Elève (5ème3)'!LN19:LP19,"B"))*3)+((COUNTIF('Elève (5ème3)'!LN19:LP19,"C"))*2)+((COUNTIF('Elève (5ème3)'!LN19:LP19,"D"))*1))/(COUNTA(LN19:LP19)),"")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(5ème3)'!LS19:LU19,"A"))*4)+((COUNTIF('Elève (5ème3)'!LS19:LU19,"B"))*3)+((COUNTIF('Elève (5ème3)'!LS19:LU19,"C"))*2)+((COUNTIF('Elève (5ème3)'!LS19:LU19,"D"))*1))/(COUNTA(LS19:LU19)),"")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(5ème3)'!LX19:LZ19,"A"))*4)+((COUNTIF('Elève (5ème3)'!LX19:LZ19,"B"))*3)+((COUNTIF('Elève (5ème3)'!LX19:LZ19,"C"))*2)+((COUNTIF('Elève (5ème3)'!LX19:LZ19,"D"))*1))/(COUNTA(LX19:LZ19)),"")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(5ème3)'!ME19:MG19,"A"))*4)+((COUNTIF('Elève (5ème3)'!ME19:MG19,"B"))*3)+((COUNTIF('Elève (5ème3)'!ME19:MG19,"C"))*2)+((COUNTIF('Elève (5ème3)'!ME19:MG19,"D"))*1))/(COUNTA(ME19:MG19)),"")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(5ème3)'!MJ19:ML19,"A"))*4)+((COUNTIF('Elève (5ème3)'!MJ19:ML19,"B"))*3)+((COUNTIF('Elève (5ème3)'!MJ19:ML19,"C"))*2)+((COUNTIF('Elève (5ème3)'!MJ19:ML19,"D"))*1))/(COUNTA(MJ19:ML19)),"")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(5ème3)'!MO19:MQ19,"A"))*4)+((COUNTIF('Elève (5ème3)'!MO19:MQ19,"B"))*3)+((COUNTIF('Elève (5ème3)'!MO19:MQ19,"C"))*2)+((COUNTIF('Elève (5ème3)'!MO19:MQ19,"D"))*1))/(COUNTA(MO19:MQ19)),"")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(5ème3)'!MV19:MX19,"A"))*4)+((COUNTIF('Elève (5ème3)'!MV19:MX19,"B"))*3)+((COUNTIF('Elève (5ème3)'!MV19:MX19,"C"))*2)+((COUNTIF('Elève (5ème3)'!MV19:MX19,"D"))*1))/(COUNTA(MV19:MX19)),"")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(5ème3)'!NA19:NC19,"A"))*4)+((COUNTIF('Elève (5ème3)'!NA19:NC19,"B"))*3)+((COUNTIF('Elève (5ème3)'!NA19:NC19,"C"))*2)+((COUNTIF('Elève (5ème3)'!NA19:NC19,"D"))*1))/(COUNTA(NA19:NC19)),"")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(5ème3)'!NF19:NH19,"A"))*4)+((COUNTIF('Elève (5ème3)'!NF19:NH19,"B"))*3)+((COUNTIF('Elève (5ème3)'!NF19:NH19,"C"))*2)+((COUNTIF('Elève (5ème3)'!NF19:NH19,"D"))*1))/(COUNTA(NF19:NH19)),"")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(5ème3)'!NM19:NO19,"A"))*4)+((COUNTIF('Elève (5ème3)'!NM19:NO19,"B"))*3)+((COUNTIF('Elève (5ème3)'!NM19:NO19,"C"))*2)+((COUNTIF('Elève (5ème3)'!NM19:NO19,"D"))*1))/(COUNTA(NM19:NO19)),"")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(5ème3)'!NR19:NT19,"A"))*4)+((COUNTIF('Elève (5ème3)'!NR19:NT19,"B"))*3)+((COUNTIF('Elève (5ème3)'!NR19:NT19,"C"))*2)+((COUNTIF('Elève (5ème3)'!NR19:NT19,"D"))*1))/(COUNTA(NR19:NT19)),"")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(5ème3)'!NW19:NY19,"A"))*4)+((COUNTIF('Elève (5ème3)'!NW19:NY19,"B"))*3)+((COUNTIF('Elève (5ème3)'!NW19:NY19,"C"))*2)+((COUNTIF('Elève (5ème3)'!NW19:NY19,"D"))*1))/(COUNTA(NW19:NY19)),"")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(5ème3)'!OD19:OF19,"A"))*4)+((COUNTIF('Elève (5ème3)'!OD19:OF19,"B"))*3)+((COUNTIF('Elève (5ème3)'!OD19:OF19,"C"))*2)+((COUNTIF('Elève (5ème3)'!OD19:OF19,"D"))*1))/(COUNTA(OD19:OF19)),"")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(5ème3)'!OI19:OK19,"A"))*4)+((COUNTIF('Elève (5ème3)'!OI19:OK19,"B"))*3)+((COUNTIF('Elève (5ème3)'!OI19:OK19,"C"))*2)+((COUNTIF('Elève (5ème3)'!OI19:OK19,"D"))*1))/(COUNTA(OI19:OK19)),"")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(5ème3)'!ON19:OP19,"A"))*4)+((COUNTIF('Elève (5ème3)'!ON19:OP19,"B"))*3)+((COUNTIF('Elève (5ème3)'!ON19:OP19,"C"))*2)+((COUNTIF('Elève (5ème3)'!ON19:OP19,"D"))*1))/(COUNTA(ON19:OP19)),"")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(5ème3)'!OU19:OW19,"A"))*4)+((COUNTIF('Elève (5ème3)'!OU19:OW19,"B"))*3)+((COUNTIF('Elève (5ème3)'!OU19:OW19,"C"))*2)+((COUNTIF('Elève (5ème3)'!OU19:OW19,"D"))*1))/(COUNTA(OU19:OW19)),"")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(5ème3)'!OZ19:PB19,"A"))*4)+((COUNTIF('Elève (5ème3)'!OZ19:PB19,"B"))*3)+((COUNTIF('Elève (5ème3)'!OZ19:PB19,"C"))*2)+((COUNTIF('Elève (5ème3)'!OZ19:PB19,"D"))*1))/(COUNTA(OZ19:PB19)),"")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(5ème3)'!PE19:PG19,"A"))*4)+((COUNTIF('Elève (5ème3)'!PE19:PG19,"B"))*3)+((COUNTIF('Elève (5ème3)'!PE19:PG19,"C"))*2)+((COUNTIF('Elève (5ème3)'!PE19:PG19,"D"))*1))/(COUNTA(PE19:PG19)),"")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(5ème3)'!PL19:PN19,"A"))*4)+((COUNTIF('Elève (5ème3)'!PL19:PN19,"B"))*3)+((COUNTIF('Elève (5ème3)'!PL19:PN19,"C"))*2)+((COUNTIF('Elève (5ème3)'!PL19:PN19,"D"))*1))/(COUNTA(PL19:PN19)),"")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(5ème3)'!PQ19:PS19,"A"))*4)+((COUNTIF('Elève (5ème3)'!PQ19:PS19,"B"))*3)+((COUNTIF('Elève (5ème3)'!PQ19:PS19,"C"))*2)+((COUNTIF('Elève (5ème3)'!PQ19:PS19,"D"))*1))/(COUNTA(PQ19:PS19)),"")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(5ème3)'!PV19:PX19,"A"))*4)+((COUNTIF('Elève (5ème3)'!PV19:PX19,"B"))*3)+((COUNTIF('Elève (5ème3)'!PV19:PX19,"C"))*2)+((COUNTIF('Elève (5ème3)'!PV19:PX19,"D"))*1))/(COUNTA(PV19:PX19)),"")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(5ème3)'!QC19:QE19,"A"))*4)+((COUNTIF('Elève (5ème3)'!QC19:QE19,"B"))*3)+((COUNTIF('Elève (5ème3)'!QC19:QE19,"C"))*2)+((COUNTIF('Elève (5ème3)'!QC19:QE19,"D"))*1))/(COUNTA(QC19:QE19)),"")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(5ème3)'!QH19:QJ19,"A"))*4)+((COUNTIF('Elève (5ème3)'!QH19:QJ19,"B"))*3)+((COUNTIF('Elève (5ème3)'!QH19:QJ19,"C"))*2)+((COUNTIF('Elève (5ème3)'!QH19:QJ19,"D"))*1))/(COUNTA(QH19:QJ19)),"")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(5ème3)'!QM19:QO19,"A"))*4)+((COUNTIF('Elève (5ème3)'!QM19:QO19,"B"))*3)+((COUNTIF('Elève (5ème3)'!QM19:QO19,"C"))*2)+((COUNTIF('Elève (5ème3)'!QM19:QO19,"D"))*1))/(COUNTA(QM19:QO19)),"")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(5ème3)'!QT19:QV19,"A"))*4)+((COUNTIF('Elève (5ème3)'!QT19:QV19,"B"))*3)+((COUNTIF('Elève (5ème3)'!QT19:QV19,"C"))*2)+((COUNTIF('Elève (5ème3)'!QT19:QV19,"D"))*1))/(COUNTA(QT19:QV19)),"")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(5ème3)'!QY19:RA19,"A"))*4)+((COUNTIF('Elève (5ème3)'!QY19:RA19,"B"))*3)+((COUNTIF('Elève (5ème3)'!QY19:RA19,"C"))*2)+((COUNTIF('Elève (5ème3)'!QY19:RA19,"D"))*1))/(COUNTA(QY19:RA19)),"")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(5ème3)'!RD19:RF19,"A"))*4)+((COUNTIF('Elève (5ème3)'!RD19:RF19,"B"))*3)+((COUNTIF('Elève (5ème3)'!RD19:RF19,"C"))*2)+((COUNTIF('Elève (5ème3)'!RD19:RF19,"D"))*1))/(COUNTA(RD19:RF19)),"")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(5ème3)'!RK19:RM19,"A"))*4)+((COUNTIF('Elève (5ème3)'!RK19:RM19,"B"))*3)+((COUNTIF('Elève (5ème3)'!RK19:RM19,"C"))*2)+((COUNTIF('Elève (5ème3)'!RK19:RM19,"D"))*1))/(COUNTA(RK19:RM19)),"")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(5ème3)'!RP19:RR19,"A"))*4)+((COUNTIF('Elève (5ème3)'!RP19:RR19,"B"))*3)+((COUNTIF('Elève (5ème3)'!RP19:RR19,"C"))*2)+((COUNTIF('Elève (5ème3)'!RP19:RR19,"D"))*1))/(COUNTA(RP19:RR19)),"")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(5ème3)'!RU19:RW19,"A"))*4)+((COUNTIF('Elève (5ème3)'!RU19:RW19,"B"))*3)+((COUNTIF('Elève (5ème3)'!RU19:RW19,"C"))*2)+((COUNTIF('Elève (5ème3)'!RU19:RW19,"D"))*1))/(COUNTA(RU19:RW19)),"")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(5ème3)'!SB19:SD19,"A"))*4)+((COUNTIF('Elève (5ème3)'!SB19:SD19,"B"))*3)+((COUNTIF('Elève (5ème3)'!SB19:SD19,"C"))*2)+((COUNTIF('Elève (5ème3)'!SB19:SD19,"D"))*1))/(COUNTA(SB19:SD19)),"")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(5ème3)'!SG19:SI19,"A"))*4)+((COUNTIF('Elève (5ème3)'!SG19:SI19,"B"))*3)+((COUNTIF('Elève (5ème3)'!SG19:SI19,"C"))*2)+((COUNTIF('Elève (5ème3)'!SG19:SI19,"D"))*1))/(COUNTA(SG19:SI19)),"")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(5ème3)'!SL19:SN19,"A"))*4)+((COUNTIF('Elève (5ème3)'!SL19:SN19,"B"))*3)+((COUNTIF('Elève (5ème3)'!SL19:SN19,"C"))*2)+((COUNTIF('Elève (5ème3)'!SL19:SN19,"D"))*1))/(COUNTA(SL19:SN19)),"")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(5ème3)'!C21:E21,"A"))*4)+((COUNTIF('Elève (5ème3)'!C21:E21,"B"))*3)+((COUNTIF('Elève (5ème3)'!C21:E21,"C"))*2)+((COUNTIF('Elève (5ème3)'!C21:E21,"D"))*1))/(COUNTA(C21:E21)),"")</f>
        <v/>
      </c>
      <c r="G20" s="107" t="str">
        <f t="shared" si="0"/>
        <v/>
      </c>
      <c r="H20" s="204"/>
      <c r="I20" s="186"/>
      <c r="J20" s="205"/>
      <c r="K20" s="129" t="str">
        <f>IFERROR((((COUNTIF('Elève (5ème3)'!H21:J21,"A"))*4)+((COUNTIF('Elève (5ème3)'!H21:J21,"B"))*3)+((COUNTIF('Elève (5ème3)'!H21:J21,"C"))*2)+((COUNTIF('Elève (5ème3)'!H21:J21,"D"))*1))/(COUNTA(H21:J21)),"")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(5ème3)'!M21:O21,"A"))*4)+((COUNTIF('Elève (5ème3)'!M21:O21,"B"))*3)+((COUNTIF('Elève (5ème3)'!M21:O21,"C"))*2)+((COUNTIF('Elève (5ème3)'!M21:O21,"D"))*1))/(COUNTA(M21:O21)),"")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(5ème3)'!T21:V21,"A"))*4)+((COUNTIF('Elève (5ème3)'!T21:V21,"B"))*3)+((COUNTIF('Elève (5ème3)'!T21:V21,"C"))*2)+((COUNTIF('Elève (5ème3)'!T21:V21,"D"))*1))/(COUNTA(T21:V21)),"")</f>
        <v/>
      </c>
      <c r="X20" s="107" t="str">
        <f t="shared" si="4"/>
        <v/>
      </c>
      <c r="Y20" s="204"/>
      <c r="Z20" s="186"/>
      <c r="AA20" s="205"/>
      <c r="AB20" s="129" t="str">
        <f>IFERROR((((COUNTIF('Elève (5ème3)'!Y21:AA21,"A"))*4)+((COUNTIF('Elève (5ème3)'!Y21:AA21,"B"))*3)+((COUNTIF('Elève (5ème3)'!Y21:AA21,"C"))*2)+((COUNTIF('Elève (5ème3)'!Y21:AA21,"D"))*1))/(COUNTA(Y21:AA21)),"")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(5ème3)'!AD21:AF21,"A"))*4)+((COUNTIF('Elève (5ème3)'!AD21:AF21,"B"))*3)+((COUNTIF('Elève (5ème3)'!AD21:AF21,"C"))*2)+((COUNTIF('Elève (5ème3)'!AD21:AF21,"D"))*1))/(COUNTA(AD21:AF21)),"")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(5ème3)'!AK21:AM21,"A"))*4)+((COUNTIF('Elève (5ème3)'!AK21:AM21,"B"))*3)+((COUNTIF('Elève (5ème3)'!AK21:AM21,"C"))*2)+((COUNTIF('Elève (5ème3)'!AK21:AM21,"D"))*1))/(COUNTA(AK21:AM21)),"")</f>
        <v/>
      </c>
      <c r="AO20" s="107" t="str">
        <f t="shared" si="8"/>
        <v/>
      </c>
      <c r="AP20" s="204"/>
      <c r="AQ20" s="186"/>
      <c r="AR20" s="205"/>
      <c r="AS20" s="129" t="str">
        <f>IFERROR((((COUNTIF('Elève (5ème3)'!AP21:AR21,"A"))*4)+((COUNTIF('Elève (5ème3)'!AP21:AR21,"B"))*3)+((COUNTIF('Elève (5ème3)'!AP21:AR21,"C"))*2)+((COUNTIF('Elève (5ème3)'!AP21:AR21,"D"))*1))/(COUNTA(AP21:AR21)),"")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(5ème3)'!AU21:AW21,"A"))*4)+((COUNTIF('Elève (5ème3)'!AU21:AW21,"B"))*3)+((COUNTIF('Elève (5ème3)'!AU21:AW21,"C"))*2)+((COUNTIF('Elève (5ème3)'!AU21:AW21,"D"))*1))/(COUNTA(AU21:AW21)),"")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(5ème3)'!BB21:BD21,"A"))*4)+((COUNTIF('Elève (5ème3)'!BB21:BD21,"B"))*3)+((COUNTIF('Elève (5ème3)'!BB21:BD21,"C"))*2)+((COUNTIF('Elève (5ème3)'!BB21:BD21,"D"))*1))/(COUNTA(BB21:BD21)),"")</f>
        <v/>
      </c>
      <c r="BF20" s="107" t="str">
        <f t="shared" si="12"/>
        <v/>
      </c>
      <c r="BG20" s="204"/>
      <c r="BH20" s="186"/>
      <c r="BI20" s="205"/>
      <c r="BJ20" s="129" t="str">
        <f>IFERROR((((COUNTIF('Elève (5ème3)'!BG21:BI21,"A"))*4)+((COUNTIF('Elève (5ème3)'!BG21:BI21,"B"))*3)+((COUNTIF('Elève (5ème3)'!BG21:BI21,"C"))*2)+((COUNTIF('Elève (5ème3)'!BG21:BI21,"D"))*1))/(COUNTA(BG21:BI21)),"")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(5ème3)'!BL21:BN21,"A"))*4)+((COUNTIF('Elève (5ème3)'!BL21:BN21,"B"))*3)+((COUNTIF('Elève (5ème3)'!BL21:BN21,"C"))*2)+((COUNTIF('Elève (5ème3)'!BL21:BN21,"D"))*1))/(COUNTA(BL21:BN21)),"")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(5ème3)'!BS21:BU21,"A"))*4)+((COUNTIF('Elève (5ème3)'!BS21:BU21,"B"))*3)+((COUNTIF('Elève (5ème3)'!BS21:BU21,"C"))*2)+((COUNTIF('Elève (5ème3)'!BS21:BU21,"D"))*1))/(COUNTA(BS21:BU21)),"")</f>
        <v/>
      </c>
      <c r="BW20" s="107" t="str">
        <f t="shared" si="16"/>
        <v/>
      </c>
      <c r="BX20" s="204"/>
      <c r="BY20" s="186"/>
      <c r="BZ20" s="205"/>
      <c r="CA20" s="129" t="str">
        <f>IFERROR((((COUNTIF('Elève (5ème3)'!BX21:BZ21,"A"))*4)+((COUNTIF('Elève (5ème3)'!BX21:BZ21,"B"))*3)+((COUNTIF('Elève (5ème3)'!BX21:BZ21,"C"))*2)+((COUNTIF('Elève (5ème3)'!BX21:BZ21,"D"))*1))/(COUNTA(BX21:BZ21)),"")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(5ème3)'!CC21:CE21,"A"))*4)+((COUNTIF('Elève (5ème3)'!CC21:CE21,"B"))*3)+((COUNTIF('Elève (5ème3)'!CC21:CE21,"C"))*2)+((COUNTIF('Elève (5ème3)'!CC21:CE21,"D"))*1))/(COUNTA(CC21:CE21)),"")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(5ème3)'!CJ21:CL21,"A"))*4)+((COUNTIF('Elève (5ème3)'!CJ21:CL21,"B"))*3)+((COUNTIF('Elève (5ème3)'!CJ21:CL21,"C"))*2)+((COUNTIF('Elève (5ème3)'!CJ21:CL21,"D"))*1))/(COUNTA(CJ21:CL21)),"")</f>
        <v/>
      </c>
      <c r="CN20" s="107" t="str">
        <f t="shared" si="20"/>
        <v/>
      </c>
      <c r="CO20" s="204"/>
      <c r="CP20" s="186"/>
      <c r="CQ20" s="205"/>
      <c r="CR20" s="129" t="str">
        <f>IFERROR((((COUNTIF('Elève (5ème3)'!CO21:CQ21,"A"))*4)+((COUNTIF('Elève (5ème3)'!CO21:CQ21,"B"))*3)+((COUNTIF('Elève (5ème3)'!CO21:CQ21,"C"))*2)+((COUNTIF('Elève (5ème3)'!CO21:CQ21,"D"))*1))/(COUNTA(CO21:CQ21)),"")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(5ème3)'!CT21:CV21,"A"))*4)+((COUNTIF('Elève (5ème3)'!CT21:CV21,"B"))*3)+((COUNTIF('Elève (5ème3)'!CT21:CV21,"C"))*2)+((COUNTIF('Elève (5ème3)'!CT21:CV21,"D"))*1))/(COUNTA(CT21:CV21)),"")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(5ème3)'!DA21:DC21,"A"))*4)+((COUNTIF('Elève (5ème3)'!DA21:DC21,"B"))*3)+((COUNTIF('Elève (5ème3)'!DA21:DC21,"C"))*2)+((COUNTIF('Elève (5ème3)'!DA21:DC21,"D"))*1))/(COUNTA(DA21:DC21)),"")</f>
        <v/>
      </c>
      <c r="DE20" s="107" t="str">
        <f t="shared" si="24"/>
        <v/>
      </c>
      <c r="DF20" s="204"/>
      <c r="DG20" s="186"/>
      <c r="DH20" s="205"/>
      <c r="DI20" s="129" t="str">
        <f>IFERROR((((COUNTIF('Elève (5ème3)'!DF21:DH21,"A"))*4)+((COUNTIF('Elève (5ème3)'!DF21:DH21,"B"))*3)+((COUNTIF('Elève (5ème3)'!DF21:DH21,"C"))*2)+((COUNTIF('Elève (5ème3)'!DF21:DH21,"D"))*1))/(COUNTA(DF21:DH21)),"")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(5ème3)'!DK21:DM21,"A"))*4)+((COUNTIF('Elève (5ème3)'!DK21:DM21,"B"))*3)+((COUNTIF('Elève (5ème3)'!DK21:DM21,"C"))*2)+((COUNTIF('Elève (5ème3)'!DK21:DM21,"D"))*1))/(COUNTA(DK21:DM21)),"")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(5ème3)'!DR21:DT21,"A"))*4)+((COUNTIF('Elève (5ème3)'!DR21:DT21,"B"))*3)+((COUNTIF('Elève (5ème3)'!DR21:DT21,"C"))*2)+((COUNTIF('Elève (5ème3)'!DR21:DT21,"D"))*1))/(COUNTA(DR21:DT21)),"")</f>
        <v/>
      </c>
      <c r="DV20" s="107" t="str">
        <f t="shared" si="28"/>
        <v/>
      </c>
      <c r="DW20" s="204"/>
      <c r="DX20" s="186"/>
      <c r="DY20" s="205"/>
      <c r="DZ20" s="129" t="str">
        <f>IFERROR((((COUNTIF('Elève (5ème3)'!DW21:DY21,"A"))*4)+((COUNTIF('Elève (5ème3)'!DW21:DY21,"B"))*3)+((COUNTIF('Elève (5ème3)'!DW21:DY21,"C"))*2)+((COUNTIF('Elève (5ème3)'!DW21:DY21,"D"))*1))/(COUNTA(DW21:DY21)),"")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(5ème3)'!EB21:ED21,"A"))*4)+((COUNTIF('Elève (5ème3)'!EB21:ED21,"B"))*3)+((COUNTIF('Elève (5ème3)'!EB21:ED21,"C"))*2)+((COUNTIF('Elève (5ème3)'!EB21:ED21,"D"))*1))/(COUNTA(EB21:ED21)),"")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(5ème3)'!EI21:EK21,"A"))*4)+((COUNTIF('Elève (5ème3)'!EI21:EK21,"B"))*3)+((COUNTIF('Elève (5ème3)'!EI21:EK21,"C"))*2)+((COUNTIF('Elève (5ème3)'!EI21:EK21,"D"))*1))/(COUNTA(EI21:EK21)),"")</f>
        <v/>
      </c>
      <c r="EM20" s="107" t="str">
        <f t="shared" si="32"/>
        <v/>
      </c>
      <c r="EN20" s="204"/>
      <c r="EO20" s="186"/>
      <c r="EP20" s="205"/>
      <c r="EQ20" s="129" t="str">
        <f>IFERROR((((COUNTIF('Elève (5ème3)'!EN21:EP21,"A"))*4)+((COUNTIF('Elève (5ème3)'!EN21:EP21,"B"))*3)+((COUNTIF('Elève (5ème3)'!EN21:EP21,"C"))*2)+((COUNTIF('Elève (5ème3)'!EN21:EP21,"D"))*1))/(COUNTA(EN21:EP21)),"")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(5ème3)'!ES21:EU21,"A"))*4)+((COUNTIF('Elève (5ème3)'!ES21:EU21,"B"))*3)+((COUNTIF('Elève (5ème3)'!ES21:EU21,"C"))*2)+((COUNTIF('Elève (5ème3)'!ES21:EU21,"D"))*1))/(COUNTA(ES21:EU21)),"")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(5ème3)'!EZ21:FB21,"A"))*4)+((COUNTIF('Elève (5ème3)'!EZ21:FB21,"B"))*3)+((COUNTIF('Elève (5ème3)'!EZ21:FB21,"C"))*2)+((COUNTIF('Elève (5ème3)'!EZ21:FB21,"D"))*1))/(COUNTA(EZ21:FB21)),"")</f>
        <v/>
      </c>
      <c r="FD20" s="107" t="str">
        <f t="shared" si="36"/>
        <v/>
      </c>
      <c r="FE20" s="204"/>
      <c r="FF20" s="186"/>
      <c r="FG20" s="205"/>
      <c r="FH20" s="129" t="str">
        <f>IFERROR((((COUNTIF('Elève (5ème3)'!FE21:FG21,"A"))*4)+((COUNTIF('Elève (5ème3)'!FE21:FG21,"B"))*3)+((COUNTIF('Elève (5ème3)'!FE21:FG21,"C"))*2)+((COUNTIF('Elève (5ème3)'!FE21:FG21,"D"))*1))/(COUNTA(FE21:FG21)),"")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(5ème3)'!FJ21:FL21,"A"))*4)+((COUNTIF('Elève (5ème3)'!FJ21:FL21,"B"))*3)+((COUNTIF('Elève (5ème3)'!FJ21:FL21,"C"))*2)+((COUNTIF('Elève (5ème3)'!FJ21:FL21,"D"))*1))/(COUNTA(FJ21:FL21)),"")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(5ème3)'!FQ21:FS21,"A"))*4)+((COUNTIF('Elève (5ème3)'!FQ21:FS21,"B"))*3)+((COUNTIF('Elève (5ème3)'!FQ21:FS21,"C"))*2)+((COUNTIF('Elève (5ème3)'!FQ21:FS21,"D"))*1))/(COUNTA(FQ21:FS21)),"")</f>
        <v/>
      </c>
      <c r="FU20" s="107" t="str">
        <f t="shared" si="40"/>
        <v/>
      </c>
      <c r="FV20" s="204"/>
      <c r="FW20" s="186"/>
      <c r="FX20" s="205"/>
      <c r="FY20" s="129" t="str">
        <f>IFERROR((((COUNTIF('Elève (5ème3)'!FV21:FX21,"A"))*4)+((COUNTIF('Elève (5ème3)'!FV21:FX21,"B"))*3)+((COUNTIF('Elève (5ème3)'!FV21:FX21,"C"))*2)+((COUNTIF('Elève (5ème3)'!FV21:FX21,"D"))*1))/(COUNTA(FV21:FX21)),"")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(5ème3)'!GA21:GC21,"A"))*4)+((COUNTIF('Elève (5ème3)'!GA21:GC21,"B"))*3)+((COUNTIF('Elève (5ème3)'!GA21:GC21,"C"))*2)+((COUNTIF('Elève (5ème3)'!GA21:GC21,"D"))*1))/(COUNTA(GA21:GC21)),"")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(5ème3)'!GH21:GJ21,"A"))*4)+((COUNTIF('Elève (5ème3)'!GH21:GJ21,"B"))*3)+((COUNTIF('Elève (5ème3)'!GH21:GJ21,"C"))*2)+((COUNTIF('Elève (5ème3)'!GH21:GJ21,"D"))*1))/(COUNTA(GH21:GJ21)),"")</f>
        <v/>
      </c>
      <c r="GL20" s="107" t="str">
        <f t="shared" si="44"/>
        <v/>
      </c>
      <c r="GM20" s="204"/>
      <c r="GN20" s="186"/>
      <c r="GO20" s="205"/>
      <c r="GP20" s="129" t="str">
        <f>IFERROR((((COUNTIF('Elève (5ème3)'!GM21:GO21,"A"))*4)+((COUNTIF('Elève (5ème3)'!GM21:GO21,"B"))*3)+((COUNTIF('Elève (5ème3)'!GM21:GO21,"C"))*2)+((COUNTIF('Elève (5ème3)'!GM21:GO21,"D"))*1))/(COUNTA(GM21:GO21)),"")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(5ème3)'!GR21:GT21,"A"))*4)+((COUNTIF('Elève (5ème3)'!GR21:GT21,"B"))*3)+((COUNTIF('Elève (5ème3)'!GR21:GT21,"C"))*2)+((COUNTIF('Elève (5ème3)'!GR21:GT21,"D"))*1))/(COUNTA(GR21:GT21)),"")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(5ème3)'!GY21:HA21,"A"))*4)+((COUNTIF('Elève (5ème3)'!GY21:HA21,"B"))*3)+((COUNTIF('Elève (5ème3)'!GY21:HA21,"C"))*2)+((COUNTIF('Elève (5ème3)'!GY21:HA21,"D"))*1))/(COUNTA(GY21:HA21)),"")</f>
        <v/>
      </c>
      <c r="HC20" s="107" t="str">
        <f t="shared" si="48"/>
        <v/>
      </c>
      <c r="HD20" s="204"/>
      <c r="HE20" s="186"/>
      <c r="HF20" s="205"/>
      <c r="HG20" s="129" t="str">
        <f>IFERROR((((COUNTIF('Elève (5ème3)'!HD21:HF21,"A"))*4)+((COUNTIF('Elève (5ème3)'!HD21:HF21,"B"))*3)+((COUNTIF('Elève (5ème3)'!HD21:HF21,"C"))*2)+((COUNTIF('Elève (5ème3)'!HD21:HF21,"D"))*1))/(COUNTA(HD21:HF21)),"")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(5ème3)'!HI21:HK21,"A"))*4)+((COUNTIF('Elève (5ème3)'!HI21:HK21,"B"))*3)+((COUNTIF('Elève (5ème3)'!HI21:HK21,"C"))*2)+((COUNTIF('Elève (5ème3)'!HI21:HK21,"D"))*1))/(COUNTA(HI21:HK21)),"")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(5ème3)'!HP21:HR21,"A"))*4)+((COUNTIF('Elève (5ème3)'!HP21:HR21,"B"))*3)+((COUNTIF('Elève (5ème3)'!HP21:HR21,"C"))*2)+((COUNTIF('Elève (5ème3)'!HP21:HR21,"D"))*1))/(COUNTA(HP21:HR21)),"")</f>
        <v/>
      </c>
      <c r="HT20" s="107" t="str">
        <f t="shared" si="52"/>
        <v/>
      </c>
      <c r="HU20" s="204"/>
      <c r="HV20" s="186"/>
      <c r="HW20" s="205"/>
      <c r="HX20" s="129" t="str">
        <f>IFERROR((((COUNTIF('Elève (5ème3)'!HU21:HW21,"A"))*4)+((COUNTIF('Elève (5ème3)'!HU21:HW21,"B"))*3)+((COUNTIF('Elève (5ème3)'!HU21:HW21,"C"))*2)+((COUNTIF('Elève (5ème3)'!HU21:HW21,"D"))*1))/(COUNTA(HU21:HW21)),"")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(5ème3)'!HZ21:IB21,"A"))*4)+((COUNTIF('Elève (5ème3)'!HZ21:IB21,"B"))*3)+((COUNTIF('Elève (5ème3)'!HZ21:IB21,"C"))*2)+((COUNTIF('Elève (5ème3)'!HZ21:IB21,"D"))*1))/(COUNTA(HZ21:IB21)),"")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(5ème3)'!IG21:II21,"A"))*4)+((COUNTIF('Elève (5ème3)'!IG21:II21,"B"))*3)+((COUNTIF('Elève (5ème3)'!IG21:II21,"C"))*2)+((COUNTIF('Elève (5ème3)'!IG21:II21,"D"))*1))/(COUNTA(IG21:II21)),"")</f>
        <v/>
      </c>
      <c r="IK20" s="107" t="str">
        <f t="shared" si="56"/>
        <v/>
      </c>
      <c r="IL20" s="204"/>
      <c r="IM20" s="186"/>
      <c r="IN20" s="205"/>
      <c r="IO20" s="129" t="str">
        <f>IFERROR((((COUNTIF('Elève (5ème3)'!IL21:IN21,"A"))*4)+((COUNTIF('Elève (5ème3)'!IL21:IN21,"B"))*3)+((COUNTIF('Elève (5ème3)'!IL21:IN21,"C"))*2)+((COUNTIF('Elève (5ème3)'!IL21:IN21,"D"))*1))/(COUNTA(IL21:IN21)),"")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(5ème3)'!IQ21:IS21,"A"))*4)+((COUNTIF('Elève (5ème3)'!IQ21:IS21,"B"))*3)+((COUNTIF('Elève (5ème3)'!IQ21:IS21,"C"))*2)+((COUNTIF('Elève (5ème3)'!IQ21:IS21,"D"))*1))/(COUNTA(IQ21:IS21)),"")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(5ème3)'!IX21:IZ21,"A"))*4)+((COUNTIF('Elève (5ème3)'!IX21:IZ21,"B"))*3)+((COUNTIF('Elève (5ème3)'!IX21:IZ21,"C"))*2)+((COUNTIF('Elève (5ème3)'!IX21:IZ21,"D"))*1))/(COUNTA(IX21:IZ21)),"")</f>
        <v/>
      </c>
      <c r="JB20" s="107" t="str">
        <f t="shared" si="60"/>
        <v/>
      </c>
      <c r="JC20" s="204"/>
      <c r="JD20" s="186"/>
      <c r="JE20" s="205"/>
      <c r="JF20" s="129" t="str">
        <f>IFERROR((((COUNTIF('Elève (5ème3)'!JC21:JE21,"A"))*4)+((COUNTIF('Elève (5ème3)'!JC21:JE21,"B"))*3)+((COUNTIF('Elève (5ème3)'!JC21:JE21,"C"))*2)+((COUNTIF('Elève (5ème3)'!JC21:JE21,"D"))*1))/(COUNTA(JC21:JE21)),"")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(5ème3)'!JH21:JJ21,"A"))*4)+((COUNTIF('Elève (5ème3)'!JH21:JJ21,"B"))*3)+((COUNTIF('Elève (5ème3)'!JH21:JJ21,"C"))*2)+((COUNTIF('Elève (5ème3)'!JH21:JJ21,"D"))*1))/(COUNTA(JH21:JJ21)),"")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(5ème3)'!JO21:JQ21,"A"))*4)+((COUNTIF('Elève (5ème3)'!JO21:JQ21,"B"))*3)+((COUNTIF('Elève (5ème3)'!JO21:JQ21,"C"))*2)+((COUNTIF('Elève (5ème3)'!JO21:JQ21,"D"))*1))/(COUNTA(JO21:JQ21)),"")</f>
        <v/>
      </c>
      <c r="JS20" s="107" t="str">
        <f t="shared" si="64"/>
        <v/>
      </c>
      <c r="JT20" s="204"/>
      <c r="JU20" s="186"/>
      <c r="JV20" s="205"/>
      <c r="JW20" s="129" t="str">
        <f>IFERROR((((COUNTIF('Elève (5ème3)'!JT21:JV21,"A"))*4)+((COUNTIF('Elève (5ème3)'!JT21:JV21,"B"))*3)+((COUNTIF('Elève (5ème3)'!JT21:JV21,"C"))*2)+((COUNTIF('Elève (5ème3)'!JT21:JV21,"D"))*1))/(COUNTA(JT21:JV21)),"")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(5ème3)'!JY21:KA21,"A"))*4)+((COUNTIF('Elève (5ème3)'!JY21:KA21,"B"))*3)+((COUNTIF('Elève (5ème3)'!JY21:KA21,"C"))*2)+((COUNTIF('Elève (5ème3)'!JY21:KA21,"D"))*1))/(COUNTA(JY21:KA21)),"")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(5ème3)'!KF21:KH21,"A"))*4)+((COUNTIF('Elève (5ème3)'!KF21:KH21,"B"))*3)+((COUNTIF('Elève (5ème3)'!KF21:KH21,"C"))*2)+((COUNTIF('Elève (5ème3)'!KF21:KH21,"D"))*1))/(COUNTA(KF21:KH21)),"")</f>
        <v/>
      </c>
      <c r="KJ20" s="107" t="str">
        <f t="shared" si="68"/>
        <v/>
      </c>
      <c r="KK20" s="204"/>
      <c r="KL20" s="186"/>
      <c r="KM20" s="205"/>
      <c r="KN20" s="129" t="str">
        <f>IFERROR((((COUNTIF('Elève (5ème3)'!KK21:KM21,"A"))*4)+((COUNTIF('Elève (5ème3)'!KK21:KM21,"B"))*3)+((COUNTIF('Elève (5ème3)'!KK21:KM21,"C"))*2)+((COUNTIF('Elève (5ème3)'!KK21:KM21,"D"))*1))/(COUNTA(KK21:KM21)),"")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(5ème3)'!KP21:KR21,"A"))*4)+((COUNTIF('Elève (5ème3)'!KP21:KR21,"B"))*3)+((COUNTIF('Elève (5ème3)'!KP21:KR21,"C"))*2)+((COUNTIF('Elève (5ème3)'!KP21:KR21,"D"))*1))/(COUNTA(KP21:KR21)),"")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(5ème3)'!KW21:KY21,"A"))*4)+((COUNTIF('Elève (5ème3)'!KW21:KY21,"B"))*3)+((COUNTIF('Elève (5ème3)'!KW21:KY21,"C"))*2)+((COUNTIF('Elève (5ème3)'!KW21:KY21,"D"))*1))/(COUNTA(KW21:KY21)),"")</f>
        <v/>
      </c>
      <c r="LA20" s="107" t="str">
        <f t="shared" si="72"/>
        <v/>
      </c>
      <c r="LB20" s="204"/>
      <c r="LC20" s="186"/>
      <c r="LD20" s="205"/>
      <c r="LE20" s="129" t="str">
        <f>IFERROR((((COUNTIF('Elève (5ème3)'!LB21:LD21,"A"))*4)+((COUNTIF('Elève (5ème3)'!LB21:LD21,"B"))*3)+((COUNTIF('Elève (5ème3)'!LB21:LD21,"C"))*2)+((COUNTIF('Elève (5ème3)'!LB21:LD21,"D"))*1))/(COUNTA(LB21:LD21)),"")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(5ème3)'!LG21:LI21,"A"))*4)+((COUNTIF('Elève (5ème3)'!LG21:LI21,"B"))*3)+((COUNTIF('Elève (5ème3)'!LG21:LI21,"C"))*2)+((COUNTIF('Elève (5ème3)'!LG21:LI21,"D"))*1))/(COUNTA(LG21:LI21)),"")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(5ème3)'!LN21:LP21,"A"))*4)+((COUNTIF('Elève (5ème3)'!LN21:LP21,"B"))*3)+((COUNTIF('Elève (5ème3)'!LN21:LP21,"C"))*2)+((COUNTIF('Elève (5ème3)'!LN21:LP21,"D"))*1))/(COUNTA(LN21:LP21)),"")</f>
        <v/>
      </c>
      <c r="LR20" s="107" t="str">
        <f t="shared" si="76"/>
        <v/>
      </c>
      <c r="LS20" s="204"/>
      <c r="LT20" s="186"/>
      <c r="LU20" s="205"/>
      <c r="LV20" s="129" t="str">
        <f>IFERROR((((COUNTIF('Elève (5ème3)'!LS21:LU21,"A"))*4)+((COUNTIF('Elève (5ème3)'!LS21:LU21,"B"))*3)+((COUNTIF('Elève (5ème3)'!LS21:LU21,"C"))*2)+((COUNTIF('Elève (5ème3)'!LS21:LU21,"D"))*1))/(COUNTA(LS21:LU21)),"")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(5ème3)'!LX21:LZ21,"A"))*4)+((COUNTIF('Elève (5ème3)'!LX21:LZ21,"B"))*3)+((COUNTIF('Elève (5ème3)'!LX21:LZ21,"C"))*2)+((COUNTIF('Elève (5ème3)'!LX21:LZ21,"D"))*1))/(COUNTA(LX21:LZ21)),"")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(5ème3)'!ME21:MG21,"A"))*4)+((COUNTIF('Elève (5ème3)'!ME21:MG21,"B"))*3)+((COUNTIF('Elève (5ème3)'!ME21:MG21,"C"))*2)+((COUNTIF('Elève (5ème3)'!ME21:MG21,"D"))*1))/(COUNTA(ME21:MG21)),"")</f>
        <v/>
      </c>
      <c r="MI20" s="107" t="str">
        <f t="shared" si="80"/>
        <v/>
      </c>
      <c r="MJ20" s="204"/>
      <c r="MK20" s="186"/>
      <c r="ML20" s="205"/>
      <c r="MM20" s="129" t="str">
        <f>IFERROR((((COUNTIF('Elève (5ème3)'!MJ21:ML21,"A"))*4)+((COUNTIF('Elève (5ème3)'!MJ21:ML21,"B"))*3)+((COUNTIF('Elève (5ème3)'!MJ21:ML21,"C"))*2)+((COUNTIF('Elève (5ème3)'!MJ21:ML21,"D"))*1))/(COUNTA(MJ21:ML21)),"")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(5ème3)'!MO21:MQ21,"A"))*4)+((COUNTIF('Elève (5ème3)'!MO21:MQ21,"B"))*3)+((COUNTIF('Elève (5ème3)'!MO21:MQ21,"C"))*2)+((COUNTIF('Elève (5ème3)'!MO21:MQ21,"D"))*1))/(COUNTA(MO21:MQ21)),"")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(5ème3)'!MV21:MX21,"A"))*4)+((COUNTIF('Elève (5ème3)'!MV21:MX21,"B"))*3)+((COUNTIF('Elève (5ème3)'!MV21:MX21,"C"))*2)+((COUNTIF('Elève (5ème3)'!MV21:MX21,"D"))*1))/(COUNTA(MV21:MX21)),"")</f>
        <v/>
      </c>
      <c r="MZ20" s="107" t="str">
        <f t="shared" si="84"/>
        <v/>
      </c>
      <c r="NA20" s="204"/>
      <c r="NB20" s="186"/>
      <c r="NC20" s="205"/>
      <c r="ND20" s="129" t="str">
        <f>IFERROR((((COUNTIF('Elève (5ème3)'!NA21:NC21,"A"))*4)+((COUNTIF('Elève (5ème3)'!NA21:NC21,"B"))*3)+((COUNTIF('Elève (5ème3)'!NA21:NC21,"C"))*2)+((COUNTIF('Elève (5ème3)'!NA21:NC21,"D"))*1))/(COUNTA(NA21:NC21)),"")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(5ème3)'!NF21:NH21,"A"))*4)+((COUNTIF('Elève (5ème3)'!NF21:NH21,"B"))*3)+((COUNTIF('Elève (5ème3)'!NF21:NH21,"C"))*2)+((COUNTIF('Elève (5ème3)'!NF21:NH21,"D"))*1))/(COUNTA(NF21:NH21)),"")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(5ème3)'!NM21:NO21,"A"))*4)+((COUNTIF('Elève (5ème3)'!NM21:NO21,"B"))*3)+((COUNTIF('Elève (5ème3)'!NM21:NO21,"C"))*2)+((COUNTIF('Elève (5ème3)'!NM21:NO21,"D"))*1))/(COUNTA(NM21:NO21)),"")</f>
        <v/>
      </c>
      <c r="NQ20" s="107" t="str">
        <f t="shared" si="88"/>
        <v/>
      </c>
      <c r="NR20" s="204"/>
      <c r="NS20" s="186"/>
      <c r="NT20" s="205"/>
      <c r="NU20" s="129" t="str">
        <f>IFERROR((((COUNTIF('Elève (5ème3)'!NR21:NT21,"A"))*4)+((COUNTIF('Elève (5ème3)'!NR21:NT21,"B"))*3)+((COUNTIF('Elève (5ème3)'!NR21:NT21,"C"))*2)+((COUNTIF('Elève (5ème3)'!NR21:NT21,"D"))*1))/(COUNTA(NR21:NT21)),"")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(5ème3)'!NW21:NY21,"A"))*4)+((COUNTIF('Elève (5ème3)'!NW21:NY21,"B"))*3)+((COUNTIF('Elève (5ème3)'!NW21:NY21,"C"))*2)+((COUNTIF('Elève (5ème3)'!NW21:NY21,"D"))*1))/(COUNTA(NW21:NY21)),"")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(5ème3)'!OD21:OF21,"A"))*4)+((COUNTIF('Elève (5ème3)'!OD21:OF21,"B"))*3)+((COUNTIF('Elève (5ème3)'!OD21:OF21,"C"))*2)+((COUNTIF('Elève (5ème3)'!OD21:OF21,"D"))*1))/(COUNTA(OD21:OF21)),"")</f>
        <v/>
      </c>
      <c r="OH20" s="107" t="str">
        <f t="shared" si="92"/>
        <v/>
      </c>
      <c r="OI20" s="204"/>
      <c r="OJ20" s="186"/>
      <c r="OK20" s="205"/>
      <c r="OL20" s="129" t="str">
        <f>IFERROR((((COUNTIF('Elève (5ème3)'!OI21:OK21,"A"))*4)+((COUNTIF('Elève (5ème3)'!OI21:OK21,"B"))*3)+((COUNTIF('Elève (5ème3)'!OI21:OK21,"C"))*2)+((COUNTIF('Elève (5ème3)'!OI21:OK21,"D"))*1))/(COUNTA(OI21:OK21)),"")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(5ème3)'!ON21:OP21,"A"))*4)+((COUNTIF('Elève (5ème3)'!ON21:OP21,"B"))*3)+((COUNTIF('Elève (5ème3)'!ON21:OP21,"C"))*2)+((COUNTIF('Elève (5ème3)'!ON21:OP21,"D"))*1))/(COUNTA(ON21:OP21)),"")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(5ème3)'!OU21:OW21,"A"))*4)+((COUNTIF('Elève (5ème3)'!OU21:OW21,"B"))*3)+((COUNTIF('Elève (5ème3)'!OU21:OW21,"C"))*2)+((COUNTIF('Elève (5ème3)'!OU21:OW21,"D"))*1))/(COUNTA(OU21:OW21)),"")</f>
        <v/>
      </c>
      <c r="OY20" s="107" t="str">
        <f t="shared" si="96"/>
        <v/>
      </c>
      <c r="OZ20" s="204"/>
      <c r="PA20" s="186"/>
      <c r="PB20" s="205"/>
      <c r="PC20" s="129" t="str">
        <f>IFERROR((((COUNTIF('Elève (5ème3)'!OZ21:PB21,"A"))*4)+((COUNTIF('Elève (5ème3)'!OZ21:PB21,"B"))*3)+((COUNTIF('Elève (5ème3)'!OZ21:PB21,"C"))*2)+((COUNTIF('Elève (5ème3)'!OZ21:PB21,"D"))*1))/(COUNTA(OZ21:PB21)),"")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(5ème3)'!PE21:PG21,"A"))*4)+((COUNTIF('Elève (5ème3)'!PE21:PG21,"B"))*3)+((COUNTIF('Elève (5ème3)'!PE21:PG21,"C"))*2)+((COUNTIF('Elève (5ème3)'!PE21:PG21,"D"))*1))/(COUNTA(PE21:PG21)),"")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(5ème3)'!PL21:PN21,"A"))*4)+((COUNTIF('Elève (5ème3)'!PL21:PN21,"B"))*3)+((COUNTIF('Elève (5ème3)'!PL21:PN21,"C"))*2)+((COUNTIF('Elève (5ème3)'!PL21:PN21,"D"))*1))/(COUNTA(PL21:PN21)),"")</f>
        <v/>
      </c>
      <c r="PP20" s="107" t="str">
        <f t="shared" si="100"/>
        <v/>
      </c>
      <c r="PQ20" s="204"/>
      <c r="PR20" s="186"/>
      <c r="PS20" s="205"/>
      <c r="PT20" s="129" t="str">
        <f>IFERROR((((COUNTIF('Elève (5ème3)'!PQ21:PS21,"A"))*4)+((COUNTIF('Elève (5ème3)'!PQ21:PS21,"B"))*3)+((COUNTIF('Elève (5ème3)'!PQ21:PS21,"C"))*2)+((COUNTIF('Elève (5ème3)'!PQ21:PS21,"D"))*1))/(COUNTA(PQ21:PS21)),"")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(5ème3)'!PV21:PX21,"A"))*4)+((COUNTIF('Elève (5ème3)'!PV21:PX21,"B"))*3)+((COUNTIF('Elève (5ème3)'!PV21:PX21,"C"))*2)+((COUNTIF('Elève (5ème3)'!PV21:PX21,"D"))*1))/(COUNTA(PV21:PX21)),"")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(5ème3)'!QC21:QE21,"A"))*4)+((COUNTIF('Elève (5ème3)'!QC21:QE21,"B"))*3)+((COUNTIF('Elève (5ème3)'!QC21:QE21,"C"))*2)+((COUNTIF('Elève (5ème3)'!QC21:QE21,"D"))*1))/(COUNTA(QC21:QE21)),"")</f>
        <v/>
      </c>
      <c r="QG20" s="107" t="str">
        <f t="shared" si="104"/>
        <v/>
      </c>
      <c r="QH20" s="204"/>
      <c r="QI20" s="186"/>
      <c r="QJ20" s="205"/>
      <c r="QK20" s="129" t="str">
        <f>IFERROR((((COUNTIF('Elève (5ème3)'!QH21:QJ21,"A"))*4)+((COUNTIF('Elève (5ème3)'!QH21:QJ21,"B"))*3)+((COUNTIF('Elève (5ème3)'!QH21:QJ21,"C"))*2)+((COUNTIF('Elève (5ème3)'!QH21:QJ21,"D"))*1))/(COUNTA(QH21:QJ21)),"")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(5ème3)'!QM21:QO21,"A"))*4)+((COUNTIF('Elève (5ème3)'!QM21:QO21,"B"))*3)+((COUNTIF('Elève (5ème3)'!QM21:QO21,"C"))*2)+((COUNTIF('Elève (5ème3)'!QM21:QO21,"D"))*1))/(COUNTA(QM21:QO21)),"")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(5ème3)'!QT21:QV21,"A"))*4)+((COUNTIF('Elève (5ème3)'!QT21:QV21,"B"))*3)+((COUNTIF('Elève (5ème3)'!QT21:QV21,"C"))*2)+((COUNTIF('Elève (5ème3)'!QT21:QV21,"D"))*1))/(COUNTA(QT21:QV21)),"")</f>
        <v/>
      </c>
      <c r="QX20" s="107" t="str">
        <f t="shared" si="108"/>
        <v/>
      </c>
      <c r="QY20" s="204"/>
      <c r="QZ20" s="186"/>
      <c r="RA20" s="205"/>
      <c r="RB20" s="129" t="str">
        <f>IFERROR((((COUNTIF('Elève (5ème3)'!QY21:RA21,"A"))*4)+((COUNTIF('Elève (5ème3)'!QY21:RA21,"B"))*3)+((COUNTIF('Elève (5ème3)'!QY21:RA21,"C"))*2)+((COUNTIF('Elève (5ème3)'!QY21:RA21,"D"))*1))/(COUNTA(QY21:RA21)),"")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(5ème3)'!RD21:RF21,"A"))*4)+((COUNTIF('Elève (5ème3)'!RD21:RF21,"B"))*3)+((COUNTIF('Elève (5ème3)'!RD21:RF21,"C"))*2)+((COUNTIF('Elève (5ème3)'!RD21:RF21,"D"))*1))/(COUNTA(RD21:RF21)),"")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(5ème3)'!RK21:RM21,"A"))*4)+((COUNTIF('Elève (5ème3)'!RK21:RM21,"B"))*3)+((COUNTIF('Elève (5ème3)'!RK21:RM21,"C"))*2)+((COUNTIF('Elève (5ème3)'!RK21:RM21,"D"))*1))/(COUNTA(RK21:RM21)),"")</f>
        <v/>
      </c>
      <c r="RO20" s="107" t="str">
        <f t="shared" si="112"/>
        <v/>
      </c>
      <c r="RP20" s="204"/>
      <c r="RQ20" s="186"/>
      <c r="RR20" s="205"/>
      <c r="RS20" s="129" t="str">
        <f>IFERROR((((COUNTIF('Elève (5ème3)'!RP21:RR21,"A"))*4)+((COUNTIF('Elève (5ème3)'!RP21:RR21,"B"))*3)+((COUNTIF('Elève (5ème3)'!RP21:RR21,"C"))*2)+((COUNTIF('Elève (5ème3)'!RP21:RR21,"D"))*1))/(COUNTA(RP21:RR21)),"")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(5ème3)'!RU21:RW21,"A"))*4)+((COUNTIF('Elève (5ème3)'!RU21:RW21,"B"))*3)+((COUNTIF('Elève (5ème3)'!RU21:RW21,"C"))*2)+((COUNTIF('Elève (5ème3)'!RU21:RW21,"D"))*1))/(COUNTA(RU21:RW21)),"")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(5ème3)'!SB21:SD21,"A"))*4)+((COUNTIF('Elève (5ème3)'!SB21:SD21,"B"))*3)+((COUNTIF('Elève (5ème3)'!SB21:SD21,"C"))*2)+((COUNTIF('Elève (5ème3)'!SB21:SD21,"D"))*1))/(COUNTA(SB21:SD21)),"")</f>
        <v/>
      </c>
      <c r="SF20" s="107" t="str">
        <f t="shared" si="116"/>
        <v/>
      </c>
      <c r="SG20" s="204"/>
      <c r="SH20" s="186"/>
      <c r="SI20" s="205"/>
      <c r="SJ20" s="129" t="str">
        <f>IFERROR((((COUNTIF('Elève (5ème3)'!SG21:SI21,"A"))*4)+((COUNTIF('Elève (5ème3)'!SG21:SI21,"B"))*3)+((COUNTIF('Elève (5ème3)'!SG21:SI21,"C"))*2)+((COUNTIF('Elève (5ème3)'!SG21:SI21,"D"))*1))/(COUNTA(SG21:SI21)),"")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(5ème3)'!SL21:SN21,"A"))*4)+((COUNTIF('Elève (5ème3)'!SL21:SN21,"B"))*3)+((COUNTIF('Elève (5ème3)'!SL21:SN21,"C"))*2)+((COUNTIF('Elève (5ème3)'!SL21:SN21,"D"))*1))/(COUNTA(SL21:SN21)),"")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9" t="s">
        <v>25</v>
      </c>
      <c r="B21" s="230"/>
      <c r="C21" s="164"/>
      <c r="D21" s="165"/>
      <c r="E21" s="163"/>
      <c r="F21" s="114" t="str">
        <f>IFERROR((((COUNTIF('Elève (5ème3)'!C21:E21,"A"))*4)+((COUNTIF('Elève (5ème3)'!C21:E21,"B"))*3)+((COUNTIF('Elève (5ème3)'!C21:E21,"C"))*2)+((COUNTIF('Elève (5ème3)'!C21:E21,"D"))*1))/(COUNTA(C21:E21)),"")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(5ème3)'!H21:J21,"A"))*4)+((COUNTIF('Elève (5ème3)'!H21:J21,"B"))*3)+((COUNTIF('Elève (5ème3)'!H21:J21,"C"))*2)+((COUNTIF('Elève (5ème3)'!H21:J21,"D"))*1))/(COUNTA(H21:J21)),"")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(5ème3)'!M21:O21,"A"))*4)+((COUNTIF('Elève (5ème3)'!M21:O21,"B"))*3)+((COUNTIF('Elève (5ème3)'!M21:O21,"C"))*2)+((COUNTIF('Elève (5ème3)'!M21:O21,"D"))*1))/(COUNTA(M21:O21)),"")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(5ème3)'!T21:V21,"A"))*4)+((COUNTIF('Elève (5ème3)'!T21:V21,"B"))*3)+((COUNTIF('Elève (5ème3)'!T21:V21,"C"))*2)+((COUNTIF('Elève (5ème3)'!T21:V21,"D"))*1))/(COUNTA(T21:V21)),"")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(5ème3)'!Y21:AA21,"A"))*4)+((COUNTIF('Elève (5ème3)'!Y21:AA21,"B"))*3)+((COUNTIF('Elève (5ème3)'!Y21:AA21,"C"))*2)+((COUNTIF('Elève (5ème3)'!Y21:AA21,"D"))*1))/(COUNTA(Y21:AA21)),"")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(5ème3)'!AD21:AF21,"A"))*4)+((COUNTIF('Elève (5ème3)'!AD21:AF21,"B"))*3)+((COUNTIF('Elève (5ème3)'!AD21:AF21,"C"))*2)+((COUNTIF('Elève (5ème3)'!AD21:AF21,"D"))*1))/(COUNTA(AD21:AF21)),"")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(5ème3)'!AK21:AM21,"A"))*4)+((COUNTIF('Elève (5ème3)'!AK21:AM21,"B"))*3)+((COUNTIF('Elève (5ème3)'!AK21:AM21,"C"))*2)+((COUNTIF('Elève (5ème3)'!AK21:AM21,"D"))*1))/(COUNTA(AK21:AM21)),"")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(5ème3)'!AP21:AR21,"A"))*4)+((COUNTIF('Elève (5ème3)'!AP21:AR21,"B"))*3)+((COUNTIF('Elève (5ème3)'!AP21:AR21,"C"))*2)+((COUNTIF('Elève (5ème3)'!AP21:AR21,"D"))*1))/(COUNTA(AP21:AR21)),"")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(5ème3)'!AU21:AW21,"A"))*4)+((COUNTIF('Elève (5ème3)'!AU21:AW21,"B"))*3)+((COUNTIF('Elève (5ème3)'!AU21:AW21,"C"))*2)+((COUNTIF('Elève (5ème3)'!AU21:AW21,"D"))*1))/(COUNTA(AU21:AW21)),"")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(5ème3)'!BB21:BD21,"A"))*4)+((COUNTIF('Elève (5ème3)'!BB21:BD21,"B"))*3)+((COUNTIF('Elève (5ème3)'!BB21:BD21,"C"))*2)+((COUNTIF('Elève (5ème3)'!BB21:BD21,"D"))*1))/(COUNTA(BB21:BD21)),"")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(5ème3)'!BG21:BI21,"A"))*4)+((COUNTIF('Elève (5ème3)'!BG21:BI21,"B"))*3)+((COUNTIF('Elève (5ème3)'!BG21:BI21,"C"))*2)+((COUNTIF('Elève (5ème3)'!BG21:BI21,"D"))*1))/(COUNTA(BG21:BI21)),"")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(5ème3)'!BL21:BN21,"A"))*4)+((COUNTIF('Elève (5ème3)'!BL21:BN21,"B"))*3)+((COUNTIF('Elève (5ème3)'!BL21:BN21,"C"))*2)+((COUNTIF('Elève (5ème3)'!BL21:BN21,"D"))*1))/(COUNTA(BL21:BN21)),"")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(5ème3)'!BS21:BU21,"A"))*4)+((COUNTIF('Elève (5ème3)'!BS21:BU21,"B"))*3)+((COUNTIF('Elève (5ème3)'!BS21:BU21,"C"))*2)+((COUNTIF('Elève (5ème3)'!BS21:BU21,"D"))*1))/(COUNTA(BS21:BU21)),"")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(5ème3)'!BX21:BZ21,"A"))*4)+((COUNTIF('Elève (5ème3)'!BX21:BZ21,"B"))*3)+((COUNTIF('Elève (5ème3)'!BX21:BZ21,"C"))*2)+((COUNTIF('Elève (5ème3)'!BX21:BZ21,"D"))*1))/(COUNTA(BX21:BZ21)),"")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(5ème3)'!CC21:CE21,"A"))*4)+((COUNTIF('Elève (5ème3)'!CC21:CE21,"B"))*3)+((COUNTIF('Elève (5ème3)'!CC21:CE21,"C"))*2)+((COUNTIF('Elève (5ème3)'!CC21:CE21,"D"))*1))/(COUNTA(CC21:CE21)),"")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(5ème3)'!CJ21:CL21,"A"))*4)+((COUNTIF('Elève (5ème3)'!CJ21:CL21,"B"))*3)+((COUNTIF('Elève (5ème3)'!CJ21:CL21,"C"))*2)+((COUNTIF('Elève (5ème3)'!CJ21:CL21,"D"))*1))/(COUNTA(CJ21:CL21)),"")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(5ème3)'!CO21:CQ21,"A"))*4)+((COUNTIF('Elève (5ème3)'!CO21:CQ21,"B"))*3)+((COUNTIF('Elève (5ème3)'!CO21:CQ21,"C"))*2)+((COUNTIF('Elève (5ème3)'!CO21:CQ21,"D"))*1))/(COUNTA(CO21:CQ21)),"")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(5ème3)'!CT21:CV21,"A"))*4)+((COUNTIF('Elève (5ème3)'!CT21:CV21,"B"))*3)+((COUNTIF('Elève (5ème3)'!CT21:CV21,"C"))*2)+((COUNTIF('Elève (5ème3)'!CT21:CV21,"D"))*1))/(COUNTA(CT21:CV21)),"")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(5ème3)'!DA21:DC21,"A"))*4)+((COUNTIF('Elève (5ème3)'!DA21:DC21,"B"))*3)+((COUNTIF('Elève (5ème3)'!DA21:DC21,"C"))*2)+((COUNTIF('Elève (5ème3)'!DA21:DC21,"D"))*1))/(COUNTA(DA21:DC21)),"")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(5ème3)'!DF21:DH21,"A"))*4)+((COUNTIF('Elève (5ème3)'!DF21:DH21,"B"))*3)+((COUNTIF('Elève (5ème3)'!DF21:DH21,"C"))*2)+((COUNTIF('Elève (5ème3)'!DF21:DH21,"D"))*1))/(COUNTA(DF21:DH21)),"")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(5ème3)'!DK21:DM21,"A"))*4)+((COUNTIF('Elève (5ème3)'!DK21:DM21,"B"))*3)+((COUNTIF('Elève (5ème3)'!DK21:DM21,"C"))*2)+((COUNTIF('Elève (5ème3)'!DK21:DM21,"D"))*1))/(COUNTA(DK21:DM21)),"")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(5ème3)'!DR21:DT21,"A"))*4)+((COUNTIF('Elève (5ème3)'!DR21:DT21,"B"))*3)+((COUNTIF('Elève (5ème3)'!DR21:DT21,"C"))*2)+((COUNTIF('Elève (5ème3)'!DR21:DT21,"D"))*1))/(COUNTA(DR21:DT21)),"")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(5ème3)'!DW21:DY21,"A"))*4)+((COUNTIF('Elève (5ème3)'!DW21:DY21,"B"))*3)+((COUNTIF('Elève (5ème3)'!DW21:DY21,"C"))*2)+((COUNTIF('Elève (5ème3)'!DW21:DY21,"D"))*1))/(COUNTA(DW21:DY21)),"")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(5ème3)'!EB21:ED21,"A"))*4)+((COUNTIF('Elève (5ème3)'!EB21:ED21,"B"))*3)+((COUNTIF('Elève (5ème3)'!EB21:ED21,"C"))*2)+((COUNTIF('Elève (5ème3)'!EB21:ED21,"D"))*1))/(COUNTA(EB21:ED21)),"")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(5ème3)'!EI21:EK21,"A"))*4)+((COUNTIF('Elève (5ème3)'!EI21:EK21,"B"))*3)+((COUNTIF('Elève (5ème3)'!EI21:EK21,"C"))*2)+((COUNTIF('Elève (5ème3)'!EI21:EK21,"D"))*1))/(COUNTA(EI21:EK21)),"")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(5ème3)'!EN21:EP21,"A"))*4)+((COUNTIF('Elève (5ème3)'!EN21:EP21,"B"))*3)+((COUNTIF('Elève (5ème3)'!EN21:EP21,"C"))*2)+((COUNTIF('Elève (5ème3)'!EN21:EP21,"D"))*1))/(COUNTA(EN21:EP21)),"")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(5ème3)'!ES21:EU21,"A"))*4)+((COUNTIF('Elève (5ème3)'!ES21:EU21,"B"))*3)+((COUNTIF('Elève (5ème3)'!ES21:EU21,"C"))*2)+((COUNTIF('Elève (5ème3)'!ES21:EU21,"D"))*1))/(COUNTA(ES21:EU21)),"")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(5ème3)'!EZ21:FB21,"A"))*4)+((COUNTIF('Elève (5ème3)'!EZ21:FB21,"B"))*3)+((COUNTIF('Elève (5ème3)'!EZ21:FB21,"C"))*2)+((COUNTIF('Elève (5ème3)'!EZ21:FB21,"D"))*1))/(COUNTA(EZ21:FB21)),"")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(5ème3)'!FE21:FG21,"A"))*4)+((COUNTIF('Elève (5ème3)'!FE21:FG21,"B"))*3)+((COUNTIF('Elève (5ème3)'!FE21:FG21,"C"))*2)+((COUNTIF('Elève (5ème3)'!FE21:FG21,"D"))*1))/(COUNTA(FE21:FG21)),"")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(5ème3)'!FJ21:FL21,"A"))*4)+((COUNTIF('Elève (5ème3)'!FJ21:FL21,"B"))*3)+((COUNTIF('Elève (5ème3)'!FJ21:FL21,"C"))*2)+((COUNTIF('Elève (5ème3)'!FJ21:FL21,"D"))*1))/(COUNTA(FJ21:FL21)),"")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(5ème3)'!FQ21:FS21,"A"))*4)+((COUNTIF('Elève (5ème3)'!FQ21:FS21,"B"))*3)+((COUNTIF('Elève (5ème3)'!FQ21:FS21,"C"))*2)+((COUNTIF('Elève (5ème3)'!FQ21:FS21,"D"))*1))/(COUNTA(FQ21:FS21)),"")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(5ème3)'!FV21:FX21,"A"))*4)+((COUNTIF('Elève (5ème3)'!FV21:FX21,"B"))*3)+((COUNTIF('Elève (5ème3)'!FV21:FX21,"C"))*2)+((COUNTIF('Elève (5ème3)'!FV21:FX21,"D"))*1))/(COUNTA(FV21:FX21)),"")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(5ème3)'!GA21:GC21,"A"))*4)+((COUNTIF('Elève (5ème3)'!GA21:GC21,"B"))*3)+((COUNTIF('Elève (5ème3)'!GA21:GC21,"C"))*2)+((COUNTIF('Elève (5ème3)'!GA21:GC21,"D"))*1))/(COUNTA(GA21:GC21)),"")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(5ème3)'!GH21:GJ21,"A"))*4)+((COUNTIF('Elève (5ème3)'!GH21:GJ21,"B"))*3)+((COUNTIF('Elève (5ème3)'!GH21:GJ21,"C"))*2)+((COUNTIF('Elève (5ème3)'!GH21:GJ21,"D"))*1))/(COUNTA(GH21:GJ21)),"")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(5ème3)'!GM21:GO21,"A"))*4)+((COUNTIF('Elève (5ème3)'!GM21:GO21,"B"))*3)+((COUNTIF('Elève (5ème3)'!GM21:GO21,"C"))*2)+((COUNTIF('Elève (5ème3)'!GM21:GO21,"D"))*1))/(COUNTA(GM21:GO21)),"")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(5ème3)'!GR21:GT21,"A"))*4)+((COUNTIF('Elève (5ème3)'!GR21:GT21,"B"))*3)+((COUNTIF('Elève (5ème3)'!GR21:GT21,"C"))*2)+((COUNTIF('Elève (5ème3)'!GR21:GT21,"D"))*1))/(COUNTA(GR21:GT21)),"")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(5ème3)'!GY21:HA21,"A"))*4)+((COUNTIF('Elève (5ème3)'!GY21:HA21,"B"))*3)+((COUNTIF('Elève (5ème3)'!GY21:HA21,"C"))*2)+((COUNTIF('Elève (5ème3)'!GY21:HA21,"D"))*1))/(COUNTA(GY21:HA21)),"")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(5ème3)'!HD21:HF21,"A"))*4)+((COUNTIF('Elève (5ème3)'!HD21:HF21,"B"))*3)+((COUNTIF('Elève (5ème3)'!HD21:HF21,"C"))*2)+((COUNTIF('Elève (5ème3)'!HD21:HF21,"D"))*1))/(COUNTA(HD21:HF21)),"")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(5ème3)'!HI21:HK21,"A"))*4)+((COUNTIF('Elève (5ème3)'!HI21:HK21,"B"))*3)+((COUNTIF('Elève (5ème3)'!HI21:HK21,"C"))*2)+((COUNTIF('Elève (5ème3)'!HI21:HK21,"D"))*1))/(COUNTA(HI21:HK21)),"")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(5ème3)'!HP21:HR21,"A"))*4)+((COUNTIF('Elève (5ème3)'!HP21:HR21,"B"))*3)+((COUNTIF('Elève (5ème3)'!HP21:HR21,"C"))*2)+((COUNTIF('Elève (5ème3)'!HP21:HR21,"D"))*1))/(COUNTA(HP21:HR21)),"")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(5ème3)'!HU21:HW21,"A"))*4)+((COUNTIF('Elève (5ème3)'!HU21:HW21,"B"))*3)+((COUNTIF('Elève (5ème3)'!HU21:HW21,"C"))*2)+((COUNTIF('Elève (5ème3)'!HU21:HW21,"D"))*1))/(COUNTA(HU21:HW21)),"")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(5ème3)'!HZ21:IB21,"A"))*4)+((COUNTIF('Elève (5ème3)'!HZ21:IB21,"B"))*3)+((COUNTIF('Elève (5ème3)'!HZ21:IB21,"C"))*2)+((COUNTIF('Elève (5ème3)'!HZ21:IB21,"D"))*1))/(COUNTA(HZ21:IB21)),"")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(5ème3)'!IG21:II21,"A"))*4)+((COUNTIF('Elève (5ème3)'!IG21:II21,"B"))*3)+((COUNTIF('Elève (5ème3)'!IG21:II21,"C"))*2)+((COUNTIF('Elève (5ème3)'!IG21:II21,"D"))*1))/(COUNTA(IG21:II21)),"")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(5ème3)'!IL21:IN21,"A"))*4)+((COUNTIF('Elève (5ème3)'!IL21:IN21,"B"))*3)+((COUNTIF('Elève (5ème3)'!IL21:IN21,"C"))*2)+((COUNTIF('Elève (5ème3)'!IL21:IN21,"D"))*1))/(COUNTA(IL21:IN21)),"")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(5ème3)'!IQ21:IS21,"A"))*4)+((COUNTIF('Elève (5ème3)'!IQ21:IS21,"B"))*3)+((COUNTIF('Elève (5ème3)'!IQ21:IS21,"C"))*2)+((COUNTIF('Elève (5ème3)'!IQ21:IS21,"D"))*1))/(COUNTA(IQ21:IS21)),"")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(5ème3)'!IX21:IZ21,"A"))*4)+((COUNTIF('Elève (5ème3)'!IX21:IZ21,"B"))*3)+((COUNTIF('Elève (5ème3)'!IX21:IZ21,"C"))*2)+((COUNTIF('Elève (5ème3)'!IX21:IZ21,"D"))*1))/(COUNTA(IX21:IZ21)),"")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(5ème3)'!JC21:JE21,"A"))*4)+((COUNTIF('Elève (5ème3)'!JC21:JE21,"B"))*3)+((COUNTIF('Elève (5ème3)'!JC21:JE21,"C"))*2)+((COUNTIF('Elève (5ème3)'!JC21:JE21,"D"))*1))/(COUNTA(JC21:JE21)),"")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(5ème3)'!JH21:JJ21,"A"))*4)+((COUNTIF('Elève (5ème3)'!JH21:JJ21,"B"))*3)+((COUNTIF('Elève (5ème3)'!JH21:JJ21,"C"))*2)+((COUNTIF('Elève (5ème3)'!JH21:JJ21,"D"))*1))/(COUNTA(JH21:JJ21)),"")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(5ème3)'!JO21:JQ21,"A"))*4)+((COUNTIF('Elève (5ème3)'!JO21:JQ21,"B"))*3)+((COUNTIF('Elève (5ème3)'!JO21:JQ21,"C"))*2)+((COUNTIF('Elève (5ème3)'!JO21:JQ21,"D"))*1))/(COUNTA(JO21:JQ21)),"")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(5ème3)'!JT21:JV21,"A"))*4)+((COUNTIF('Elève (5ème3)'!JT21:JV21,"B"))*3)+((COUNTIF('Elève (5ème3)'!JT21:JV21,"C"))*2)+((COUNTIF('Elève (5ème3)'!JT21:JV21,"D"))*1))/(COUNTA(JT21:JV21)),"")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(5ème3)'!JY21:KA21,"A"))*4)+((COUNTIF('Elève (5ème3)'!JY21:KA21,"B"))*3)+((COUNTIF('Elève (5ème3)'!JY21:KA21,"C"))*2)+((COUNTIF('Elève (5ème3)'!JY21:KA21,"D"))*1))/(COUNTA(JY21:KA21)),"")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(5ème3)'!KF21:KH21,"A"))*4)+((COUNTIF('Elève (5ème3)'!KF21:KH21,"B"))*3)+((COUNTIF('Elève (5ème3)'!KF21:KH21,"C"))*2)+((COUNTIF('Elève (5ème3)'!KF21:KH21,"D"))*1))/(COUNTA(KF21:KH21)),"")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(5ème3)'!KK21:KM21,"A"))*4)+((COUNTIF('Elève (5ème3)'!KK21:KM21,"B"))*3)+((COUNTIF('Elève (5ème3)'!KK21:KM21,"C"))*2)+((COUNTIF('Elève (5ème3)'!KK21:KM21,"D"))*1))/(COUNTA(KK21:KM21)),"")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(5ème3)'!KP21:KR21,"A"))*4)+((COUNTIF('Elève (5ème3)'!KP21:KR21,"B"))*3)+((COUNTIF('Elève (5ème3)'!KP21:KR21,"C"))*2)+((COUNTIF('Elève (5ème3)'!KP21:KR21,"D"))*1))/(COUNTA(KP21:KR21)),"")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(5ème3)'!KW21:KY21,"A"))*4)+((COUNTIF('Elève (5ème3)'!KW21:KY21,"B"))*3)+((COUNTIF('Elève (5ème3)'!KW21:KY21,"C"))*2)+((COUNTIF('Elève (5ème3)'!KW21:KY21,"D"))*1))/(COUNTA(KW21:KY21)),"")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(5ème3)'!LB21:LD21,"A"))*4)+((COUNTIF('Elève (5ème3)'!LB21:LD21,"B"))*3)+((COUNTIF('Elève (5ème3)'!LB21:LD21,"C"))*2)+((COUNTIF('Elève (5ème3)'!LB21:LD21,"D"))*1))/(COUNTA(LB21:LD21)),"")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(5ème3)'!LG21:LI21,"A"))*4)+((COUNTIF('Elève (5ème3)'!LG21:LI21,"B"))*3)+((COUNTIF('Elève (5ème3)'!LG21:LI21,"C"))*2)+((COUNTIF('Elève (5ème3)'!LG21:LI21,"D"))*1))/(COUNTA(LG21:LI21)),"")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(5ème3)'!LN21:LP21,"A"))*4)+((COUNTIF('Elève (5ème3)'!LN21:LP21,"B"))*3)+((COUNTIF('Elève (5ème3)'!LN21:LP21,"C"))*2)+((COUNTIF('Elève (5ème3)'!LN21:LP21,"D"))*1))/(COUNTA(LN21:LP21)),"")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(5ème3)'!LS21:LU21,"A"))*4)+((COUNTIF('Elève (5ème3)'!LS21:LU21,"B"))*3)+((COUNTIF('Elève (5ème3)'!LS21:LU21,"C"))*2)+((COUNTIF('Elève (5ème3)'!LS21:LU21,"D"))*1))/(COUNTA(LS21:LU21)),"")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(5ème3)'!LX21:LZ21,"A"))*4)+((COUNTIF('Elève (5ème3)'!LX21:LZ21,"B"))*3)+((COUNTIF('Elève (5ème3)'!LX21:LZ21,"C"))*2)+((COUNTIF('Elève (5ème3)'!LX21:LZ21,"D"))*1))/(COUNTA(LX21:LZ21)),"")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(5ème3)'!ME21:MG21,"A"))*4)+((COUNTIF('Elève (5ème3)'!ME21:MG21,"B"))*3)+((COUNTIF('Elève (5ème3)'!ME21:MG21,"C"))*2)+((COUNTIF('Elève (5ème3)'!ME21:MG21,"D"))*1))/(COUNTA(ME21:MG21)),"")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(5ème3)'!MJ21:ML21,"A"))*4)+((COUNTIF('Elève (5ème3)'!MJ21:ML21,"B"))*3)+((COUNTIF('Elève (5ème3)'!MJ21:ML21,"C"))*2)+((COUNTIF('Elève (5ème3)'!MJ21:ML21,"D"))*1))/(COUNTA(MJ21:ML21)),"")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(5ème3)'!MO21:MQ21,"A"))*4)+((COUNTIF('Elève (5ème3)'!MO21:MQ21,"B"))*3)+((COUNTIF('Elève (5ème3)'!MO21:MQ21,"C"))*2)+((COUNTIF('Elève (5ème3)'!MO21:MQ21,"D"))*1))/(COUNTA(MO21:MQ21)),"")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(5ème3)'!MV21:MX21,"A"))*4)+((COUNTIF('Elève (5ème3)'!MV21:MX21,"B"))*3)+((COUNTIF('Elève (5ème3)'!MV21:MX21,"C"))*2)+((COUNTIF('Elève (5ème3)'!MV21:MX21,"D"))*1))/(COUNTA(MV21:MX21)),"")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(5ème3)'!NA21:NC21,"A"))*4)+((COUNTIF('Elève (5ème3)'!NA21:NC21,"B"))*3)+((COUNTIF('Elève (5ème3)'!NA21:NC21,"C"))*2)+((COUNTIF('Elève (5ème3)'!NA21:NC21,"D"))*1))/(COUNTA(NA21:NC21)),"")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(5ème3)'!NF21:NH21,"A"))*4)+((COUNTIF('Elève (5ème3)'!NF21:NH21,"B"))*3)+((COUNTIF('Elève (5ème3)'!NF21:NH21,"C"))*2)+((COUNTIF('Elève (5ème3)'!NF21:NH21,"D"))*1))/(COUNTA(NF21:NH21)),"")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(5ème3)'!NM21:NO21,"A"))*4)+((COUNTIF('Elève (5ème3)'!NM21:NO21,"B"))*3)+((COUNTIF('Elève (5ème3)'!NM21:NO21,"C"))*2)+((COUNTIF('Elève (5ème3)'!NM21:NO21,"D"))*1))/(COUNTA(NM21:NO21)),"")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(5ème3)'!NR21:NT21,"A"))*4)+((COUNTIF('Elève (5ème3)'!NR21:NT21,"B"))*3)+((COUNTIF('Elève (5ème3)'!NR21:NT21,"C"))*2)+((COUNTIF('Elève (5ème3)'!NR21:NT21,"D"))*1))/(COUNTA(NR21:NT21)),"")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(5ème3)'!NW21:NY21,"A"))*4)+((COUNTIF('Elève (5ème3)'!NW21:NY21,"B"))*3)+((COUNTIF('Elève (5ème3)'!NW21:NY21,"C"))*2)+((COUNTIF('Elève (5ème3)'!NW21:NY21,"D"))*1))/(COUNTA(NW21:NY21)),"")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(5ème3)'!OD21:OF21,"A"))*4)+((COUNTIF('Elève (5ème3)'!OD21:OF21,"B"))*3)+((COUNTIF('Elève (5ème3)'!OD21:OF21,"C"))*2)+((COUNTIF('Elève (5ème3)'!OD21:OF21,"D"))*1))/(COUNTA(OD21:OF21)),"")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(5ème3)'!OI21:OK21,"A"))*4)+((COUNTIF('Elève (5ème3)'!OI21:OK21,"B"))*3)+((COUNTIF('Elève (5ème3)'!OI21:OK21,"C"))*2)+((COUNTIF('Elève (5ème3)'!OI21:OK21,"D"))*1))/(COUNTA(OI21:OK21)),"")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(5ème3)'!ON21:OP21,"A"))*4)+((COUNTIF('Elève (5ème3)'!ON21:OP21,"B"))*3)+((COUNTIF('Elève (5ème3)'!ON21:OP21,"C"))*2)+((COUNTIF('Elève (5ème3)'!ON21:OP21,"D"))*1))/(COUNTA(ON21:OP21)),"")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(5ème3)'!OU21:OW21,"A"))*4)+((COUNTIF('Elève (5ème3)'!OU21:OW21,"B"))*3)+((COUNTIF('Elève (5ème3)'!OU21:OW21,"C"))*2)+((COUNTIF('Elève (5ème3)'!OU21:OW21,"D"))*1))/(COUNTA(OU21:OW21)),"")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(5ème3)'!OZ21:PB21,"A"))*4)+((COUNTIF('Elève (5ème3)'!OZ21:PB21,"B"))*3)+((COUNTIF('Elève (5ème3)'!OZ21:PB21,"C"))*2)+((COUNTIF('Elève (5ème3)'!OZ21:PB21,"D"))*1))/(COUNTA(OZ21:PB21)),"")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(5ème3)'!PE21:PG21,"A"))*4)+((COUNTIF('Elève (5ème3)'!PE21:PG21,"B"))*3)+((COUNTIF('Elève (5ème3)'!PE21:PG21,"C"))*2)+((COUNTIF('Elève (5ème3)'!PE21:PG21,"D"))*1))/(COUNTA(PE21:PG21)),"")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(5ème3)'!PL21:PN21,"A"))*4)+((COUNTIF('Elève (5ème3)'!PL21:PN21,"B"))*3)+((COUNTIF('Elève (5ème3)'!PL21:PN21,"C"))*2)+((COUNTIF('Elève (5ème3)'!PL21:PN21,"D"))*1))/(COUNTA(PL21:PN21)),"")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(5ème3)'!PQ21:PS21,"A"))*4)+((COUNTIF('Elève (5ème3)'!PQ21:PS21,"B"))*3)+((COUNTIF('Elève (5ème3)'!PQ21:PS21,"C"))*2)+((COUNTIF('Elève (5ème3)'!PQ21:PS21,"D"))*1))/(COUNTA(PQ21:PS21)),"")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(5ème3)'!PV21:PX21,"A"))*4)+((COUNTIF('Elève (5ème3)'!PV21:PX21,"B"))*3)+((COUNTIF('Elève (5ème3)'!PV21:PX21,"C"))*2)+((COUNTIF('Elève (5ème3)'!PV21:PX21,"D"))*1))/(COUNTA(PV21:PX21)),"")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(5ème3)'!QC21:QE21,"A"))*4)+((COUNTIF('Elève (5ème3)'!QC21:QE21,"B"))*3)+((COUNTIF('Elève (5ème3)'!QC21:QE21,"C"))*2)+((COUNTIF('Elève (5ème3)'!QC21:QE21,"D"))*1))/(COUNTA(QC21:QE21)),"")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(5ème3)'!QH21:QJ21,"A"))*4)+((COUNTIF('Elève (5ème3)'!QH21:QJ21,"B"))*3)+((COUNTIF('Elève (5ème3)'!QH21:QJ21,"C"))*2)+((COUNTIF('Elève (5ème3)'!QH21:QJ21,"D"))*1))/(COUNTA(QH21:QJ21)),"")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(5ème3)'!QM21:QO21,"A"))*4)+((COUNTIF('Elève (5ème3)'!QM21:QO21,"B"))*3)+((COUNTIF('Elève (5ème3)'!QM21:QO21,"C"))*2)+((COUNTIF('Elève (5ème3)'!QM21:QO21,"D"))*1))/(COUNTA(QM21:QO21)),"")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(5ème3)'!QT21:QV21,"A"))*4)+((COUNTIF('Elève (5ème3)'!QT21:QV21,"B"))*3)+((COUNTIF('Elève (5ème3)'!QT21:QV21,"C"))*2)+((COUNTIF('Elève (5ème3)'!QT21:QV21,"D"))*1))/(COUNTA(QT21:QV21)),"")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(5ème3)'!QY21:RA21,"A"))*4)+((COUNTIF('Elève (5ème3)'!QY21:RA21,"B"))*3)+((COUNTIF('Elève (5ème3)'!QY21:RA21,"C"))*2)+((COUNTIF('Elève (5ème3)'!QY21:RA21,"D"))*1))/(COUNTA(QY21:RA21)),"")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(5ème3)'!RD21:RF21,"A"))*4)+((COUNTIF('Elève (5ème3)'!RD21:RF21,"B"))*3)+((COUNTIF('Elève (5ème3)'!RD21:RF21,"C"))*2)+((COUNTIF('Elève (5ème3)'!RD21:RF21,"D"))*1))/(COUNTA(RD21:RF21)),"")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(5ème3)'!RK21:RM21,"A"))*4)+((COUNTIF('Elève (5ème3)'!RK21:RM21,"B"))*3)+((COUNTIF('Elève (5ème3)'!RK21:RM21,"C"))*2)+((COUNTIF('Elève (5ème3)'!RK21:RM21,"D"))*1))/(COUNTA(RK21:RM21)),"")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(5ème3)'!RP21:RR21,"A"))*4)+((COUNTIF('Elève (5ème3)'!RP21:RR21,"B"))*3)+((COUNTIF('Elève (5ème3)'!RP21:RR21,"C"))*2)+((COUNTIF('Elève (5ème3)'!RP21:RR21,"D"))*1))/(COUNTA(RP21:RR21)),"")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(5ème3)'!RU21:RW21,"A"))*4)+((COUNTIF('Elève (5ème3)'!RU21:RW21,"B"))*3)+((COUNTIF('Elève (5ème3)'!RU21:RW21,"C"))*2)+((COUNTIF('Elève (5ème3)'!RU21:RW21,"D"))*1))/(COUNTA(RU21:RW21)),"")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(5ème3)'!SB21:SD21,"A"))*4)+((COUNTIF('Elève (5ème3)'!SB21:SD21,"B"))*3)+((COUNTIF('Elève (5ème3)'!SB21:SD21,"C"))*2)+((COUNTIF('Elève (5ème3)'!SB21:SD21,"D"))*1))/(COUNTA(SB21:SD21)),"")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(5ème3)'!SG21:SI21,"A"))*4)+((COUNTIF('Elève (5ème3)'!SG21:SI21,"B"))*3)+((COUNTIF('Elève (5ème3)'!SG21:SI21,"C"))*2)+((COUNTIF('Elève (5ème3)'!SG21:SI21,"D"))*1))/(COUNTA(SG21:SI21)),"")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(5ème3)'!SL21:SN21,"A"))*4)+((COUNTIF('Elève (5ème3)'!SL21:SN21,"B"))*3)+((COUNTIF('Elève (5ème3)'!SL21:SN21,"C"))*2)+((COUNTIF('Elève (5ème3)'!SL21:SN21,"D"))*1))/(COUNTA(SL21:SN21)),"")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31" t="s">
        <v>26</v>
      </c>
      <c r="B22" s="232"/>
      <c r="C22" s="167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>15.625</v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>
        <f ca="1">IF(COUNTA(C22:E22)-COUNTBLANK(C22:E22)=0,"",SUM(C22:E22)/(COUNTA(C22:E22)-COUNTBLANK(C22:E22)))</f>
        <v>15.625</v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>18.75</v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>
        <f ca="1">IF(COUNTA(T22:V22)-COUNTBLANK(T22:V22)=0,"",SUM(T22:V22)/(COUNTA(T22:V22)-COUNTBLANK(T22:V22)))</f>
        <v>18.75</v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>18.75</v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>
        <f ca="1">IF(COUNTA(AK22:AM22)-COUNTBLANK(AK22:AM22)=0,"",SUM(AK22:AM22)/(COUNTA(AK22:AM22)-COUNTBLANK(AK22:AM22)))</f>
        <v>18.75</v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>18.125</v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>
        <f ca="1">IF(COUNTA(BB22:BD22)-COUNTBLANK(BB22:BD22)=0,"",SUM(BB22:BD22)/(COUNTA(BB22:BD22)-COUNTBLANK(BB22:BD22)))</f>
        <v>18.125</v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>14.375</v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>
        <f ca="1">IF(COUNTA(BS22:BU22)-COUNTBLANK(BS22:BU22)=0,"",SUM(BS22:BU22)/(COUNTA(BS22:BU22)-COUNTBLANK(BS22:BU22)))</f>
        <v>14.375</v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>18.125</v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>
        <f ca="1">IF(COUNTA(CJ22:CL22)-COUNTBLANK(CJ22:CL22)=0,"",SUM(CJ22:CL22)/(COUNTA(CJ22:CL22)-COUNTBLANK(CJ22:CL22)))</f>
        <v>18.125</v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>17.5</v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>
        <f ca="1">IF(COUNTA(DA22:DC22)-COUNTBLANK(DA22:DC22)=0,"",SUM(DA22:DC22)/(COUNTA(DA22:DC22)-COUNTBLANK(DA22:DC22)))</f>
        <v>17.5</v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>18.125</v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>
        <f ca="1">IF(COUNTA(DR22:DT22)-COUNTBLANK(DR22:DT22)=0,"",SUM(DR22:DT22)/(COUNTA(DR22:DT22)-COUNTBLANK(DR22:DT22)))</f>
        <v>18.125</v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>18.125</v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>
        <f ca="1">IF(COUNTA(EI22:EK22)-COUNTBLANK(EI22:EK22)=0,"",SUM(EI22:EK22)/(COUNTA(EI22:EK22)-COUNTBLANK(EI22:EK22)))</f>
        <v>18.125</v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>18.125</v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>
        <f ca="1">IF(COUNTA(EZ22:FB22)-COUNTBLANK(EZ22:FB22)=0,"",SUM(EZ22:FB22)/(COUNTA(EZ22:FB22)-COUNTBLANK(EZ22:FB22)))</f>
        <v>18.125</v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>14.375</v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>
        <f ca="1">IF(COUNTA(FQ22:FS22)-COUNTBLANK(FQ22:FS22)=0,"",SUM(FQ22:FS22)/(COUNTA(FQ22:FS22)-COUNTBLANK(FQ22:FS22)))</f>
        <v>14.375</v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>16.875</v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>
        <f ca="1">IF(COUNTA(GH22:GJ22)-COUNTBLANK(GH22:GJ22)=0,"",SUM(GH22:GJ22)/(COUNTA(GH22:GJ22)-COUNTBLANK(GH22:GJ22)))</f>
        <v>16.875</v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>18.75</v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>
        <f ca="1">IF(COUNTA(GY22:HA22)-COUNTBLANK(GY22:HA22)=0,"",SUM(GY22:HA22)/(COUNTA(GY22:HA22)-COUNTBLANK(GY22:HA22)))</f>
        <v>18.75</v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>15</v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>
        <f ca="1">IF(COUNTA(HP22:HR22)-COUNTBLANK(HP22:HR22)=0,"",SUM(HP22:HR22)/(COUNTA(HP22:HR22)-COUNTBLANK(HP22:HR22)))</f>
        <v>15</v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>10</v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>
        <f ca="1">IF(COUNTA(IG22:II22)-COUNTBLANK(IG22:II22)=0,"",SUM(IG22:II22)/(COUNTA(IG22:II22)-COUNTBLANK(IG22:II22)))</f>
        <v>10</v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>18.75</v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>
        <f ca="1">IF(COUNTA(IX22:IZ22)-COUNTBLANK(IX22:IZ22)=0,"",SUM(IX22:IZ22)/(COUNTA(IX22:IZ22)-COUNTBLANK(IX22:IZ22)))</f>
        <v>18.75</v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>15.625</v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>
        <f ca="1">IF(COUNTA(JO22:JQ22)-COUNTBLANK(JO22:JQ22)=0,"",SUM(JO22:JQ22)/(COUNTA(JO22:JQ22)-COUNTBLANK(JO22:JQ22)))</f>
        <v>15.625</v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>16.875</v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>
        <f ca="1">IF(COUNTA(KF22:KH22)-COUNTBLANK(KF22:KH22)=0,"",SUM(KF22:KH22)/(COUNTA(KF22:KH22)-COUNTBLANK(KF22:KH22)))</f>
        <v>16.875</v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>14.375</v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>
        <f ca="1">IF(COUNTA(KW22:KY22)-COUNTBLANK(KW22:KY22)=0,"",SUM(KW22:KY22)/(COUNTA(KW22:KY22)-COUNTBLANK(KW22:KY22)))</f>
        <v>14.375</v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>15.625</v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>
        <f ca="1">IF(COUNTA(LN22:LP22)-COUNTBLANK(LN22:LP22)=0,"",SUM(LN22:LP22)/(COUNTA(LN22:LP22)-COUNTBLANK(LN22:LP22)))</f>
        <v>15.625</v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>15.625</v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>
        <f ca="1">IF(COUNTA(ME22:MG22)-COUNTBLANK(ME22:MG22)=0,"",SUM(ME22:MG22)/(COUNTA(ME22:MG22)-COUNTBLANK(ME22:MG22)))</f>
        <v>15.625</v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>18.75</v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>
        <f ca="1">IF(COUNTA(MV22:MX22)-COUNTBLANK(MV22:MX22)=0,"",SUM(MV22:MX22)/(COUNTA(MV22:MX22)-COUNTBLANK(MV22:MX22)))</f>
        <v>18.75</v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>18.75</v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>
        <f ca="1">IF(COUNTA(NM22:NO22)-COUNTBLANK(NM22:NO22)=0,"",SUM(NM22:NO22)/(COUNTA(NM22:NO22)-COUNTBLANK(NM22:NO22)))</f>
        <v>18.75</v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>15.625</v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>
        <f ca="1">IF(COUNTA(OD22:OF22)-COUNTBLANK(OD22:OF22)=0,"",SUM(OD22:OF22)/(COUNTA(OD22:OF22)-COUNTBLANK(OD22:OF22)))</f>
        <v>15.625</v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>17.5</v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>
        <f ca="1">IF(COUNTA(OU22:OW22)-COUNTBLANK(OU22:OW22)=0,"",SUM(OU22:OW22)/(COUNTA(OU22:OW22)-COUNTBLANK(OU22:OW22)))</f>
        <v>17.5</v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>16.875</v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>
        <f ca="1">IF(COUNTA(PL22:PN22)-COUNTBLANK(PL22:PN22)=0,"",SUM(PL22:PN22)/(COUNTA(PL22:PN22)-COUNTBLANK(PL22:PN22)))</f>
        <v>16.875</v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>16.875</v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>
        <f ca="1">IF(COUNTA(QC22:QE22)-COUNTBLANK(QC22:QE22)=0,"",SUM(QC22:QE22)/(COUNTA(QC22:QE22)-COUNTBLANK(QC22:QE22)))</f>
        <v>16.875</v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>16.25</v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>
        <f ca="1">IF(COUNTA(QT22:QV22)-COUNTBLANK(QT22:QV22)=0,"",SUM(QT22:QV22)/(COUNTA(QT22:QV22)-COUNTBLANK(QT22:QV22)))</f>
        <v>16.25</v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>2</v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c5P9u29PxbNxHVKJj7HZSGUsRNmV7ufaZRrafKV84i4aMsO47/fLzdOlhhQOtTboS8wX9hChCZOc0xqOwhcFoA==" saltValue="KQOVTuGx0RJYwOJ97qc9sQ==" spinCount="100000" sheet="1" insertColumns="0" deleteColumns="0" selectLockedCells="1"/>
  <dataConsolidate/>
  <mergeCells count="15">
    <mergeCell ref="A9:B9"/>
    <mergeCell ref="A1:B1"/>
    <mergeCell ref="A5:B5"/>
    <mergeCell ref="A6:B6"/>
    <mergeCell ref="A7:B7"/>
    <mergeCell ref="A8:B8"/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AC33"/>
  <sheetViews>
    <sheetView topLeftCell="O1" zoomScale="90" zoomScaleNormal="90" workbookViewId="0">
      <selection activeCell="AC3" sqref="AC3"/>
    </sheetView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216</v>
      </c>
      <c r="B1" s="206" t="s">
        <v>0</v>
      </c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7"/>
      <c r="AC1" s="38" t="s">
        <v>40</v>
      </c>
    </row>
    <row r="2" spans="1:29" ht="24.95" customHeight="1" thickTop="1" x14ac:dyDescent="0.25">
      <c r="A2" s="208" t="s">
        <v>1</v>
      </c>
      <c r="B2" s="210" t="s">
        <v>2</v>
      </c>
      <c r="C2" s="210"/>
      <c r="D2" s="210"/>
      <c r="E2" s="211"/>
      <c r="F2" s="212" t="s">
        <v>3</v>
      </c>
      <c r="G2" s="213"/>
      <c r="H2" s="213"/>
      <c r="I2" s="214"/>
      <c r="J2" s="212" t="s">
        <v>4</v>
      </c>
      <c r="K2" s="213"/>
      <c r="L2" s="213"/>
      <c r="M2" s="214"/>
      <c r="N2" s="212" t="s">
        <v>5</v>
      </c>
      <c r="O2" s="213"/>
      <c r="P2" s="213"/>
      <c r="Q2" s="214"/>
      <c r="R2" s="212" t="s">
        <v>6</v>
      </c>
      <c r="S2" s="213"/>
      <c r="T2" s="213"/>
      <c r="U2" s="214"/>
      <c r="V2" s="215" t="s">
        <v>38</v>
      </c>
      <c r="W2" s="216"/>
      <c r="X2" s="217"/>
      <c r="Y2" s="218" t="s">
        <v>36</v>
      </c>
      <c r="Z2" s="219"/>
      <c r="AA2" s="220"/>
      <c r="AC2" s="47" t="s">
        <v>65</v>
      </c>
    </row>
    <row r="3" spans="1:29" ht="24.95" customHeight="1" thickBot="1" x14ac:dyDescent="0.3">
      <c r="A3" s="209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46</v>
      </c>
    </row>
    <row r="4" spans="1:29" ht="15.75" customHeight="1" thickTop="1" x14ac:dyDescent="0.25">
      <c r="A4" s="44" t="str">
        <f ca="1">CELL("contenu",INDIRECT(ADDRESS(ROW()-2,7,1,,CELL("contenu",$AC$3))))</f>
        <v>AYMOND Victoire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CELL("contenu",INDIRECT(ADDRESS(ROW()-2,7,1,,CELL("contenu",$AC$3))))</f>
        <v>BORGYE Lisa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COMBROUZE Francois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DE GERMAY Paul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DE LA RUE DU CAN Baptiste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DE PONCHEVILLE Maelys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DESECOT Marie-Clemence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GARAND Blanche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GATINE Martin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GERVAIS-PRIMORAC Ivan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GOISQUE Foucauld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GOTTE Constance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GUICHARD Paul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HALLAIS Louis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JEAN-BAPTISTE Clemence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JIANG Leo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KADRIC Lina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LAURENT Marie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LE GOUVELLO DE LA PORTE Armelle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LECORSU Romeo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NORGUET Andrea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NOSMAS Clement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RICARD Samuel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RIMBERT Charlotte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ROBARD Romeo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ROBERT Charlotte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ROBIN Paul-Armand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 t="str">
        <f t="shared" ca="1" si="0"/>
        <v>SOULEZ Marion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 t="str">
        <f t="shared" ca="1" si="0"/>
        <v>TRIOLET Mila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X7/rFNaHCBO9FkdBQAFiaImkj91+ocHdJit2ALnPfuMt2/Imcqc1WPrGCeQobenn4t3M2B7oN3IxSN1IPnQg6w==" saltValue="e+DB6unPKLl+QMdQxzLYVg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SR27"/>
  <sheetViews>
    <sheetView topLeftCell="A2" zoomScale="59" zoomScaleNormal="70" workbookViewId="0">
      <pane xSplit="2" topLeftCell="IT1" activePane="topRight" state="frozen"/>
      <selection activeCell="Y3" sqref="Y3:AA3"/>
      <selection pane="topRight" activeCell="JO18" sqref="JO18"/>
    </sheetView>
  </sheetViews>
  <sheetFormatPr baseColWidth="10" defaultColWidth="5.7109375" defaultRowHeight="15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23" t="s">
        <v>41</v>
      </c>
      <c r="B1" s="224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66</v>
      </c>
      <c r="C2" s="148" t="str">
        <f ca="1">IF(CELL("contenu",INDIRECT(ADDRESS(C1,1,1,1,CELL("contenu",$B$2))))="","----",CELL("contenu",INDIRECT(ADDRESS(C1,1,1,1,CELL("contenu",$B$2)))))</f>
        <v>AYMOND Victoire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BORGYE Lisa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COMBROUZE Francois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DE GERMAY Paul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DE LA RUE DU CAN Baptiste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DE PONCHEVILLE Maelys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DESECOT Marie-Clemence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GARAND Blanche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GATINE Martin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GERVAIS-PRIMORAC Ivan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GOISQUE Foucauld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GOTTE Constance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GUICHARD Paul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HALLAIS Louis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JEAN-BAPTISTE Clemence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JIANG Leo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KADRIC Lina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LAURENT Marie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LE GOUVELLO DE LA PORTE Armelle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LECORSU Romeo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NORGUET Andrea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NOSMAS Clement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RICARD Samuel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RIMBERT Charlotte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ROBARD Romeo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ROBERT Charlotte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ROBIN Paul-Armand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 t="str">
        <f ca="1">IF(CELL("contenu",INDIRECT(ADDRESS(QT1,1,1,1,CELL("contenu",$B$2))))="","----",CELL("contenu",INDIRECT(ADDRESS(QT1,1,1,1,CELL("contenu",$B$2)))))</f>
        <v>SOULEZ Marion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 t="str">
        <f ca="1">IF(CELL("contenu",INDIRECT(ADDRESS(RK1,1,1,1,CELL("contenu",$B$2))))="","----",CELL("contenu",INDIRECT(ADDRESS(RK1,1,1,1,CELL("contenu",$B$2)))))</f>
        <v>TRIOLET Mila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(5ème4)'!C5:E9,"A"))*4)+((COUNTIF('Elève (5ème4)'!C5:E9,"B"))*3)+((COUNTIF('Elève (5ème4)'!C5:E9,"C"))*2)+((COUNTIF('Elève (5ème4)'!C5:E9,"D"))*1))/(COUNTA(C5:E9)),"")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4"/>
      <c r="I4" s="186"/>
      <c r="J4" s="205"/>
      <c r="K4" s="106" t="str">
        <f>IFERROR((((COUNTIF('Elève (5ème4)'!H5:J9,"A"))*4)+((COUNTIF('Elève (5ème4)'!H5:J9,"B"))*3)+((COUNTIF('Elève (5ème4)'!H5:J9,"C"))*2)+((COUNTIF('Elève (5ème4)'!H5:J9,"D"))*1))/(COUNTA(H5:J9)),"")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(5ème4)'!M5:O9,"A"))*4)+((COUNTIF('Elève (5ème4)'!M5:O9,"B"))*3)+((COUNTIF('Elève (5ème4)'!M5:O9,"C"))*2)+((COUNTIF('Elève (5ème4)'!M5:O9,"D"))*1))/(COUNTA(M5:O9)),"")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(5ème4)'!T5:V9,"A"))*4)+((COUNTIF('Elève (5ème4)'!T5:V9,"B"))*3)+((COUNTIF('Elève (5ème4)'!T5:V9,"C"))*2)+((COUNTIF('Elève (5ème4)'!T5:V9,"D"))*1))/(COUNTA(T5:V9)),"")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4"/>
      <c r="Z4" s="186"/>
      <c r="AA4" s="205"/>
      <c r="AB4" s="106" t="str">
        <f>IFERROR((((COUNTIF('Elève (5ème4)'!Y5:AA9,"A"))*4)+((COUNTIF('Elève (5ème4)'!Y5:AA9,"B"))*3)+((COUNTIF('Elève (5ème4)'!Y5:AA9,"C"))*2)+((COUNTIF('Elève (5ème4)'!Y5:AA9,"D"))*1))/(COUNTA(Y5:AA9)),"")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(5ème4)'!AD5:AF9,"A"))*4)+((COUNTIF('Elève (5ème4)'!AD5:AF9,"B"))*3)+((COUNTIF('Elève (5ème4)'!AD5:AF9,"C"))*2)+((COUNTIF('Elève (5ème4)'!AD5:AF9,"D"))*1))/(COUNTA(AD5:AF9)),"")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(5ème4)'!AK5:AM9,"A"))*4)+((COUNTIF('Elève (5ème4)'!AK5:AM9,"B"))*3)+((COUNTIF('Elève (5ème4)'!AK5:AM9,"C"))*2)+((COUNTIF('Elève (5ème4)'!AK5:AM9,"D"))*1))/(COUNTA(AK5:AM9)),"")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4"/>
      <c r="AQ4" s="186"/>
      <c r="AR4" s="205"/>
      <c r="AS4" s="106" t="str">
        <f>IFERROR((((COUNTIF('Elève (5ème4)'!AP5:AR9,"A"))*4)+((COUNTIF('Elève (5ème4)'!AP5:AR9,"B"))*3)+((COUNTIF('Elève (5ème4)'!AP5:AR9,"C"))*2)+((COUNTIF('Elève (5ème4)'!AP5:AR9,"D"))*1))/(COUNTA(AP5:AR9)),"")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(5ème4)'!AU5:AW9,"A"))*4)+((COUNTIF('Elève (5ème4)'!AU5:AW9,"B"))*3)+((COUNTIF('Elève (5ème4)'!AU5:AW9,"C"))*2)+((COUNTIF('Elève (5ème4)'!AU5:AW9,"D"))*1))/(COUNTA(AU5:AW9)),"")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(5ème4)'!BB5:BD9,"A"))*4)+((COUNTIF('Elève (5ème4)'!BB5:BD9,"B"))*3)+((COUNTIF('Elève (5ème4)'!BB5:BD9,"C"))*2)+((COUNTIF('Elève (5ème4)'!BB5:BD9,"D"))*1))/(COUNTA(BB5:BD9)),"")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4"/>
      <c r="BH4" s="186"/>
      <c r="BI4" s="205"/>
      <c r="BJ4" s="106" t="str">
        <f>IFERROR((((COUNTIF('Elève (5ème4)'!BG5:BI9,"A"))*4)+((COUNTIF('Elève (5ème4)'!BG5:BI9,"B"))*3)+((COUNTIF('Elève (5ème4)'!BG5:BI9,"C"))*2)+((COUNTIF('Elève (5ème4)'!BG5:BI9,"D"))*1))/(COUNTA(BG5:BI9)),"")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(5ème4)'!BL5:BN9,"A"))*4)+((COUNTIF('Elève (5ème4)'!BL5:BN9,"B"))*3)+((COUNTIF('Elève (5ème4)'!BL5:BN9,"C"))*2)+((COUNTIF('Elève (5ème4)'!BL5:BN9,"D"))*1))/(COUNTA(BL5:BN9)),"")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(5ème4)'!BS5:BU9,"A"))*4)+((COUNTIF('Elève (5ème4)'!BS5:BU9,"B"))*3)+((COUNTIF('Elève (5ème4)'!BS5:BU9,"C"))*2)+((COUNTIF('Elève (5ème4)'!BS5:BU9,"D"))*1))/(COUNTA(BS5:BU9)),"")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4"/>
      <c r="BY4" s="186"/>
      <c r="BZ4" s="205"/>
      <c r="CA4" s="106" t="str">
        <f>IFERROR((((COUNTIF('Elève (5ème4)'!BX5:BZ9,"A"))*4)+((COUNTIF('Elève (5ème4)'!BX5:BZ9,"B"))*3)+((COUNTIF('Elève (5ème4)'!BX5:BZ9,"C"))*2)+((COUNTIF('Elève (5ème4)'!BX5:BZ9,"D"))*1))/(COUNTA(BX5:BZ9)),"")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(5ème4)'!CC5:CE9,"A"))*4)+((COUNTIF('Elève (5ème4)'!CC5:CE9,"B"))*3)+((COUNTIF('Elève (5ème4)'!CC5:CE9,"C"))*2)+((COUNTIF('Elève (5ème4)'!CC5:CE9,"D"))*1))/(COUNTA(CC5:CE9)),"")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(5ème4)'!CJ5:CL9,"A"))*4)+((COUNTIF('Elève (5ème4)'!CJ5:CL9,"B"))*3)+((COUNTIF('Elève (5ème4)'!CJ5:CL9,"C"))*2)+((COUNTIF('Elève (5ème4)'!CJ5:CL9,"D"))*1))/(COUNTA(CJ5:CL9)),"")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4"/>
      <c r="CP4" s="186"/>
      <c r="CQ4" s="205"/>
      <c r="CR4" s="106" t="str">
        <f>IFERROR((((COUNTIF('Elève (5ème4)'!CO5:CQ9,"A"))*4)+((COUNTIF('Elève (5ème4)'!CO5:CQ9,"B"))*3)+((COUNTIF('Elève (5ème4)'!CO5:CQ9,"C"))*2)+((COUNTIF('Elève (5ème4)'!CO5:CQ9,"D"))*1))/(COUNTA(CO5:CQ9)),"")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(5ème4)'!CT5:CV9,"A"))*4)+((COUNTIF('Elève (5ème4)'!CT5:CV9,"B"))*3)+((COUNTIF('Elève (5ème4)'!CT5:CV9,"C"))*2)+((COUNTIF('Elève (5ème4)'!CT5:CV9,"D"))*1))/(COUNTA(CT5:CV9)),"")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(5ème4)'!DA5:DC9,"A"))*4)+((COUNTIF('Elève (5ème4)'!DA5:DC9,"B"))*3)+((COUNTIF('Elève (5ème4)'!DA5:DC9,"C"))*2)+((COUNTIF('Elève (5ème4)'!DA5:DC9,"D"))*1))/(COUNTA(DA5:DC9)),"")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4"/>
      <c r="DG4" s="186"/>
      <c r="DH4" s="205"/>
      <c r="DI4" s="106" t="str">
        <f>IFERROR((((COUNTIF('Elève (5ème4)'!DF5:DH9,"A"))*4)+((COUNTIF('Elève (5ème4)'!DF5:DH9,"B"))*3)+((COUNTIF('Elève (5ème4)'!DF5:DH9,"C"))*2)+((COUNTIF('Elève (5ème4)'!DF5:DH9,"D"))*1))/(COUNTA(DF5:DH9)),"")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(5ème4)'!DK5:DM9,"A"))*4)+((COUNTIF('Elève (5ème4)'!DK5:DM9,"B"))*3)+((COUNTIF('Elève (5ème4)'!DK5:DM9,"C"))*2)+((COUNTIF('Elève (5ème4)'!DK5:DM9,"D"))*1))/(COUNTA(DK5:DM9)),"")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(5ème4)'!DR5:DT9,"A"))*4)+((COUNTIF('Elève (5ème4)'!DR5:DT9,"B"))*3)+((COUNTIF('Elève (5ème4)'!DR5:DT9,"C"))*2)+((COUNTIF('Elève (5ème4)'!DR5:DT9,"D"))*1))/(COUNTA(DR5:DT9)),"")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4"/>
      <c r="DX4" s="186"/>
      <c r="DY4" s="205"/>
      <c r="DZ4" s="106" t="str">
        <f>IFERROR((((COUNTIF('Elève (5ème4)'!DW5:DY9,"A"))*4)+((COUNTIF('Elève (5ème4)'!DW5:DY9,"B"))*3)+((COUNTIF('Elève (5ème4)'!DW5:DY9,"C"))*2)+((COUNTIF('Elève (5ème4)'!DW5:DY9,"D"))*1))/(COUNTA(DW5:DY9)),"")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(5ème4)'!EB5:ED9,"A"))*4)+((COUNTIF('Elève (5ème4)'!EB5:ED9,"B"))*3)+((COUNTIF('Elève (5ème4)'!EB5:ED9,"C"))*2)+((COUNTIF('Elève (5ème4)'!EB5:ED9,"D"))*1))/(COUNTA(EB5:ED9)),"")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(5ème4)'!EI5:EK9,"A"))*4)+((COUNTIF('Elève (5ème4)'!EI5:EK9,"B"))*3)+((COUNTIF('Elève (5ème4)'!EI5:EK9,"C"))*2)+((COUNTIF('Elève (5ème4)'!EI5:EK9,"D"))*1))/(COUNTA(EI5:EK9)),"")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4"/>
      <c r="EO4" s="186"/>
      <c r="EP4" s="205"/>
      <c r="EQ4" s="106" t="str">
        <f>IFERROR((((COUNTIF('Elève (5ème4)'!EN5:EP9,"A"))*4)+((COUNTIF('Elève (5ème4)'!EN5:EP9,"B"))*3)+((COUNTIF('Elève (5ème4)'!EN5:EP9,"C"))*2)+((COUNTIF('Elève (5ème4)'!EN5:EP9,"D"))*1))/(COUNTA(EN5:EP9)),"")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(5ème4)'!ES5:EU9,"A"))*4)+((COUNTIF('Elève (5ème4)'!ES5:EU9,"B"))*3)+((COUNTIF('Elève (5ème4)'!ES5:EU9,"C"))*2)+((COUNTIF('Elève (5ème4)'!ES5:EU9,"D"))*1))/(COUNTA(ES5:EU9)),"")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(5ème4)'!EZ5:FB9,"A"))*4)+((COUNTIF('Elève (5ème4)'!EZ5:FB9,"B"))*3)+((COUNTIF('Elève (5ème4)'!EZ5:FB9,"C"))*2)+((COUNTIF('Elève (5ème4)'!EZ5:FB9,"D"))*1))/(COUNTA(EZ5:FB9)),"")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4"/>
      <c r="FF4" s="186"/>
      <c r="FG4" s="205"/>
      <c r="FH4" s="106" t="str">
        <f>IFERROR((((COUNTIF('Elève (5ème4)'!FE5:FG9,"A"))*4)+((COUNTIF('Elève (5ème4)'!FE5:FG9,"B"))*3)+((COUNTIF('Elève (5ème4)'!FE5:FG9,"C"))*2)+((COUNTIF('Elève (5ème4)'!FE5:FG9,"D"))*1))/(COUNTA(FE5:FG9)),"")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(5ème4)'!FJ5:FL9,"A"))*4)+((COUNTIF('Elève (5ème4)'!FJ5:FL9,"B"))*3)+((COUNTIF('Elève (5ème4)'!FJ5:FL9,"C"))*2)+((COUNTIF('Elève (5ème4)'!FJ5:FL9,"D"))*1))/(COUNTA(FJ5:FL9)),"")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(5ème4)'!FQ5:FS9,"A"))*4)+((COUNTIF('Elève (5ème4)'!FQ5:FS9,"B"))*3)+((COUNTIF('Elève (5ème4)'!FQ5:FS9,"C"))*2)+((COUNTIF('Elève (5ème4)'!FQ5:FS9,"D"))*1))/(COUNTA(FQ5:FS9)),"")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4"/>
      <c r="FW4" s="186"/>
      <c r="FX4" s="205"/>
      <c r="FY4" s="106" t="str">
        <f>IFERROR((((COUNTIF('Elève (5ème4)'!FV5:FX9,"A"))*4)+((COUNTIF('Elève (5ème4)'!FV5:FX9,"B"))*3)+((COUNTIF('Elève (5ème4)'!FV5:FX9,"C"))*2)+((COUNTIF('Elève (5ème4)'!FV5:FX9,"D"))*1))/(COUNTA(FV5:FX9)),"")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(5ème4)'!GA5:GC9,"A"))*4)+((COUNTIF('Elève (5ème4)'!GA5:GC9,"B"))*3)+((COUNTIF('Elève (5ème4)'!GA5:GC9,"C"))*2)+((COUNTIF('Elève (5ème4)'!GA5:GC9,"D"))*1))/(COUNTA(GA5:GC9)),"")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(5ème4)'!GH5:GJ9,"A"))*4)+((COUNTIF('Elève (5ème4)'!GH5:GJ9,"B"))*3)+((COUNTIF('Elève (5ème4)'!GH5:GJ9,"C"))*2)+((COUNTIF('Elève (5ème4)'!GH5:GJ9,"D"))*1))/(COUNTA(GH5:GJ9)),"")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4"/>
      <c r="GN4" s="186"/>
      <c r="GO4" s="205"/>
      <c r="GP4" s="106" t="str">
        <f>IFERROR((((COUNTIF('Elève (5ème4)'!GM5:GO9,"A"))*4)+((COUNTIF('Elève (5ème4)'!GM5:GO9,"B"))*3)+((COUNTIF('Elève (5ème4)'!GM5:GO9,"C"))*2)+((COUNTIF('Elève (5ème4)'!GM5:GO9,"D"))*1))/(COUNTA(GM5:GO9)),"")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(5ème4)'!GR5:GT9,"A"))*4)+((COUNTIF('Elève (5ème4)'!GR5:GT9,"B"))*3)+((COUNTIF('Elève (5ème4)'!GR5:GT9,"C"))*2)+((COUNTIF('Elève (5ème4)'!GR5:GT9,"D"))*1))/(COUNTA(GR5:GT9)),"")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(5ème4)'!GY5:HA9,"A"))*4)+((COUNTIF('Elève (5ème4)'!GY5:HA9,"B"))*3)+((COUNTIF('Elève (5ème4)'!GY5:HA9,"C"))*2)+((COUNTIF('Elève (5ème4)'!GY5:HA9,"D"))*1))/(COUNTA(GY5:HA9)),"")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4"/>
      <c r="HE4" s="186"/>
      <c r="HF4" s="205"/>
      <c r="HG4" s="106" t="str">
        <f>IFERROR((((COUNTIF('Elève (5ème4)'!HD5:HF9,"A"))*4)+((COUNTIF('Elève (5ème4)'!HD5:HF9,"B"))*3)+((COUNTIF('Elève (5ème4)'!HD5:HF9,"C"))*2)+((COUNTIF('Elève (5ème4)'!HD5:HF9,"D"))*1))/(COUNTA(HD5:HF9)),"")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(5ème4)'!HI5:HK9,"A"))*4)+((COUNTIF('Elève (5ème4)'!HI5:HK9,"B"))*3)+((COUNTIF('Elève (5ème4)'!HI5:HK9,"C"))*2)+((COUNTIF('Elève (5ème4)'!HI5:HK9,"D"))*1))/(COUNTA(HI5:HK9)),"")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(5ème4)'!HP5:HR9,"A"))*4)+((COUNTIF('Elève (5ème4)'!HP5:HR9,"B"))*3)+((COUNTIF('Elève (5ème4)'!HP5:HR9,"C"))*2)+((COUNTIF('Elève (5ème4)'!HP5:HR9,"D"))*1))/(COUNTA(HP5:HR9)),"")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4"/>
      <c r="HV4" s="186"/>
      <c r="HW4" s="205"/>
      <c r="HX4" s="106" t="str">
        <f>IFERROR((((COUNTIF('Elève (5ème4)'!HU5:HW9,"A"))*4)+((COUNTIF('Elève (5ème4)'!HU5:HW9,"B"))*3)+((COUNTIF('Elève (5ème4)'!HU5:HW9,"C"))*2)+((COUNTIF('Elève (5ème4)'!HU5:HW9,"D"))*1))/(COUNTA(HU5:HW9)),"")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(5ème4)'!HZ5:IB9,"A"))*4)+((COUNTIF('Elève (5ème4)'!HZ5:IB9,"B"))*3)+((COUNTIF('Elève (5ème4)'!HZ5:IB9,"C"))*2)+((COUNTIF('Elève (5ème4)'!HZ5:IB9,"D"))*1))/(COUNTA(HZ5:IB9)),"")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(5ème4)'!IG5:II9,"A"))*4)+((COUNTIF('Elève (5ème4)'!IG5:II9,"B"))*3)+((COUNTIF('Elève (5ème4)'!IG5:II9,"C"))*2)+((COUNTIF('Elève (5ème4)'!IG5:II9,"D"))*1))/(COUNTA(IG5:II9)),"")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4"/>
      <c r="IM4" s="186"/>
      <c r="IN4" s="205"/>
      <c r="IO4" s="106" t="str">
        <f>IFERROR((((COUNTIF('Elève (5ème4)'!IL5:IN9,"A"))*4)+((COUNTIF('Elève (5ème4)'!IL5:IN9,"B"))*3)+((COUNTIF('Elève (5ème4)'!IL5:IN9,"C"))*2)+((COUNTIF('Elève (5ème4)'!IL5:IN9,"D"))*1))/(COUNTA(IL5:IN9)),"")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(5ème4)'!IQ5:IS9,"A"))*4)+((COUNTIF('Elève (5ème4)'!IQ5:IS9,"B"))*3)+((COUNTIF('Elève (5ème4)'!IQ5:IS9,"C"))*2)+((COUNTIF('Elève (5ème4)'!IQ5:IS9,"D"))*1))/(COUNTA(IQ5:IS9)),"")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(5ème4)'!IX5:IZ9,"A"))*4)+((COUNTIF('Elève (5ème4)'!IX5:IZ9,"B"))*3)+((COUNTIF('Elève (5ème4)'!IX5:IZ9,"C"))*2)+((COUNTIF('Elève (5ème4)'!IX5:IZ9,"D"))*1))/(COUNTA(IX5:IZ9)),"")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4"/>
      <c r="JD4" s="186"/>
      <c r="JE4" s="205"/>
      <c r="JF4" s="106" t="str">
        <f>IFERROR((((COUNTIF('Elève (5ème4)'!JC5:JE9,"A"))*4)+((COUNTIF('Elève (5ème4)'!JC5:JE9,"B"))*3)+((COUNTIF('Elève (5ème4)'!JC5:JE9,"C"))*2)+((COUNTIF('Elève (5ème4)'!JC5:JE9,"D"))*1))/(COUNTA(JC5:JE9)),"")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(5ème4)'!JH5:JJ9,"A"))*4)+((COUNTIF('Elève (5ème4)'!JH5:JJ9,"B"))*3)+((COUNTIF('Elève (5ème4)'!JH5:JJ9,"C"))*2)+((COUNTIF('Elève (5ème4)'!JH5:JJ9,"D"))*1))/(COUNTA(JH5:JJ9)),"")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(5ème4)'!JO5:JQ9,"A"))*4)+((COUNTIF('Elève (5ème4)'!JO5:JQ9,"B"))*3)+((COUNTIF('Elève (5ème4)'!JO5:JQ9,"C"))*2)+((COUNTIF('Elève (5ème4)'!JO5:JQ9,"D"))*1))/(COUNTA(JO5:JQ9)),"")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4"/>
      <c r="JU4" s="186"/>
      <c r="JV4" s="205"/>
      <c r="JW4" s="106" t="str">
        <f>IFERROR((((COUNTIF('Elève (5ème4)'!JT5:JV9,"A"))*4)+((COUNTIF('Elève (5ème4)'!JT5:JV9,"B"))*3)+((COUNTIF('Elève (5ème4)'!JT5:JV9,"C"))*2)+((COUNTIF('Elève (5ème4)'!JT5:JV9,"D"))*1))/(COUNTA(JT5:JV9)),"")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(5ème4)'!JY5:KA9,"A"))*4)+((COUNTIF('Elève (5ème4)'!JY5:KA9,"B"))*3)+((COUNTIF('Elève (5ème4)'!JY5:KA9,"C"))*2)+((COUNTIF('Elève (5ème4)'!JY5:KA9,"D"))*1))/(COUNTA(JY5:KA9)),"")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(5ème4)'!KF5:KH9,"A"))*4)+((COUNTIF('Elève (5ème4)'!KF5:KH9,"B"))*3)+((COUNTIF('Elève (5ème4)'!KF5:KH9,"C"))*2)+((COUNTIF('Elève (5ème4)'!KF5:KH9,"D"))*1))/(COUNTA(KF5:KH9)),"")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4"/>
      <c r="KL4" s="186"/>
      <c r="KM4" s="205"/>
      <c r="KN4" s="106" t="str">
        <f>IFERROR((((COUNTIF('Elève (5ème4)'!KK5:KM9,"A"))*4)+((COUNTIF('Elève (5ème4)'!KK5:KM9,"B"))*3)+((COUNTIF('Elève (5ème4)'!KK5:KM9,"C"))*2)+((COUNTIF('Elève (5ème4)'!KK5:KM9,"D"))*1))/(COUNTA(KK5:KM9)),"")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(5ème4)'!KP5:KR9,"A"))*4)+((COUNTIF('Elève (5ème4)'!KP5:KR9,"B"))*3)+((COUNTIF('Elève (5ème4)'!KP5:KR9,"C"))*2)+((COUNTIF('Elève (5ème4)'!KP5:KR9,"D"))*1))/(COUNTA(KP5:KR9)),"")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(5ème4)'!KW5:KY9,"A"))*4)+((COUNTIF('Elève (5ème4)'!KW5:KY9,"B"))*3)+((COUNTIF('Elève (5ème4)'!KW5:KY9,"C"))*2)+((COUNTIF('Elève (5ème4)'!KW5:KY9,"D"))*1))/(COUNTA(KW5:KY9)),"")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4"/>
      <c r="LC4" s="186"/>
      <c r="LD4" s="205"/>
      <c r="LE4" s="106" t="str">
        <f>IFERROR((((COUNTIF('Elève (5ème4)'!LB5:LD9,"A"))*4)+((COUNTIF('Elève (5ème4)'!LB5:LD9,"B"))*3)+((COUNTIF('Elève (5ème4)'!LB5:LD9,"C"))*2)+((COUNTIF('Elève (5ème4)'!LB5:LD9,"D"))*1))/(COUNTA(LB5:LD9)),"")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(5ème4)'!LG5:LI9,"A"))*4)+((COUNTIF('Elève (5ème4)'!LG5:LI9,"B"))*3)+((COUNTIF('Elève (5ème4)'!LG5:LI9,"C"))*2)+((COUNTIF('Elève (5ème4)'!LG5:LI9,"D"))*1))/(COUNTA(LG5:LI9)),"")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(5ème4)'!LN5:LP9,"A"))*4)+((COUNTIF('Elève (5ème4)'!LN5:LP9,"B"))*3)+((COUNTIF('Elève (5ème4)'!LN5:LP9,"C"))*2)+((COUNTIF('Elève (5ème4)'!LN5:LP9,"D"))*1))/(COUNTA(LN5:LP9)),"")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4"/>
      <c r="LT4" s="186"/>
      <c r="LU4" s="205"/>
      <c r="LV4" s="106" t="str">
        <f>IFERROR((((COUNTIF('Elève (5ème4)'!LS5:LU9,"A"))*4)+((COUNTIF('Elève (5ème4)'!LS5:LU9,"B"))*3)+((COUNTIF('Elève (5ème4)'!LS5:LU9,"C"))*2)+((COUNTIF('Elève (5ème4)'!LS5:LU9,"D"))*1))/(COUNTA(LS5:LU9)),"")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(5ème4)'!LX5:LZ9,"A"))*4)+((COUNTIF('Elève (5ème4)'!LX5:LZ9,"B"))*3)+((COUNTIF('Elève (5ème4)'!LX5:LZ9,"C"))*2)+((COUNTIF('Elève (5ème4)'!LX5:LZ9,"D"))*1))/(COUNTA(LX5:LZ9)),"")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(5ème4)'!ME5:MG9,"A"))*4)+((COUNTIF('Elève (5ème4)'!ME5:MG9,"B"))*3)+((COUNTIF('Elève (5ème4)'!ME5:MG9,"C"))*2)+((COUNTIF('Elève (5ème4)'!ME5:MG9,"D"))*1))/(COUNTA(ME5:MG9)),"")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4"/>
      <c r="MK4" s="186"/>
      <c r="ML4" s="205"/>
      <c r="MM4" s="106" t="str">
        <f>IFERROR((((COUNTIF('Elève (5ème4)'!MJ5:ML9,"A"))*4)+((COUNTIF('Elève (5ème4)'!MJ5:ML9,"B"))*3)+((COUNTIF('Elève (5ème4)'!MJ5:ML9,"C"))*2)+((COUNTIF('Elève (5ème4)'!MJ5:ML9,"D"))*1))/(COUNTA(MJ5:ML9)),"")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(5ème4)'!MO5:MQ9,"A"))*4)+((COUNTIF('Elève (5ème4)'!MO5:MQ9,"B"))*3)+((COUNTIF('Elève (5ème4)'!MO5:MQ9,"C"))*2)+((COUNTIF('Elève (5ème4)'!MO5:MQ9,"D"))*1))/(COUNTA(MO5:MQ9)),"")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(5ème4)'!MV5:MX9,"A"))*4)+((COUNTIF('Elève (5ème4)'!MV5:MX9,"B"))*3)+((COUNTIF('Elève (5ème4)'!MV5:MX9,"C"))*2)+((COUNTIF('Elève (5ème4)'!MV5:MX9,"D"))*1))/(COUNTA(MV5:MX9)),"")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4"/>
      <c r="NB4" s="186"/>
      <c r="NC4" s="205"/>
      <c r="ND4" s="106" t="str">
        <f>IFERROR((((COUNTIF('Elève (5ème4)'!NA5:NC9,"A"))*4)+((COUNTIF('Elève (5ème4)'!NA5:NC9,"B"))*3)+((COUNTIF('Elève (5ème4)'!NA5:NC9,"C"))*2)+((COUNTIF('Elève (5ème4)'!NA5:NC9,"D"))*1))/(COUNTA(NA5:NC9)),"")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(5ème4)'!NF5:NH9,"A"))*4)+((COUNTIF('Elève (5ème4)'!NF5:NH9,"B"))*3)+((COUNTIF('Elève (5ème4)'!NF5:NH9,"C"))*2)+((COUNTIF('Elève (5ème4)'!NF5:NH9,"D"))*1))/(COUNTA(NF5:NH9)),"")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(5ème4)'!NM5:NO9,"A"))*4)+((COUNTIF('Elève (5ème4)'!NM5:NO9,"B"))*3)+((COUNTIF('Elève (5ème4)'!NM5:NO9,"C"))*2)+((COUNTIF('Elève (5ème4)'!NM5:NO9,"D"))*1))/(COUNTA(NM5:NO9)),"")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4"/>
      <c r="NS4" s="186"/>
      <c r="NT4" s="205"/>
      <c r="NU4" s="106" t="str">
        <f>IFERROR((((COUNTIF('Elève (5ème4)'!NR5:NT9,"A"))*4)+((COUNTIF('Elève (5ème4)'!NR5:NT9,"B"))*3)+((COUNTIF('Elève (5ème4)'!NR5:NT9,"C"))*2)+((COUNTIF('Elève (5ème4)'!NR5:NT9,"D"))*1))/(COUNTA(NR5:NT9)),"")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(5ème4)'!NW5:NY9,"A"))*4)+((COUNTIF('Elève (5ème4)'!NW5:NY9,"B"))*3)+((COUNTIF('Elève (5ème4)'!NW5:NY9,"C"))*2)+((COUNTIF('Elève (5ème4)'!NW5:NY9,"D"))*1))/(COUNTA(NW5:NY9)),"")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(5ème4)'!OD5:OF9,"A"))*4)+((COUNTIF('Elève (5ème4)'!OD5:OF9,"B"))*3)+((COUNTIF('Elève (5ème4)'!OD5:OF9,"C"))*2)+((COUNTIF('Elève (5ème4)'!OD5:OF9,"D"))*1))/(COUNTA(OD5:OF9)),"")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4"/>
      <c r="OJ4" s="186"/>
      <c r="OK4" s="205"/>
      <c r="OL4" s="106" t="str">
        <f>IFERROR((((COUNTIF('Elève (5ème4)'!OI5:OK9,"A"))*4)+((COUNTIF('Elève (5ème4)'!OI5:OK9,"B"))*3)+((COUNTIF('Elève (5ème4)'!OI5:OK9,"C"))*2)+((COUNTIF('Elève (5ème4)'!OI5:OK9,"D"))*1))/(COUNTA(OI5:OK9)),"")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(5ème4)'!ON5:OP9,"A"))*4)+((COUNTIF('Elève (5ème4)'!ON5:OP9,"B"))*3)+((COUNTIF('Elève (5ème4)'!ON5:OP9,"C"))*2)+((COUNTIF('Elève (5ème4)'!ON5:OP9,"D"))*1))/(COUNTA(ON5:OP9)),"")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(5ème4)'!OU5:OW9,"A"))*4)+((COUNTIF('Elève (5ème4)'!OU5:OW9,"B"))*3)+((COUNTIF('Elève (5ème4)'!OU5:OW9,"C"))*2)+((COUNTIF('Elève (5ème4)'!OU5:OW9,"D"))*1))/(COUNTA(OU5:OW9)),"")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4"/>
      <c r="PA4" s="186"/>
      <c r="PB4" s="205"/>
      <c r="PC4" s="106" t="str">
        <f>IFERROR((((COUNTIF('Elève (5ème4)'!OZ5:PB9,"A"))*4)+((COUNTIF('Elève (5ème4)'!OZ5:PB9,"B"))*3)+((COUNTIF('Elève (5ème4)'!OZ5:PB9,"C"))*2)+((COUNTIF('Elève (5ème4)'!OZ5:PB9,"D"))*1))/(COUNTA(OZ5:PB9)),"")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(5ème4)'!PE5:PG9,"A"))*4)+((COUNTIF('Elève (5ème4)'!PE5:PG9,"B"))*3)+((COUNTIF('Elève (5ème4)'!PE5:PG9,"C"))*2)+((COUNTIF('Elève (5ème4)'!PE5:PG9,"D"))*1))/(COUNTA(PE5:PG9)),"")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(5ème4)'!PL5:PN9,"A"))*4)+((COUNTIF('Elève (5ème4)'!PL5:PN9,"B"))*3)+((COUNTIF('Elève (5ème4)'!PL5:PN9,"C"))*2)+((COUNTIF('Elève (5ème4)'!PL5:PN9,"D"))*1))/(COUNTA(PL5:PN9)),"")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4"/>
      <c r="PR4" s="186"/>
      <c r="PS4" s="205"/>
      <c r="PT4" s="106" t="str">
        <f>IFERROR((((COUNTIF('Elève (5ème4)'!PQ5:PS9,"A"))*4)+((COUNTIF('Elève (5ème4)'!PQ5:PS9,"B"))*3)+((COUNTIF('Elève (5ème4)'!PQ5:PS9,"C"))*2)+((COUNTIF('Elève (5ème4)'!PQ5:PS9,"D"))*1))/(COUNTA(PQ5:PS9)),"")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(5ème4)'!PV5:PX9,"A"))*4)+((COUNTIF('Elève (5ème4)'!PV5:PX9,"B"))*3)+((COUNTIF('Elève (5ème4)'!PV5:PX9,"C"))*2)+((COUNTIF('Elève (5ème4)'!PV5:PX9,"D"))*1))/(COUNTA(PV5:PX9)),"")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(5ème4)'!QC5:QE9,"A"))*4)+((COUNTIF('Elève (5ème4)'!QC5:QE9,"B"))*3)+((COUNTIF('Elève (5ème4)'!QC5:QE9,"C"))*2)+((COUNTIF('Elève (5ème4)'!QC5:QE9,"D"))*1))/(COUNTA(QC5:QE9)),"")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4"/>
      <c r="QI4" s="186"/>
      <c r="QJ4" s="205"/>
      <c r="QK4" s="106" t="str">
        <f>IFERROR((((COUNTIF('Elève (5ème4)'!QH5:QJ9,"A"))*4)+((COUNTIF('Elève (5ème4)'!QH5:QJ9,"B"))*3)+((COUNTIF('Elève (5ème4)'!QH5:QJ9,"C"))*2)+((COUNTIF('Elève (5ème4)'!QH5:QJ9,"D"))*1))/(COUNTA(QH5:QJ9)),"")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(5ème4)'!QM5:QO9,"A"))*4)+((COUNTIF('Elève (5ème4)'!QM5:QO9,"B"))*3)+((COUNTIF('Elève (5ème4)'!QM5:QO9,"C"))*2)+((COUNTIF('Elève (5ème4)'!QM5:QO9,"D"))*1))/(COUNTA(QM5:QO9)),"")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(5ème4)'!QT5:QV9,"A"))*4)+((COUNTIF('Elève (5ème4)'!QT5:QV9,"B"))*3)+((COUNTIF('Elève (5ème4)'!QT5:QV9,"C"))*2)+((COUNTIF('Elève (5ème4)'!QT5:QV9,"D"))*1))/(COUNTA(QT5:QV9)),"")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4"/>
      <c r="QZ4" s="186"/>
      <c r="RA4" s="205"/>
      <c r="RB4" s="106" t="str">
        <f>IFERROR((((COUNTIF('Elève (5ème4)'!QY5:RA9,"A"))*4)+((COUNTIF('Elève (5ème4)'!QY5:RA9,"B"))*3)+((COUNTIF('Elève (5ème4)'!QY5:RA9,"C"))*2)+((COUNTIF('Elève (5ème4)'!QY5:RA9,"D"))*1))/(COUNTA(QY5:RA9)),"")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(5ème4)'!RD5:RF9,"A"))*4)+((COUNTIF('Elève (5ème4)'!RD5:RF9,"B"))*3)+((COUNTIF('Elève (5ème4)'!RD5:RF9,"C"))*2)+((COUNTIF('Elève (5ème4)'!RD5:RF9,"D"))*1))/(COUNTA(RD5:RF9)),"")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(5ème4)'!RK5:RM9,"A"))*4)+((COUNTIF('Elève (5ème4)'!RK5:RM9,"B"))*3)+((COUNTIF('Elève (5ème4)'!RK5:RM9,"C"))*2)+((COUNTIF('Elève (5ème4)'!RK5:RM9,"D"))*1))/(COUNTA(RK5:RM9)),"")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4"/>
      <c r="RQ4" s="186"/>
      <c r="RR4" s="205"/>
      <c r="RS4" s="106" t="str">
        <f>IFERROR((((COUNTIF('Elève (5ème4)'!RP5:RR9,"A"))*4)+((COUNTIF('Elève (5ème4)'!RP5:RR9,"B"))*3)+((COUNTIF('Elève (5ème4)'!RP5:RR9,"C"))*2)+((COUNTIF('Elève (5ème4)'!RP5:RR9,"D"))*1))/(COUNTA(RP5:RR9)),"")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(5ème4)'!RU5:RW9,"A"))*4)+((COUNTIF('Elève (5ème4)'!RU5:RW9,"B"))*3)+((COUNTIF('Elève (5ème4)'!RU5:RW9,"C"))*2)+((COUNTIF('Elève (5ème4)'!RU5:RW9,"D"))*1))/(COUNTA(RU5:RW9)),"")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(5ème4)'!SB5:SD9,"A"))*4)+((COUNTIF('Elève (5ème4)'!SB5:SD9,"B"))*3)+((COUNTIF('Elève (5ème4)'!SB5:SD9,"C"))*2)+((COUNTIF('Elève (5ème4)'!SB5:SD9,"D"))*1))/(COUNTA(SB5:SD9)),"")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4"/>
      <c r="SH4" s="186"/>
      <c r="SI4" s="205"/>
      <c r="SJ4" s="106" t="str">
        <f>IFERROR((((COUNTIF('Elève (5ème4)'!SG5:SI9,"A"))*4)+((COUNTIF('Elève (5ème4)'!SG5:SI9,"B"))*3)+((COUNTIF('Elève (5ème4)'!SG5:SI9,"C"))*2)+((COUNTIF('Elève (5ème4)'!SG5:SI9,"D"))*1))/(COUNTA(SG5:SI9)),"")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(5ème4)'!SL5:SN9,"A"))*4)+((COUNTIF('Elève (5ème4)'!SL5:SN9,"B"))*3)+((COUNTIF('Elève (5ème4)'!SL5:SN9,"C"))*2)+((COUNTIF('Elève (5ème4)'!SL5:SN9,"D"))*1))/(COUNTA(SL5:SN9)),"")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1" t="s">
        <v>12</v>
      </c>
      <c r="B5" s="222"/>
      <c r="C5" s="153"/>
      <c r="D5" s="154"/>
      <c r="E5" s="155"/>
      <c r="F5" s="108" t="str">
        <f>IFERROR((((COUNTIF('Elève (5ème4)'!C5:E5,"A"))*4)+((COUNTIF('Elève (5ème4)'!C5:E5,"B"))*3)+((COUNTIF('Elève (5ème4)'!C5:E5,"C"))*2)+((COUNTIF('Elève (5ème4)'!C5:E5,"D"))*1))/(COUNTA(C5:E5)),"")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(5ème4)'!H5:J5,"A"))*4)+((COUNTIF('Elève (5ème4)'!H5:J5,"B"))*3)+((COUNTIF('Elève (5ème4)'!H5:J5,"C"))*2)+((COUNTIF('Elève (5ème4)'!H5:J5,"D"))*1))/(COUNTA(H5:J5)),"")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(5ème4)'!M5:O5,"A"))*4)+((COUNTIF('Elève (5ème4)'!M5:O5,"B"))*3)+((COUNTIF('Elève (5ème4)'!M5:O5,"C"))*2)+((COUNTIF('Elève (5ème4)'!M5:O5,"D"))*1))/(COUNTA(M5:O5)),"")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(5ème4)'!T5:V5,"A"))*4)+((COUNTIF('Elève (5ème4)'!T5:V5,"B"))*3)+((COUNTIF('Elève (5ème4)'!T5:V5,"C"))*2)+((COUNTIF('Elève (5ème4)'!T5:V5,"D"))*1))/(COUNTA(T5:V5)),"")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(5ème4)'!Y5:AA5,"A"))*4)+((COUNTIF('Elève (5ème4)'!Y5:AA5,"B"))*3)+((COUNTIF('Elève (5ème4)'!Y5:AA5,"C"))*2)+((COUNTIF('Elève (5ème4)'!Y5:AA5,"D"))*1))/(COUNTA(Y5:AA5)),"")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(5ème4)'!AD5:AF5,"A"))*4)+((COUNTIF('Elève (5ème4)'!AD5:AF5,"B"))*3)+((COUNTIF('Elève (5ème4)'!AD5:AF5,"C"))*2)+((COUNTIF('Elève (5ème4)'!AD5:AF5,"D"))*1))/(COUNTA(AD5:AF5)),"")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(5ème4)'!AK5:AM5,"A"))*4)+((COUNTIF('Elève (5ème4)'!AK5:AM5,"B"))*3)+((COUNTIF('Elève (5ème4)'!AK5:AM5,"C"))*2)+((COUNTIF('Elève (5ème4)'!AK5:AM5,"D"))*1))/(COUNTA(AK5:AM5)),"")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(5ème4)'!AP5:AR5,"A"))*4)+((COUNTIF('Elève (5ème4)'!AP5:AR5,"B"))*3)+((COUNTIF('Elève (5ème4)'!AP5:AR5,"C"))*2)+((COUNTIF('Elève (5ème4)'!AP5:AR5,"D"))*1))/(COUNTA(AP5:AR5)),"")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(5ème4)'!AU5:AW5,"A"))*4)+((COUNTIF('Elève (5ème4)'!AU5:AW5,"B"))*3)+((COUNTIF('Elève (5ème4)'!AU5:AW5,"C"))*2)+((COUNTIF('Elève (5ème4)'!AU5:AW5,"D"))*1))/(COUNTA(AU5:AW5)),"")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(5ème4)'!BB5:BD5,"A"))*4)+((COUNTIF('Elève (5ème4)'!BB5:BD5,"B"))*3)+((COUNTIF('Elève (5ème4)'!BB5:BD5,"C"))*2)+((COUNTIF('Elève (5ème4)'!BB5:BD5,"D"))*1))/(COUNTA(BB5:BD5)),"")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(5ème4)'!BG5:BI5,"A"))*4)+((COUNTIF('Elève (5ème4)'!BG5:BI5,"B"))*3)+((COUNTIF('Elève (5ème4)'!BG5:BI5,"C"))*2)+((COUNTIF('Elève (5ème4)'!BG5:BI5,"D"))*1))/(COUNTA(BG5:BI5)),"")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(5ème4)'!BL5:BN5,"A"))*4)+((COUNTIF('Elève (5ème4)'!BL5:BN5,"B"))*3)+((COUNTIF('Elève (5ème4)'!BL5:BN5,"C"))*2)+((COUNTIF('Elève (5ème4)'!BL5:BN5,"D"))*1))/(COUNTA(BL5:BN5)),"")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(5ème4)'!BS5:BU5,"A"))*4)+((COUNTIF('Elève (5ème4)'!BS5:BU5,"B"))*3)+((COUNTIF('Elève (5ème4)'!BS5:BU5,"C"))*2)+((COUNTIF('Elève (5ème4)'!BS5:BU5,"D"))*1))/(COUNTA(BS5:BU5)),"")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(5ème4)'!BX5:BZ5,"A"))*4)+((COUNTIF('Elève (5ème4)'!BX5:BZ5,"B"))*3)+((COUNTIF('Elève (5ème4)'!BX5:BZ5,"C"))*2)+((COUNTIF('Elève (5ème4)'!BX5:BZ5,"D"))*1))/(COUNTA(BX5:BZ5)),"")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(5ème4)'!CC5:CE5,"A"))*4)+((COUNTIF('Elève (5ème4)'!CC5:CE5,"B"))*3)+((COUNTIF('Elève (5ème4)'!CC5:CE5,"C"))*2)+((COUNTIF('Elève (5ème4)'!CC5:CE5,"D"))*1))/(COUNTA(CC5:CE5)),"")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(5ème4)'!CJ5:CL5,"A"))*4)+((COUNTIF('Elève (5ème4)'!CJ5:CL5,"B"))*3)+((COUNTIF('Elève (5ème4)'!CJ5:CL5,"C"))*2)+((COUNTIF('Elève (5ème4)'!CJ5:CL5,"D"))*1))/(COUNTA(CJ5:CL5)),"")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(5ème4)'!CO5:CQ5,"A"))*4)+((COUNTIF('Elève (5ème4)'!CO5:CQ5,"B"))*3)+((COUNTIF('Elève (5ème4)'!CO5:CQ5,"C"))*2)+((COUNTIF('Elève (5ème4)'!CO5:CQ5,"D"))*1))/(COUNTA(CO5:CQ5)),"")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(5ème4)'!CT5:CV5,"A"))*4)+((COUNTIF('Elève (5ème4)'!CT5:CV5,"B"))*3)+((COUNTIF('Elève (5ème4)'!CT5:CV5,"C"))*2)+((COUNTIF('Elève (5ème4)'!CT5:CV5,"D"))*1))/(COUNTA(CT5:CV5)),"")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(5ème4)'!DA5:DC5,"A"))*4)+((COUNTIF('Elève (5ème4)'!DA5:DC5,"B"))*3)+((COUNTIF('Elève (5ème4)'!DA5:DC5,"C"))*2)+((COUNTIF('Elève (5ème4)'!DA5:DC5,"D"))*1))/(COUNTA(DA5:DC5)),"")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(5ème4)'!DF5:DH5,"A"))*4)+((COUNTIF('Elève (5ème4)'!DF5:DH5,"B"))*3)+((COUNTIF('Elève (5ème4)'!DF5:DH5,"C"))*2)+((COUNTIF('Elève (5ème4)'!DF5:DH5,"D"))*1))/(COUNTA(DF5:DH5)),"")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(5ème4)'!DK5:DM5,"A"))*4)+((COUNTIF('Elève (5ème4)'!DK5:DM5,"B"))*3)+((COUNTIF('Elève (5ème4)'!DK5:DM5,"C"))*2)+((COUNTIF('Elève (5ème4)'!DK5:DM5,"D"))*1))/(COUNTA(DK5:DM5)),"")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(5ème4)'!DR5:DT5,"A"))*4)+((COUNTIF('Elève (5ème4)'!DR5:DT5,"B"))*3)+((COUNTIF('Elève (5ème4)'!DR5:DT5,"C"))*2)+((COUNTIF('Elève (5ème4)'!DR5:DT5,"D"))*1))/(COUNTA(DR5:DT5)),"")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(5ème4)'!DW5:DY5,"A"))*4)+((COUNTIF('Elève (5ème4)'!DW5:DY5,"B"))*3)+((COUNTIF('Elève (5ème4)'!DW5:DY5,"C"))*2)+((COUNTIF('Elève (5ème4)'!DW5:DY5,"D"))*1))/(COUNTA(DW5:DY5)),"")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(5ème4)'!EB5:ED5,"A"))*4)+((COUNTIF('Elève (5ème4)'!EB5:ED5,"B"))*3)+((COUNTIF('Elève (5ème4)'!EB5:ED5,"C"))*2)+((COUNTIF('Elève (5ème4)'!EB5:ED5,"D"))*1))/(COUNTA(EB5:ED5)),"")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(5ème4)'!EI5:EK5,"A"))*4)+((COUNTIF('Elève (5ème4)'!EI5:EK5,"B"))*3)+((COUNTIF('Elève (5ème4)'!EI5:EK5,"C"))*2)+((COUNTIF('Elève (5ème4)'!EI5:EK5,"D"))*1))/(COUNTA(EI5:EK5)),"")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(5ème4)'!EN5:EP5,"A"))*4)+((COUNTIF('Elève (5ème4)'!EN5:EP5,"B"))*3)+((COUNTIF('Elève (5ème4)'!EN5:EP5,"C"))*2)+((COUNTIF('Elève (5ème4)'!EN5:EP5,"D"))*1))/(COUNTA(EN5:EP5)),"")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(5ème4)'!ES5:EU5,"A"))*4)+((COUNTIF('Elève (5ème4)'!ES5:EU5,"B"))*3)+((COUNTIF('Elève (5ème4)'!ES5:EU5,"C"))*2)+((COUNTIF('Elève (5ème4)'!ES5:EU5,"D"))*1))/(COUNTA(ES5:EU5)),"")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(5ème4)'!EZ5:FB5,"A"))*4)+((COUNTIF('Elève (5ème4)'!EZ5:FB5,"B"))*3)+((COUNTIF('Elève (5ème4)'!EZ5:FB5,"C"))*2)+((COUNTIF('Elève (5ème4)'!EZ5:FB5,"D"))*1))/(COUNTA(EZ5:FB5)),"")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(5ème4)'!FE5:FG5,"A"))*4)+((COUNTIF('Elève (5ème4)'!FE5:FG5,"B"))*3)+((COUNTIF('Elève (5ème4)'!FE5:FG5,"C"))*2)+((COUNTIF('Elève (5ème4)'!FE5:FG5,"D"))*1))/(COUNTA(FE5:FG5)),"")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(5ème4)'!FJ5:FL5,"A"))*4)+((COUNTIF('Elève (5ème4)'!FJ5:FL5,"B"))*3)+((COUNTIF('Elève (5ème4)'!FJ5:FL5,"C"))*2)+((COUNTIF('Elève (5ème4)'!FJ5:FL5,"D"))*1))/(COUNTA(FJ5:FL5)),"")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(5ème4)'!FQ5:FS5,"A"))*4)+((COUNTIF('Elève (5ème4)'!FQ5:FS5,"B"))*3)+((COUNTIF('Elève (5ème4)'!FQ5:FS5,"C"))*2)+((COUNTIF('Elève (5ème4)'!FQ5:FS5,"D"))*1))/(COUNTA(FQ5:FS5)),"")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(5ème4)'!FV5:FX5,"A"))*4)+((COUNTIF('Elève (5ème4)'!FV5:FX5,"B"))*3)+((COUNTIF('Elève (5ème4)'!FV5:FX5,"C"))*2)+((COUNTIF('Elève (5ème4)'!FV5:FX5,"D"))*1))/(COUNTA(FV5:FX5)),"")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(5ème4)'!GA5:GC5,"A"))*4)+((COUNTIF('Elève (5ème4)'!GA5:GC5,"B"))*3)+((COUNTIF('Elève (5ème4)'!GA5:GC5,"C"))*2)+((COUNTIF('Elève (5ème4)'!GA5:GC5,"D"))*1))/(COUNTA(GA5:GC5)),"")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(5ème4)'!GH5:GJ5,"A"))*4)+((COUNTIF('Elève (5ème4)'!GH5:GJ5,"B"))*3)+((COUNTIF('Elève (5ème4)'!GH5:GJ5,"C"))*2)+((COUNTIF('Elève (5ème4)'!GH5:GJ5,"D"))*1))/(COUNTA(GH5:GJ5)),"")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(5ème4)'!GM5:GO5,"A"))*4)+((COUNTIF('Elève (5ème4)'!GM5:GO5,"B"))*3)+((COUNTIF('Elève (5ème4)'!GM5:GO5,"C"))*2)+((COUNTIF('Elève (5ème4)'!GM5:GO5,"D"))*1))/(COUNTA(GM5:GO5)),"")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(5ème4)'!GR5:GT5,"A"))*4)+((COUNTIF('Elève (5ème4)'!GR5:GT5,"B"))*3)+((COUNTIF('Elève (5ème4)'!GR5:GT5,"C"))*2)+((COUNTIF('Elève (5ème4)'!GR5:GT5,"D"))*1))/(COUNTA(GR5:GT5)),"")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(5ème4)'!GY5:HA5,"A"))*4)+((COUNTIF('Elève (5ème4)'!GY5:HA5,"B"))*3)+((COUNTIF('Elève (5ème4)'!GY5:HA5,"C"))*2)+((COUNTIF('Elève (5ème4)'!GY5:HA5,"D"))*1))/(COUNTA(GY5:HA5)),"")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(5ème4)'!HD5:HF5,"A"))*4)+((COUNTIF('Elève (5ème4)'!HD5:HF5,"B"))*3)+((COUNTIF('Elève (5ème4)'!HD5:HF5,"C"))*2)+((COUNTIF('Elève (5ème4)'!HD5:HF5,"D"))*1))/(COUNTA(HD5:HF5)),"")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(5ème4)'!HI5:HK5,"A"))*4)+((COUNTIF('Elève (5ème4)'!HI5:HK5,"B"))*3)+((COUNTIF('Elève (5ème4)'!HI5:HK5,"C"))*2)+((COUNTIF('Elève (5ème4)'!HI5:HK5,"D"))*1))/(COUNTA(HI5:HK5)),"")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(5ème4)'!HP5:HR5,"A"))*4)+((COUNTIF('Elève (5ème4)'!HP5:HR5,"B"))*3)+((COUNTIF('Elève (5ème4)'!HP5:HR5,"C"))*2)+((COUNTIF('Elève (5ème4)'!HP5:HR5,"D"))*1))/(COUNTA(HP5:HR5)),"")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(5ème4)'!HU5:HW5,"A"))*4)+((COUNTIF('Elève (5ème4)'!HU5:HW5,"B"))*3)+((COUNTIF('Elève (5ème4)'!HU5:HW5,"C"))*2)+((COUNTIF('Elève (5ème4)'!HU5:HW5,"D"))*1))/(COUNTA(HU5:HW5)),"")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(5ème4)'!HZ5:IB5,"A"))*4)+((COUNTIF('Elève (5ème4)'!HZ5:IB5,"B"))*3)+((COUNTIF('Elève (5ème4)'!HZ5:IB5,"C"))*2)+((COUNTIF('Elève (5ème4)'!HZ5:IB5,"D"))*1))/(COUNTA(HZ5:IB5)),"")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(5ème4)'!IG5:II5,"A"))*4)+((COUNTIF('Elève (5ème4)'!IG5:II5,"B"))*3)+((COUNTIF('Elève (5ème4)'!IG5:II5,"C"))*2)+((COUNTIF('Elève (5ème4)'!IG5:II5,"D"))*1))/(COUNTA(IG5:II5)),"")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(5ème4)'!IL5:IN5,"A"))*4)+((COUNTIF('Elève (5ème4)'!IL5:IN5,"B"))*3)+((COUNTIF('Elève (5ème4)'!IL5:IN5,"C"))*2)+((COUNTIF('Elève (5ème4)'!IL5:IN5,"D"))*1))/(COUNTA(IL5:IN5)),"")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(5ème4)'!IQ5:IS5,"A"))*4)+((COUNTIF('Elève (5ème4)'!IQ5:IS5,"B"))*3)+((COUNTIF('Elève (5ème4)'!IQ5:IS5,"C"))*2)+((COUNTIF('Elève (5ème4)'!IQ5:IS5,"D"))*1))/(COUNTA(IQ5:IS5)),"")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(5ème4)'!IX5:IZ5,"A"))*4)+((COUNTIF('Elève (5ème4)'!IX5:IZ5,"B"))*3)+((COUNTIF('Elève (5ème4)'!IX5:IZ5,"C"))*2)+((COUNTIF('Elève (5ème4)'!IX5:IZ5,"D"))*1))/(COUNTA(IX5:IZ5)),"")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(5ème4)'!JC5:JE5,"A"))*4)+((COUNTIF('Elève (5ème4)'!JC5:JE5,"B"))*3)+((COUNTIF('Elève (5ème4)'!JC5:JE5,"C"))*2)+((COUNTIF('Elève (5ème4)'!JC5:JE5,"D"))*1))/(COUNTA(JC5:JE5)),"")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(5ème4)'!JH5:JJ5,"A"))*4)+((COUNTIF('Elève (5ème4)'!JH5:JJ5,"B"))*3)+((COUNTIF('Elève (5ème4)'!JH5:JJ5,"C"))*2)+((COUNTIF('Elève (5ème4)'!JH5:JJ5,"D"))*1))/(COUNTA(JH5:JJ5)),"")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(5ème4)'!JO5:JQ5,"A"))*4)+((COUNTIF('Elève (5ème4)'!JO5:JQ5,"B"))*3)+((COUNTIF('Elève (5ème4)'!JO5:JQ5,"C"))*2)+((COUNTIF('Elève (5ème4)'!JO5:JQ5,"D"))*1))/(COUNTA(JO5:JQ5)),"")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(5ème4)'!JT5:JV5,"A"))*4)+((COUNTIF('Elève (5ème4)'!JT5:JV5,"B"))*3)+((COUNTIF('Elève (5ème4)'!JT5:JV5,"C"))*2)+((COUNTIF('Elève (5ème4)'!JT5:JV5,"D"))*1))/(COUNTA(JT5:JV5)),"")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(5ème4)'!JY5:KA5,"A"))*4)+((COUNTIF('Elève (5ème4)'!JY5:KA5,"B"))*3)+((COUNTIF('Elève (5ème4)'!JY5:KA5,"C"))*2)+((COUNTIF('Elève (5ème4)'!JY5:KA5,"D"))*1))/(COUNTA(JY5:KA5)),"")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(5ème4)'!KF5:KH5,"A"))*4)+((COUNTIF('Elève (5ème4)'!KF5:KH5,"B"))*3)+((COUNTIF('Elève (5ème4)'!KF5:KH5,"C"))*2)+((COUNTIF('Elève (5ème4)'!KF5:KH5,"D"))*1))/(COUNTA(KF5:KH5)),"")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(5ème4)'!KK5:KM5,"A"))*4)+((COUNTIF('Elève (5ème4)'!KK5:KM5,"B"))*3)+((COUNTIF('Elève (5ème4)'!KK5:KM5,"C"))*2)+((COUNTIF('Elève (5ème4)'!KK5:KM5,"D"))*1))/(COUNTA(KK5:KM5)),"")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(5ème4)'!KP5:KR5,"A"))*4)+((COUNTIF('Elève (5ème4)'!KP5:KR5,"B"))*3)+((COUNTIF('Elève (5ème4)'!KP5:KR5,"C"))*2)+((COUNTIF('Elève (5ème4)'!KP5:KR5,"D"))*1))/(COUNTA(KP5:KR5)),"")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(5ème4)'!KW5:KY5,"A"))*4)+((COUNTIF('Elève (5ème4)'!KW5:KY5,"B"))*3)+((COUNTIF('Elève (5ème4)'!KW5:KY5,"C"))*2)+((COUNTIF('Elève (5ème4)'!KW5:KY5,"D"))*1))/(COUNTA(KW5:KY5)),"")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(5ème4)'!LB5:LD5,"A"))*4)+((COUNTIF('Elève (5ème4)'!LB5:LD5,"B"))*3)+((COUNTIF('Elève (5ème4)'!LB5:LD5,"C"))*2)+((COUNTIF('Elève (5ème4)'!LB5:LD5,"D"))*1))/(COUNTA(LB5:LD5)),"")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(5ème4)'!LG5:LI5,"A"))*4)+((COUNTIF('Elève (5ème4)'!LG5:LI5,"B"))*3)+((COUNTIF('Elève (5ème4)'!LG5:LI5,"C"))*2)+((COUNTIF('Elève (5ème4)'!LG5:LI5,"D"))*1))/(COUNTA(LG5:LI5)),"")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(5ème4)'!LN5:LP5,"A"))*4)+((COUNTIF('Elève (5ème4)'!LN5:LP5,"B"))*3)+((COUNTIF('Elève (5ème4)'!LN5:LP5,"C"))*2)+((COUNTIF('Elève (5ème4)'!LN5:LP5,"D"))*1))/(COUNTA(LN5:LP5)),"")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(5ème4)'!LS5:LU5,"A"))*4)+((COUNTIF('Elève (5ème4)'!LS5:LU5,"B"))*3)+((COUNTIF('Elève (5ème4)'!LS5:LU5,"C"))*2)+((COUNTIF('Elève (5ème4)'!LS5:LU5,"D"))*1))/(COUNTA(LS5:LU5)),"")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(5ème4)'!LX5:LZ5,"A"))*4)+((COUNTIF('Elève (5ème4)'!LX5:LZ5,"B"))*3)+((COUNTIF('Elève (5ème4)'!LX5:LZ5,"C"))*2)+((COUNTIF('Elève (5ème4)'!LX5:LZ5,"D"))*1))/(COUNTA(LX5:LZ5)),"")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(5ème4)'!ME5:MG5,"A"))*4)+((COUNTIF('Elève (5ème4)'!ME5:MG5,"B"))*3)+((COUNTIF('Elève (5ème4)'!ME5:MG5,"C"))*2)+((COUNTIF('Elève (5ème4)'!ME5:MG5,"D"))*1))/(COUNTA(ME5:MG5)),"")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(5ème4)'!MJ5:ML5,"A"))*4)+((COUNTIF('Elève (5ème4)'!MJ5:ML5,"B"))*3)+((COUNTIF('Elève (5ème4)'!MJ5:ML5,"C"))*2)+((COUNTIF('Elève (5ème4)'!MJ5:ML5,"D"))*1))/(COUNTA(MJ5:ML5)),"")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(5ème4)'!MO5:MQ5,"A"))*4)+((COUNTIF('Elève (5ème4)'!MO5:MQ5,"B"))*3)+((COUNTIF('Elève (5ème4)'!MO5:MQ5,"C"))*2)+((COUNTIF('Elève (5ème4)'!MO5:MQ5,"D"))*1))/(COUNTA(MO5:MQ5)),"")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(5ème4)'!MV5:MX5,"A"))*4)+((COUNTIF('Elève (5ème4)'!MV5:MX5,"B"))*3)+((COUNTIF('Elève (5ème4)'!MV5:MX5,"C"))*2)+((COUNTIF('Elève (5ème4)'!MV5:MX5,"D"))*1))/(COUNTA(MV5:MX5)),"")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(5ème4)'!NA5:NC5,"A"))*4)+((COUNTIF('Elève (5ème4)'!NA5:NC5,"B"))*3)+((COUNTIF('Elève (5ème4)'!NA5:NC5,"C"))*2)+((COUNTIF('Elève (5ème4)'!NA5:NC5,"D"))*1))/(COUNTA(NA5:NC5)),"")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(5ème4)'!NF5:NH5,"A"))*4)+((COUNTIF('Elève (5ème4)'!NF5:NH5,"B"))*3)+((COUNTIF('Elève (5ème4)'!NF5:NH5,"C"))*2)+((COUNTIF('Elève (5ème4)'!NF5:NH5,"D"))*1))/(COUNTA(NF5:NH5)),"")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(5ème4)'!NM5:NO5,"A"))*4)+((COUNTIF('Elève (5ème4)'!NM5:NO5,"B"))*3)+((COUNTIF('Elève (5ème4)'!NM5:NO5,"C"))*2)+((COUNTIF('Elève (5ème4)'!NM5:NO5,"D"))*1))/(COUNTA(NM5:NO5)),"")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(5ème4)'!NR5:NT5,"A"))*4)+((COUNTIF('Elève (5ème4)'!NR5:NT5,"B"))*3)+((COUNTIF('Elève (5ème4)'!NR5:NT5,"C"))*2)+((COUNTIF('Elève (5ème4)'!NR5:NT5,"D"))*1))/(COUNTA(NR5:NT5)),"")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(5ème4)'!NW5:NY5,"A"))*4)+((COUNTIF('Elève (5ème4)'!NW5:NY5,"B"))*3)+((COUNTIF('Elève (5ème4)'!NW5:NY5,"C"))*2)+((COUNTIF('Elève (5ème4)'!NW5:NY5,"D"))*1))/(COUNTA(NW5:NY5)),"")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(5ème4)'!OD5:OF5,"A"))*4)+((COUNTIF('Elève (5ème4)'!OD5:OF5,"B"))*3)+((COUNTIF('Elève (5ème4)'!OD5:OF5,"C"))*2)+((COUNTIF('Elève (5ème4)'!OD5:OF5,"D"))*1))/(COUNTA(OD5:OF5)),"")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(5ème4)'!OI5:OK5,"A"))*4)+((COUNTIF('Elève (5ème4)'!OI5:OK5,"B"))*3)+((COUNTIF('Elève (5ème4)'!OI5:OK5,"C"))*2)+((COUNTIF('Elève (5ème4)'!OI5:OK5,"D"))*1))/(COUNTA(OI5:OK5)),"")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(5ème4)'!ON5:OP5,"A"))*4)+((COUNTIF('Elève (5ème4)'!ON5:OP5,"B"))*3)+((COUNTIF('Elève (5ème4)'!ON5:OP5,"C"))*2)+((COUNTIF('Elève (5ème4)'!ON5:OP5,"D"))*1))/(COUNTA(ON5:OP5)),"")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(5ème4)'!OU5:OW5,"A"))*4)+((COUNTIF('Elève (5ème4)'!OU5:OW5,"B"))*3)+((COUNTIF('Elève (5ème4)'!OU5:OW5,"C"))*2)+((COUNTIF('Elève (5ème4)'!OU5:OW5,"D"))*1))/(COUNTA(OU5:OW5)),"")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(5ème4)'!OZ5:PB5,"A"))*4)+((COUNTIF('Elève (5ème4)'!OZ5:PB5,"B"))*3)+((COUNTIF('Elève (5ème4)'!OZ5:PB5,"C"))*2)+((COUNTIF('Elève (5ème4)'!OZ5:PB5,"D"))*1))/(COUNTA(OZ5:PB5)),"")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(5ème4)'!PE5:PG5,"A"))*4)+((COUNTIF('Elève (5ème4)'!PE5:PG5,"B"))*3)+((COUNTIF('Elève (5ème4)'!PE5:PG5,"C"))*2)+((COUNTIF('Elève (5ème4)'!PE5:PG5,"D"))*1))/(COUNTA(PE5:PG5)),"")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(5ème4)'!PL5:PN5,"A"))*4)+((COUNTIF('Elève (5ème4)'!PL5:PN5,"B"))*3)+((COUNTIF('Elève (5ème4)'!PL5:PN5,"C"))*2)+((COUNTIF('Elève (5ème4)'!PL5:PN5,"D"))*1))/(COUNTA(PL5:PN5)),"")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(5ème4)'!PQ5:PS5,"A"))*4)+((COUNTIF('Elève (5ème4)'!PQ5:PS5,"B"))*3)+((COUNTIF('Elève (5ème4)'!PQ5:PS5,"C"))*2)+((COUNTIF('Elève (5ème4)'!PQ5:PS5,"D"))*1))/(COUNTA(PQ5:PS5)),"")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(5ème4)'!PV5:PX5,"A"))*4)+((COUNTIF('Elève (5ème4)'!PV5:PX5,"B"))*3)+((COUNTIF('Elève (5ème4)'!PV5:PX5,"C"))*2)+((COUNTIF('Elève (5ème4)'!PV5:PX5,"D"))*1))/(COUNTA(PV5:PX5)),"")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(5ème4)'!QC5:QE5,"A"))*4)+((COUNTIF('Elève (5ème4)'!QC5:QE5,"B"))*3)+((COUNTIF('Elève (5ème4)'!QC5:QE5,"C"))*2)+((COUNTIF('Elève (5ème4)'!QC5:QE5,"D"))*1))/(COUNTA(QC5:QE5)),"")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(5ème4)'!QH5:QJ5,"A"))*4)+((COUNTIF('Elève (5ème4)'!QH5:QJ5,"B"))*3)+((COUNTIF('Elève (5ème4)'!QH5:QJ5,"C"))*2)+((COUNTIF('Elève (5ème4)'!QH5:QJ5,"D"))*1))/(COUNTA(QH5:QJ5)),"")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(5ème4)'!QM5:QO5,"A"))*4)+((COUNTIF('Elève (5ème4)'!QM5:QO5,"B"))*3)+((COUNTIF('Elève (5ème4)'!QM5:QO5,"C"))*2)+((COUNTIF('Elève (5ème4)'!QM5:QO5,"D"))*1))/(COUNTA(QM5:QO5)),"")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(5ème4)'!QT5:QV5,"A"))*4)+((COUNTIF('Elève (5ème4)'!QT5:QV5,"B"))*3)+((COUNTIF('Elève (5ème4)'!QT5:QV5,"C"))*2)+((COUNTIF('Elève (5ème4)'!QT5:QV5,"D"))*1))/(COUNTA(QT5:QV5)),"")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(5ème4)'!QY5:RA5,"A"))*4)+((COUNTIF('Elève (5ème4)'!QY5:RA5,"B"))*3)+((COUNTIF('Elève (5ème4)'!QY5:RA5,"C"))*2)+((COUNTIF('Elève (5ème4)'!QY5:RA5,"D"))*1))/(COUNTA(QY5:RA5)),"")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(5ème4)'!RD5:RF5,"A"))*4)+((COUNTIF('Elève (5ème4)'!RD5:RF5,"B"))*3)+((COUNTIF('Elève (5ème4)'!RD5:RF5,"C"))*2)+((COUNTIF('Elève (5ème4)'!RD5:RF5,"D"))*1))/(COUNTA(RD5:RF5)),"")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(5ème4)'!RK5:RM5,"A"))*4)+((COUNTIF('Elève (5ème4)'!RK5:RM5,"B"))*3)+((COUNTIF('Elève (5ème4)'!RK5:RM5,"C"))*2)+((COUNTIF('Elève (5ème4)'!RK5:RM5,"D"))*1))/(COUNTA(RK5:RM5)),"")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(5ème4)'!RP5:RR5,"A"))*4)+((COUNTIF('Elève (5ème4)'!RP5:RR5,"B"))*3)+((COUNTIF('Elève (5ème4)'!RP5:RR5,"C"))*2)+((COUNTIF('Elève (5ème4)'!RP5:RR5,"D"))*1))/(COUNTA(RP5:RR5)),"")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(5ème4)'!RU5:RW5,"A"))*4)+((COUNTIF('Elève (5ème4)'!RU5:RW5,"B"))*3)+((COUNTIF('Elève (5ème4)'!RU5:RW5,"C"))*2)+((COUNTIF('Elève (5ème4)'!RU5:RW5,"D"))*1))/(COUNTA(RU5:RW5)),"")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(5ème4)'!SB5:SD5,"A"))*4)+((COUNTIF('Elève (5ème4)'!SB5:SD5,"B"))*3)+((COUNTIF('Elève (5ème4)'!SB5:SD5,"C"))*2)+((COUNTIF('Elève (5ème4)'!SB5:SD5,"D"))*1))/(COUNTA(SB5:SD5)),"")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(5ème4)'!SG5:SI5,"A"))*4)+((COUNTIF('Elève (5ème4)'!SG5:SI5,"B"))*3)+((COUNTIF('Elève (5ème4)'!SG5:SI5,"C"))*2)+((COUNTIF('Elève (5ème4)'!SG5:SI5,"D"))*1))/(COUNTA(SG5:SI5)),"")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(5ème4)'!SL5:SN5,"A"))*4)+((COUNTIF('Elève (5ème4)'!SL5:SN5,"B"))*3)+((COUNTIF('Elève (5ème4)'!SL5:SN5,"C"))*2)+((COUNTIF('Elève (5ème4)'!SL5:SN5,"D"))*1))/(COUNTA(SL5:SN5)),"")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7" t="s">
        <v>13</v>
      </c>
      <c r="B6" s="228"/>
      <c r="C6" s="156"/>
      <c r="D6" s="157"/>
      <c r="E6" s="158"/>
      <c r="F6" s="110" t="str">
        <f>IFERROR((((COUNTIF('Elève (5ème4)'!C6:E6,"A"))*4)+((COUNTIF('Elève (5ème4)'!C6:E6,"B"))*3)+((COUNTIF('Elève (5ème4)'!C6:E6,"C"))*2)+((COUNTIF('Elève (5ème4)'!C6:E6,"D"))*1))/(COUNTA(C6:E6)),"")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(5ème4)'!H6:J6,"A"))*4)+((COUNTIF('Elève (5ème4)'!H6:J6,"B"))*3)+((COUNTIF('Elève (5ème4)'!H6:J6,"C"))*2)+((COUNTIF('Elève (5ème4)'!H6:J6,"D"))*1))/(COUNTA(H6:J6)),"")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(5ème4)'!M6:O6,"A"))*4)+((COUNTIF('Elève (5ème4)'!M6:O6,"B"))*3)+((COUNTIF('Elève (5ème4)'!M6:O6,"C"))*2)+((COUNTIF('Elève (5ème4)'!M6:O6,"D"))*1))/(COUNTA(M6:O6)),"")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(5ème4)'!T6:V6,"A"))*4)+((COUNTIF('Elève (5ème4)'!T6:V6,"B"))*3)+((COUNTIF('Elève (5ème4)'!T6:V6,"C"))*2)+((COUNTIF('Elève (5ème4)'!T6:V6,"D"))*1))/(COUNTA(T6:V6)),"")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(5ème4)'!Y6:AA6,"A"))*4)+((COUNTIF('Elève (5ème4)'!Y6:AA6,"B"))*3)+((COUNTIF('Elève (5ème4)'!Y6:AA6,"C"))*2)+((COUNTIF('Elève (5ème4)'!Y6:AA6,"D"))*1))/(COUNTA(Y6:AA6)),"")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(5ème4)'!AD6:AF6,"A"))*4)+((COUNTIF('Elève (5ème4)'!AD6:AF6,"B"))*3)+((COUNTIF('Elève (5ème4)'!AD6:AF6,"C"))*2)+((COUNTIF('Elève (5ème4)'!AD6:AF6,"D"))*1))/(COUNTA(AD6:AF6)),"")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(5ème4)'!AK6:AM6,"A"))*4)+((COUNTIF('Elève (5ème4)'!AK6:AM6,"B"))*3)+((COUNTIF('Elève (5ème4)'!AK6:AM6,"C"))*2)+((COUNTIF('Elève (5ème4)'!AK6:AM6,"D"))*1))/(COUNTA(AK6:AM6)),"")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(5ème4)'!AP6:AR6,"A"))*4)+((COUNTIF('Elève (5ème4)'!AP6:AR6,"B"))*3)+((COUNTIF('Elève (5ème4)'!AP6:AR6,"C"))*2)+((COUNTIF('Elève (5ème4)'!AP6:AR6,"D"))*1))/(COUNTA(AP6:AR6)),"")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(5ème4)'!AU6:AW6,"A"))*4)+((COUNTIF('Elève (5ème4)'!AU6:AW6,"B"))*3)+((COUNTIF('Elève (5ème4)'!AU6:AW6,"C"))*2)+((COUNTIF('Elève (5ème4)'!AU6:AW6,"D"))*1))/(COUNTA(AU6:AW6)),"")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(5ème4)'!BB6:BD6,"A"))*4)+((COUNTIF('Elève (5ème4)'!BB6:BD6,"B"))*3)+((COUNTIF('Elève (5ème4)'!BB6:BD6,"C"))*2)+((COUNTIF('Elève (5ème4)'!BB6:BD6,"D"))*1))/(COUNTA(BB6:BD6)),"")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(5ème4)'!BG6:BI6,"A"))*4)+((COUNTIF('Elève (5ème4)'!BG6:BI6,"B"))*3)+((COUNTIF('Elève (5ème4)'!BG6:BI6,"C"))*2)+((COUNTIF('Elève (5ème4)'!BG6:BI6,"D"))*1))/(COUNTA(BG6:BI6)),"")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(5ème4)'!BL6:BN6,"A"))*4)+((COUNTIF('Elève (5ème4)'!BL6:BN6,"B"))*3)+((COUNTIF('Elève (5ème4)'!BL6:BN6,"C"))*2)+((COUNTIF('Elève (5ème4)'!BL6:BN6,"D"))*1))/(COUNTA(BL6:BN6)),"")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(5ème4)'!BS6:BU6,"A"))*4)+((COUNTIF('Elève (5ème4)'!BS6:BU6,"B"))*3)+((COUNTIF('Elève (5ème4)'!BS6:BU6,"C"))*2)+((COUNTIF('Elève (5ème4)'!BS6:BU6,"D"))*1))/(COUNTA(BS6:BU6)),"")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(5ème4)'!BX6:BZ6,"A"))*4)+((COUNTIF('Elève (5ème4)'!BX6:BZ6,"B"))*3)+((COUNTIF('Elève (5ème4)'!BX6:BZ6,"C"))*2)+((COUNTIF('Elève (5ème4)'!BX6:BZ6,"D"))*1))/(COUNTA(BX6:BZ6)),"")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(5ème4)'!CC6:CE6,"A"))*4)+((COUNTIF('Elève (5ème4)'!CC6:CE6,"B"))*3)+((COUNTIF('Elève (5ème4)'!CC6:CE6,"C"))*2)+((COUNTIF('Elève (5ème4)'!CC6:CE6,"D"))*1))/(COUNTA(CC6:CE6)),"")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(5ème4)'!CJ6:CL6,"A"))*4)+((COUNTIF('Elève (5ème4)'!CJ6:CL6,"B"))*3)+((COUNTIF('Elève (5ème4)'!CJ6:CL6,"C"))*2)+((COUNTIF('Elève (5ème4)'!CJ6:CL6,"D"))*1))/(COUNTA(CJ6:CL6)),"")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(5ème4)'!CO6:CQ6,"A"))*4)+((COUNTIF('Elève (5ème4)'!CO6:CQ6,"B"))*3)+((COUNTIF('Elève (5ème4)'!CO6:CQ6,"C"))*2)+((COUNTIF('Elève (5ème4)'!CO6:CQ6,"D"))*1))/(COUNTA(CO6:CQ6)),"")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(5ème4)'!CT6:CV6,"A"))*4)+((COUNTIF('Elève (5ème4)'!CT6:CV6,"B"))*3)+((COUNTIF('Elève (5ème4)'!CT6:CV6,"C"))*2)+((COUNTIF('Elève (5ème4)'!CT6:CV6,"D"))*1))/(COUNTA(CT6:CV6)),"")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(5ème4)'!DA6:DC6,"A"))*4)+((COUNTIF('Elève (5ème4)'!DA6:DC6,"B"))*3)+((COUNTIF('Elève (5ème4)'!DA6:DC6,"C"))*2)+((COUNTIF('Elève (5ème4)'!DA6:DC6,"D"))*1))/(COUNTA(DA6:DC6)),"")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(5ème4)'!DF6:DH6,"A"))*4)+((COUNTIF('Elève (5ème4)'!DF6:DH6,"B"))*3)+((COUNTIF('Elève (5ème4)'!DF6:DH6,"C"))*2)+((COUNTIF('Elève (5ème4)'!DF6:DH6,"D"))*1))/(COUNTA(DF6:DH6)),"")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(5ème4)'!DK6:DM6,"A"))*4)+((COUNTIF('Elève (5ème4)'!DK6:DM6,"B"))*3)+((COUNTIF('Elève (5ème4)'!DK6:DM6,"C"))*2)+((COUNTIF('Elève (5ème4)'!DK6:DM6,"D"))*1))/(COUNTA(DK6:DM6)),"")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(5ème4)'!DR6:DT6,"A"))*4)+((COUNTIF('Elève (5ème4)'!DR6:DT6,"B"))*3)+((COUNTIF('Elève (5ème4)'!DR6:DT6,"C"))*2)+((COUNTIF('Elève (5ème4)'!DR6:DT6,"D"))*1))/(COUNTA(DR6:DT6)),"")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(5ème4)'!DW6:DY6,"A"))*4)+((COUNTIF('Elève (5ème4)'!DW6:DY6,"B"))*3)+((COUNTIF('Elève (5ème4)'!DW6:DY6,"C"))*2)+((COUNTIF('Elève (5ème4)'!DW6:DY6,"D"))*1))/(COUNTA(DW6:DY6)),"")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(5ème4)'!EB6:ED6,"A"))*4)+((COUNTIF('Elève (5ème4)'!EB6:ED6,"B"))*3)+((COUNTIF('Elève (5ème4)'!EB6:ED6,"C"))*2)+((COUNTIF('Elève (5ème4)'!EB6:ED6,"D"))*1))/(COUNTA(EB6:ED6)),"")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(5ème4)'!EI6:EK6,"A"))*4)+((COUNTIF('Elève (5ème4)'!EI6:EK6,"B"))*3)+((COUNTIF('Elève (5ème4)'!EI6:EK6,"C"))*2)+((COUNTIF('Elève (5ème4)'!EI6:EK6,"D"))*1))/(COUNTA(EI6:EK6)),"")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(5ème4)'!EN6:EP6,"A"))*4)+((COUNTIF('Elève (5ème4)'!EN6:EP6,"B"))*3)+((COUNTIF('Elève (5ème4)'!EN6:EP6,"C"))*2)+((COUNTIF('Elève (5ème4)'!EN6:EP6,"D"))*1))/(COUNTA(EN6:EP6)),"")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(5ème4)'!ES6:EU6,"A"))*4)+((COUNTIF('Elève (5ème4)'!ES6:EU6,"B"))*3)+((COUNTIF('Elève (5ème4)'!ES6:EU6,"C"))*2)+((COUNTIF('Elève (5ème4)'!ES6:EU6,"D"))*1))/(COUNTA(ES6:EU6)),"")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(5ème4)'!EZ6:FB6,"A"))*4)+((COUNTIF('Elève (5ème4)'!EZ6:FB6,"B"))*3)+((COUNTIF('Elève (5ème4)'!EZ6:FB6,"C"))*2)+((COUNTIF('Elève (5ème4)'!EZ6:FB6,"D"))*1))/(COUNTA(EZ6:FB6)),"")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(5ème4)'!FE6:FG6,"A"))*4)+((COUNTIF('Elève (5ème4)'!FE6:FG6,"B"))*3)+((COUNTIF('Elève (5ème4)'!FE6:FG6,"C"))*2)+((COUNTIF('Elève (5ème4)'!FE6:FG6,"D"))*1))/(COUNTA(FE6:FG6)),"")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(5ème4)'!FJ6:FL6,"A"))*4)+((COUNTIF('Elève (5ème4)'!FJ6:FL6,"B"))*3)+((COUNTIF('Elève (5ème4)'!FJ6:FL6,"C"))*2)+((COUNTIF('Elève (5ème4)'!FJ6:FL6,"D"))*1))/(COUNTA(FJ6:FL6)),"")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(5ème4)'!FQ6:FS6,"A"))*4)+((COUNTIF('Elève (5ème4)'!FQ6:FS6,"B"))*3)+((COUNTIF('Elève (5ème4)'!FQ6:FS6,"C"))*2)+((COUNTIF('Elève (5ème4)'!FQ6:FS6,"D"))*1))/(COUNTA(FQ6:FS6)),"")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(5ème4)'!FV6:FX6,"A"))*4)+((COUNTIF('Elève (5ème4)'!FV6:FX6,"B"))*3)+((COUNTIF('Elève (5ème4)'!FV6:FX6,"C"))*2)+((COUNTIF('Elève (5ème4)'!FV6:FX6,"D"))*1))/(COUNTA(FV6:FX6)),"")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(5ème4)'!GA6:GC6,"A"))*4)+((COUNTIF('Elève (5ème4)'!GA6:GC6,"B"))*3)+((COUNTIF('Elève (5ème4)'!GA6:GC6,"C"))*2)+((COUNTIF('Elève (5ème4)'!GA6:GC6,"D"))*1))/(COUNTA(GA6:GC6)),"")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(5ème4)'!GH6:GJ6,"A"))*4)+((COUNTIF('Elève (5ème4)'!GH6:GJ6,"B"))*3)+((COUNTIF('Elève (5ème4)'!GH6:GJ6,"C"))*2)+((COUNTIF('Elève (5ème4)'!GH6:GJ6,"D"))*1))/(COUNTA(GH6:GJ6)),"")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(5ème4)'!GM6:GO6,"A"))*4)+((COUNTIF('Elève (5ème4)'!GM6:GO6,"B"))*3)+((COUNTIF('Elève (5ème4)'!GM6:GO6,"C"))*2)+((COUNTIF('Elève (5ème4)'!GM6:GO6,"D"))*1))/(COUNTA(GM6:GO6)),"")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(5ème4)'!GR6:GT6,"A"))*4)+((COUNTIF('Elève (5ème4)'!GR6:GT6,"B"))*3)+((COUNTIF('Elève (5ème4)'!GR6:GT6,"C"))*2)+((COUNTIF('Elève (5ème4)'!GR6:GT6,"D"))*1))/(COUNTA(GR6:GT6)),"")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(5ème4)'!GY6:HA6,"A"))*4)+((COUNTIF('Elève (5ème4)'!GY6:HA6,"B"))*3)+((COUNTIF('Elève (5ème4)'!GY6:HA6,"C"))*2)+((COUNTIF('Elève (5ème4)'!GY6:HA6,"D"))*1))/(COUNTA(GY6:HA6)),"")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(5ème4)'!HD6:HF6,"A"))*4)+((COUNTIF('Elève (5ème4)'!HD6:HF6,"B"))*3)+((COUNTIF('Elève (5ème4)'!HD6:HF6,"C"))*2)+((COUNTIF('Elève (5ème4)'!HD6:HF6,"D"))*1))/(COUNTA(HD6:HF6)),"")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(5ème4)'!HI6:HK6,"A"))*4)+((COUNTIF('Elève (5ème4)'!HI6:HK6,"B"))*3)+((COUNTIF('Elève (5ème4)'!HI6:HK6,"C"))*2)+((COUNTIF('Elève (5ème4)'!HI6:HK6,"D"))*1))/(COUNTA(HI6:HK6)),"")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(5ème4)'!HP6:HR6,"A"))*4)+((COUNTIF('Elève (5ème4)'!HP6:HR6,"B"))*3)+((COUNTIF('Elève (5ème4)'!HP6:HR6,"C"))*2)+((COUNTIF('Elève (5ème4)'!HP6:HR6,"D"))*1))/(COUNTA(HP6:HR6)),"")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(5ème4)'!HU6:HW6,"A"))*4)+((COUNTIF('Elève (5ème4)'!HU6:HW6,"B"))*3)+((COUNTIF('Elève (5ème4)'!HU6:HW6,"C"))*2)+((COUNTIF('Elève (5ème4)'!HU6:HW6,"D"))*1))/(COUNTA(HU6:HW6)),"")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(5ème4)'!HZ6:IB6,"A"))*4)+((COUNTIF('Elève (5ème4)'!HZ6:IB6,"B"))*3)+((COUNTIF('Elève (5ème4)'!HZ6:IB6,"C"))*2)+((COUNTIF('Elève (5ème4)'!HZ6:IB6,"D"))*1))/(COUNTA(HZ6:IB6)),"")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(5ème4)'!IG6:II6,"A"))*4)+((COUNTIF('Elève (5ème4)'!IG6:II6,"B"))*3)+((COUNTIF('Elève (5ème4)'!IG6:II6,"C"))*2)+((COUNTIF('Elève (5ème4)'!IG6:II6,"D"))*1))/(COUNTA(IG6:II6)),"")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(5ème4)'!IL6:IN6,"A"))*4)+((COUNTIF('Elève (5ème4)'!IL6:IN6,"B"))*3)+((COUNTIF('Elève (5ème4)'!IL6:IN6,"C"))*2)+((COUNTIF('Elève (5ème4)'!IL6:IN6,"D"))*1))/(COUNTA(IL6:IN6)),"")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(5ème4)'!IQ6:IS6,"A"))*4)+((COUNTIF('Elève (5ème4)'!IQ6:IS6,"B"))*3)+((COUNTIF('Elève (5ème4)'!IQ6:IS6,"C"))*2)+((COUNTIF('Elève (5ème4)'!IQ6:IS6,"D"))*1))/(COUNTA(IQ6:IS6)),"")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(5ème4)'!IX6:IZ6,"A"))*4)+((COUNTIF('Elève (5ème4)'!IX6:IZ6,"B"))*3)+((COUNTIF('Elève (5ème4)'!IX6:IZ6,"C"))*2)+((COUNTIF('Elève (5ème4)'!IX6:IZ6,"D"))*1))/(COUNTA(IX6:IZ6)),"")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(5ème4)'!JC6:JE6,"A"))*4)+((COUNTIF('Elève (5ème4)'!JC6:JE6,"B"))*3)+((COUNTIF('Elève (5ème4)'!JC6:JE6,"C"))*2)+((COUNTIF('Elève (5ème4)'!JC6:JE6,"D"))*1))/(COUNTA(JC6:JE6)),"")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(5ème4)'!JH6:JJ6,"A"))*4)+((COUNTIF('Elève (5ème4)'!JH6:JJ6,"B"))*3)+((COUNTIF('Elève (5ème4)'!JH6:JJ6,"C"))*2)+((COUNTIF('Elève (5ème4)'!JH6:JJ6,"D"))*1))/(COUNTA(JH6:JJ6)),"")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(5ème4)'!JO6:JQ6,"A"))*4)+((COUNTIF('Elève (5ème4)'!JO6:JQ6,"B"))*3)+((COUNTIF('Elève (5ème4)'!JO6:JQ6,"C"))*2)+((COUNTIF('Elève (5ème4)'!JO6:JQ6,"D"))*1))/(COUNTA(JO6:JQ6)),"")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(5ème4)'!JT6:JV6,"A"))*4)+((COUNTIF('Elève (5ème4)'!JT6:JV6,"B"))*3)+((COUNTIF('Elève (5ème4)'!JT6:JV6,"C"))*2)+((COUNTIF('Elève (5ème4)'!JT6:JV6,"D"))*1))/(COUNTA(JT6:JV6)),"")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(5ème4)'!JY6:KA6,"A"))*4)+((COUNTIF('Elève (5ème4)'!JY6:KA6,"B"))*3)+((COUNTIF('Elève (5ème4)'!JY6:KA6,"C"))*2)+((COUNTIF('Elève (5ème4)'!JY6:KA6,"D"))*1))/(COUNTA(JY6:KA6)),"")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(5ème4)'!KF6:KH6,"A"))*4)+((COUNTIF('Elève (5ème4)'!KF6:KH6,"B"))*3)+((COUNTIF('Elève (5ème4)'!KF6:KH6,"C"))*2)+((COUNTIF('Elève (5ème4)'!KF6:KH6,"D"))*1))/(COUNTA(KF6:KH6)),"")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(5ème4)'!KK6:KM6,"A"))*4)+((COUNTIF('Elève (5ème4)'!KK6:KM6,"B"))*3)+((COUNTIF('Elève (5ème4)'!KK6:KM6,"C"))*2)+((COUNTIF('Elève (5ème4)'!KK6:KM6,"D"))*1))/(COUNTA(KK6:KM6)),"")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(5ème4)'!KP6:KR6,"A"))*4)+((COUNTIF('Elève (5ème4)'!KP6:KR6,"B"))*3)+((COUNTIF('Elève (5ème4)'!KP6:KR6,"C"))*2)+((COUNTIF('Elève (5ème4)'!KP6:KR6,"D"))*1))/(COUNTA(KP6:KR6)),"")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(5ème4)'!KW6:KY6,"A"))*4)+((COUNTIF('Elève (5ème4)'!KW6:KY6,"B"))*3)+((COUNTIF('Elève (5ème4)'!KW6:KY6,"C"))*2)+((COUNTIF('Elève (5ème4)'!KW6:KY6,"D"))*1))/(COUNTA(KW6:KY6)),"")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(5ème4)'!LB6:LD6,"A"))*4)+((COUNTIF('Elève (5ème4)'!LB6:LD6,"B"))*3)+((COUNTIF('Elève (5ème4)'!LB6:LD6,"C"))*2)+((COUNTIF('Elève (5ème4)'!LB6:LD6,"D"))*1))/(COUNTA(LB6:LD6)),"")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(5ème4)'!LG6:LI6,"A"))*4)+((COUNTIF('Elève (5ème4)'!LG6:LI6,"B"))*3)+((COUNTIF('Elève (5ème4)'!LG6:LI6,"C"))*2)+((COUNTIF('Elève (5ème4)'!LG6:LI6,"D"))*1))/(COUNTA(LG6:LI6)),"")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(5ème4)'!LN6:LP6,"A"))*4)+((COUNTIF('Elève (5ème4)'!LN6:LP6,"B"))*3)+((COUNTIF('Elève (5ème4)'!LN6:LP6,"C"))*2)+((COUNTIF('Elève (5ème4)'!LN6:LP6,"D"))*1))/(COUNTA(LN6:LP6)),"")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(5ème4)'!LS6:LU6,"A"))*4)+((COUNTIF('Elève (5ème4)'!LS6:LU6,"B"))*3)+((COUNTIF('Elève (5ème4)'!LS6:LU6,"C"))*2)+((COUNTIF('Elève (5ème4)'!LS6:LU6,"D"))*1))/(COUNTA(LS6:LU6)),"")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(5ème4)'!LX6:LZ6,"A"))*4)+((COUNTIF('Elève (5ème4)'!LX6:LZ6,"B"))*3)+((COUNTIF('Elève (5ème4)'!LX6:LZ6,"C"))*2)+((COUNTIF('Elève (5ème4)'!LX6:LZ6,"D"))*1))/(COUNTA(LX6:LZ6)),"")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(5ème4)'!ME6:MG6,"A"))*4)+((COUNTIF('Elève (5ème4)'!ME6:MG6,"B"))*3)+((COUNTIF('Elève (5ème4)'!ME6:MG6,"C"))*2)+((COUNTIF('Elève (5ème4)'!ME6:MG6,"D"))*1))/(COUNTA(ME6:MG6)),"")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(5ème4)'!MJ6:ML6,"A"))*4)+((COUNTIF('Elève (5ème4)'!MJ6:ML6,"B"))*3)+((COUNTIF('Elève (5ème4)'!MJ6:ML6,"C"))*2)+((COUNTIF('Elève (5ème4)'!MJ6:ML6,"D"))*1))/(COUNTA(MJ6:ML6)),"")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(5ème4)'!MO6:MQ6,"A"))*4)+((COUNTIF('Elève (5ème4)'!MO6:MQ6,"B"))*3)+((COUNTIF('Elève (5ème4)'!MO6:MQ6,"C"))*2)+((COUNTIF('Elève (5ème4)'!MO6:MQ6,"D"))*1))/(COUNTA(MO6:MQ6)),"")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(5ème4)'!MV6:MX6,"A"))*4)+((COUNTIF('Elève (5ème4)'!MV6:MX6,"B"))*3)+((COUNTIF('Elève (5ème4)'!MV6:MX6,"C"))*2)+((COUNTIF('Elève (5ème4)'!MV6:MX6,"D"))*1))/(COUNTA(MV6:MX6)),"")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(5ème4)'!NA6:NC6,"A"))*4)+((COUNTIF('Elève (5ème4)'!NA6:NC6,"B"))*3)+((COUNTIF('Elève (5ème4)'!NA6:NC6,"C"))*2)+((COUNTIF('Elève (5ème4)'!NA6:NC6,"D"))*1))/(COUNTA(NA6:NC6)),"")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(5ème4)'!NF6:NH6,"A"))*4)+((COUNTIF('Elève (5ème4)'!NF6:NH6,"B"))*3)+((COUNTIF('Elève (5ème4)'!NF6:NH6,"C"))*2)+((COUNTIF('Elève (5ème4)'!NF6:NH6,"D"))*1))/(COUNTA(NF6:NH6)),"")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(5ème4)'!NM6:NO6,"A"))*4)+((COUNTIF('Elève (5ème4)'!NM6:NO6,"B"))*3)+((COUNTIF('Elève (5ème4)'!NM6:NO6,"C"))*2)+((COUNTIF('Elève (5ème4)'!NM6:NO6,"D"))*1))/(COUNTA(NM6:NO6)),"")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(5ème4)'!NR6:NT6,"A"))*4)+((COUNTIF('Elève (5ème4)'!NR6:NT6,"B"))*3)+((COUNTIF('Elève (5ème4)'!NR6:NT6,"C"))*2)+((COUNTIF('Elève (5ème4)'!NR6:NT6,"D"))*1))/(COUNTA(NR6:NT6)),"")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(5ème4)'!NW6:NY6,"A"))*4)+((COUNTIF('Elève (5ème4)'!NW6:NY6,"B"))*3)+((COUNTIF('Elève (5ème4)'!NW6:NY6,"C"))*2)+((COUNTIF('Elève (5ème4)'!NW6:NY6,"D"))*1))/(COUNTA(NW6:NY6)),"")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(5ème4)'!OD6:OF6,"A"))*4)+((COUNTIF('Elève (5ème4)'!OD6:OF6,"B"))*3)+((COUNTIF('Elève (5ème4)'!OD6:OF6,"C"))*2)+((COUNTIF('Elève (5ème4)'!OD6:OF6,"D"))*1))/(COUNTA(OD6:OF6)),"")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(5ème4)'!OI6:OK6,"A"))*4)+((COUNTIF('Elève (5ème4)'!OI6:OK6,"B"))*3)+((COUNTIF('Elève (5ème4)'!OI6:OK6,"C"))*2)+((COUNTIF('Elève (5ème4)'!OI6:OK6,"D"))*1))/(COUNTA(OI6:OK6)),"")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(5ème4)'!ON6:OP6,"A"))*4)+((COUNTIF('Elève (5ème4)'!ON6:OP6,"B"))*3)+((COUNTIF('Elève (5ème4)'!ON6:OP6,"C"))*2)+((COUNTIF('Elève (5ème4)'!ON6:OP6,"D"))*1))/(COUNTA(ON6:OP6)),"")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(5ème4)'!OU6:OW6,"A"))*4)+((COUNTIF('Elève (5ème4)'!OU6:OW6,"B"))*3)+((COUNTIF('Elève (5ème4)'!OU6:OW6,"C"))*2)+((COUNTIF('Elève (5ème4)'!OU6:OW6,"D"))*1))/(COUNTA(OU6:OW6)),"")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(5ème4)'!OZ6:PB6,"A"))*4)+((COUNTIF('Elève (5ème4)'!OZ6:PB6,"B"))*3)+((COUNTIF('Elève (5ème4)'!OZ6:PB6,"C"))*2)+((COUNTIF('Elève (5ème4)'!OZ6:PB6,"D"))*1))/(COUNTA(OZ6:PB6)),"")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(5ème4)'!PE6:PG6,"A"))*4)+((COUNTIF('Elève (5ème4)'!PE6:PG6,"B"))*3)+((COUNTIF('Elève (5ème4)'!PE6:PG6,"C"))*2)+((COUNTIF('Elève (5ème4)'!PE6:PG6,"D"))*1))/(COUNTA(PE6:PG6)),"")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(5ème4)'!PL6:PN6,"A"))*4)+((COUNTIF('Elève (5ème4)'!PL6:PN6,"B"))*3)+((COUNTIF('Elève (5ème4)'!PL6:PN6,"C"))*2)+((COUNTIF('Elève (5ème4)'!PL6:PN6,"D"))*1))/(COUNTA(PL6:PN6)),"")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(5ème4)'!PQ6:PS6,"A"))*4)+((COUNTIF('Elève (5ème4)'!PQ6:PS6,"B"))*3)+((COUNTIF('Elève (5ème4)'!PQ6:PS6,"C"))*2)+((COUNTIF('Elève (5ème4)'!PQ6:PS6,"D"))*1))/(COUNTA(PQ6:PS6)),"")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(5ème4)'!PV6:PX6,"A"))*4)+((COUNTIF('Elève (5ème4)'!PV6:PX6,"B"))*3)+((COUNTIF('Elève (5ème4)'!PV6:PX6,"C"))*2)+((COUNTIF('Elève (5ème4)'!PV6:PX6,"D"))*1))/(COUNTA(PV6:PX6)),"")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(5ème4)'!QC6:QE6,"A"))*4)+((COUNTIF('Elève (5ème4)'!QC6:QE6,"B"))*3)+((COUNTIF('Elève (5ème4)'!QC6:QE6,"C"))*2)+((COUNTIF('Elève (5ème4)'!QC6:QE6,"D"))*1))/(COUNTA(QC6:QE6)),"")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(5ème4)'!QH6:QJ6,"A"))*4)+((COUNTIF('Elève (5ème4)'!QH6:QJ6,"B"))*3)+((COUNTIF('Elève (5ème4)'!QH6:QJ6,"C"))*2)+((COUNTIF('Elève (5ème4)'!QH6:QJ6,"D"))*1))/(COUNTA(QH6:QJ6)),"")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(5ème4)'!QM6:QO6,"A"))*4)+((COUNTIF('Elève (5ème4)'!QM6:QO6,"B"))*3)+((COUNTIF('Elève (5ème4)'!QM6:QO6,"C"))*2)+((COUNTIF('Elève (5ème4)'!QM6:QO6,"D"))*1))/(COUNTA(QM6:QO6)),"")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(5ème4)'!QT6:QV6,"A"))*4)+((COUNTIF('Elève (5ème4)'!QT6:QV6,"B"))*3)+((COUNTIF('Elève (5ème4)'!QT6:QV6,"C"))*2)+((COUNTIF('Elève (5ème4)'!QT6:QV6,"D"))*1))/(COUNTA(QT6:QV6)),"")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(5ème4)'!QY6:RA6,"A"))*4)+((COUNTIF('Elève (5ème4)'!QY6:RA6,"B"))*3)+((COUNTIF('Elève (5ème4)'!QY6:RA6,"C"))*2)+((COUNTIF('Elève (5ème4)'!QY6:RA6,"D"))*1))/(COUNTA(QY6:RA6)),"")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(5ème4)'!RD6:RF6,"A"))*4)+((COUNTIF('Elève (5ème4)'!RD6:RF6,"B"))*3)+((COUNTIF('Elève (5ème4)'!RD6:RF6,"C"))*2)+((COUNTIF('Elève (5ème4)'!RD6:RF6,"D"))*1))/(COUNTA(RD6:RF6)),"")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(5ème4)'!RK6:RM6,"A"))*4)+((COUNTIF('Elève (5ème4)'!RK6:RM6,"B"))*3)+((COUNTIF('Elève (5ème4)'!RK6:RM6,"C"))*2)+((COUNTIF('Elève (5ème4)'!RK6:RM6,"D"))*1))/(COUNTA(RK6:RM6)),"")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(5ème4)'!RP6:RR6,"A"))*4)+((COUNTIF('Elève (5ème4)'!RP6:RR6,"B"))*3)+((COUNTIF('Elève (5ème4)'!RP6:RR6,"C"))*2)+((COUNTIF('Elève (5ème4)'!RP6:RR6,"D"))*1))/(COUNTA(RP6:RR6)),"")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(5ème4)'!RU6:RW6,"A"))*4)+((COUNTIF('Elève (5ème4)'!RU6:RW6,"B"))*3)+((COUNTIF('Elève (5ème4)'!RU6:RW6,"C"))*2)+((COUNTIF('Elève (5ème4)'!RU6:RW6,"D"))*1))/(COUNTA(RU6:RW6)),"")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(5ème4)'!SB6:SD6,"A"))*4)+((COUNTIF('Elève (5ème4)'!SB6:SD6,"B"))*3)+((COUNTIF('Elève (5ème4)'!SB6:SD6,"C"))*2)+((COUNTIF('Elève (5ème4)'!SB6:SD6,"D"))*1))/(COUNTA(SB6:SD6)),"")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(5ème4)'!SG6:SI6,"A"))*4)+((COUNTIF('Elève (5ème4)'!SG6:SI6,"B"))*3)+((COUNTIF('Elève (5ème4)'!SG6:SI6,"C"))*2)+((COUNTIF('Elève (5ème4)'!SG6:SI6,"D"))*1))/(COUNTA(SG6:SI6)),"")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(5ème4)'!SL6:SN6,"A"))*4)+((COUNTIF('Elève (5ème4)'!SL6:SN6,"B"))*3)+((COUNTIF('Elève (5ème4)'!SL6:SN6,"C"))*2)+((COUNTIF('Elève (5ème4)'!SL6:SN6,"D"))*1))/(COUNTA(SL6:SN6)),"")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7" t="s">
        <v>14</v>
      </c>
      <c r="B7" s="228"/>
      <c r="C7" s="156"/>
      <c r="D7" s="157"/>
      <c r="E7" s="158"/>
      <c r="F7" s="110" t="str">
        <f>IFERROR((((COUNTIF('Elève (5ème4)'!C7:E7,"A"))*4)+((COUNTIF('Elève (5ème4)'!C7:E7,"B"))*3)+((COUNTIF('Elève (5ème4)'!C7:E7,"C"))*2)+((COUNTIF('Elève (5ème4)'!C7:E7,"D"))*1))/(COUNTA(C7:E7)),"")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(5ème4)'!H7:J7,"A"))*4)+((COUNTIF('Elève (5ème4)'!H7:J7,"B"))*3)+((COUNTIF('Elève (5ème4)'!H7:J7,"C"))*2)+((COUNTIF('Elève (5ème4)'!H7:J7,"D"))*1))/(COUNTA(H7:J7)),"")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(5ème4)'!M7:O7,"A"))*4)+((COUNTIF('Elève (5ème4)'!M7:O7,"B"))*3)+((COUNTIF('Elève (5ème4)'!M7:O7,"C"))*2)+((COUNTIF('Elève (5ème4)'!M7:O7,"D"))*1))/(COUNTA(M7:O7)),"")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(5ème4)'!T7:V7,"A"))*4)+((COUNTIF('Elève (5ème4)'!T7:V7,"B"))*3)+((COUNTIF('Elève (5ème4)'!T7:V7,"C"))*2)+((COUNTIF('Elève (5ème4)'!T7:V7,"D"))*1))/(COUNTA(T7:V7)),"")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(5ème4)'!Y7:AA7,"A"))*4)+((COUNTIF('Elève (5ème4)'!Y7:AA7,"B"))*3)+((COUNTIF('Elève (5ème4)'!Y7:AA7,"C"))*2)+((COUNTIF('Elève (5ème4)'!Y7:AA7,"D"))*1))/(COUNTA(Y7:AA7)),"")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(5ème4)'!AD7:AF7,"A"))*4)+((COUNTIF('Elève (5ème4)'!AD7:AF7,"B"))*3)+((COUNTIF('Elève (5ème4)'!AD7:AF7,"C"))*2)+((COUNTIF('Elève (5ème4)'!AD7:AF7,"D"))*1))/(COUNTA(AD7:AF7)),"")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(5ème4)'!AK7:AM7,"A"))*4)+((COUNTIF('Elève (5ème4)'!AK7:AM7,"B"))*3)+((COUNTIF('Elève (5ème4)'!AK7:AM7,"C"))*2)+((COUNTIF('Elève (5ème4)'!AK7:AM7,"D"))*1))/(COUNTA(AK7:AM7)),"")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(5ème4)'!AP7:AR7,"A"))*4)+((COUNTIF('Elève (5ème4)'!AP7:AR7,"B"))*3)+((COUNTIF('Elève (5ème4)'!AP7:AR7,"C"))*2)+((COUNTIF('Elève (5ème4)'!AP7:AR7,"D"))*1))/(COUNTA(AP7:AR7)),"")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(5ème4)'!AU7:AW7,"A"))*4)+((COUNTIF('Elève (5ème4)'!AU7:AW7,"B"))*3)+((COUNTIF('Elève (5ème4)'!AU7:AW7,"C"))*2)+((COUNTIF('Elève (5ème4)'!AU7:AW7,"D"))*1))/(COUNTA(AU7:AW7)),"")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(5ème4)'!BB7:BD7,"A"))*4)+((COUNTIF('Elève (5ème4)'!BB7:BD7,"B"))*3)+((COUNTIF('Elève (5ème4)'!BB7:BD7,"C"))*2)+((COUNTIF('Elève (5ème4)'!BB7:BD7,"D"))*1))/(COUNTA(BB7:BD7)),"")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(5ème4)'!BG7:BI7,"A"))*4)+((COUNTIF('Elève (5ème4)'!BG7:BI7,"B"))*3)+((COUNTIF('Elève (5ème4)'!BG7:BI7,"C"))*2)+((COUNTIF('Elève (5ème4)'!BG7:BI7,"D"))*1))/(COUNTA(BG7:BI7)),"")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(5ème4)'!BL7:BN7,"A"))*4)+((COUNTIF('Elève (5ème4)'!BL7:BN7,"B"))*3)+((COUNTIF('Elève (5ème4)'!BL7:BN7,"C"))*2)+((COUNTIF('Elève (5ème4)'!BL7:BN7,"D"))*1))/(COUNTA(BL7:BN7)),"")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(5ème4)'!BS7:BU7,"A"))*4)+((COUNTIF('Elève (5ème4)'!BS7:BU7,"B"))*3)+((COUNTIF('Elève (5ème4)'!BS7:BU7,"C"))*2)+((COUNTIF('Elève (5ème4)'!BS7:BU7,"D"))*1))/(COUNTA(BS7:BU7)),"")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(5ème4)'!BX7:BZ7,"A"))*4)+((COUNTIF('Elève (5ème4)'!BX7:BZ7,"B"))*3)+((COUNTIF('Elève (5ème4)'!BX7:BZ7,"C"))*2)+((COUNTIF('Elève (5ème4)'!BX7:BZ7,"D"))*1))/(COUNTA(BX7:BZ7)),"")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(5ème4)'!CC7:CE7,"A"))*4)+((COUNTIF('Elève (5ème4)'!CC7:CE7,"B"))*3)+((COUNTIF('Elève (5ème4)'!CC7:CE7,"C"))*2)+((COUNTIF('Elève (5ème4)'!CC7:CE7,"D"))*1))/(COUNTA(CC7:CE7)),"")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(5ème4)'!CJ7:CL7,"A"))*4)+((COUNTIF('Elève (5ème4)'!CJ7:CL7,"B"))*3)+((COUNTIF('Elève (5ème4)'!CJ7:CL7,"C"))*2)+((COUNTIF('Elève (5ème4)'!CJ7:CL7,"D"))*1))/(COUNTA(CJ7:CL7)),"")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(5ème4)'!CO7:CQ7,"A"))*4)+((COUNTIF('Elève (5ème4)'!CO7:CQ7,"B"))*3)+((COUNTIF('Elève (5ème4)'!CO7:CQ7,"C"))*2)+((COUNTIF('Elève (5ème4)'!CO7:CQ7,"D"))*1))/(COUNTA(CO7:CQ7)),"")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(5ème4)'!CT7:CV7,"A"))*4)+((COUNTIF('Elève (5ème4)'!CT7:CV7,"B"))*3)+((COUNTIF('Elève (5ème4)'!CT7:CV7,"C"))*2)+((COUNTIF('Elève (5ème4)'!CT7:CV7,"D"))*1))/(COUNTA(CT7:CV7)),"")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(5ème4)'!DA7:DC7,"A"))*4)+((COUNTIF('Elève (5ème4)'!DA7:DC7,"B"))*3)+((COUNTIF('Elève (5ème4)'!DA7:DC7,"C"))*2)+((COUNTIF('Elève (5ème4)'!DA7:DC7,"D"))*1))/(COUNTA(DA7:DC7)),"")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(5ème4)'!DF7:DH7,"A"))*4)+((COUNTIF('Elève (5ème4)'!DF7:DH7,"B"))*3)+((COUNTIF('Elève (5ème4)'!DF7:DH7,"C"))*2)+((COUNTIF('Elève (5ème4)'!DF7:DH7,"D"))*1))/(COUNTA(DF7:DH7)),"")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(5ème4)'!DK7:DM7,"A"))*4)+((COUNTIF('Elève (5ème4)'!DK7:DM7,"B"))*3)+((COUNTIF('Elève (5ème4)'!DK7:DM7,"C"))*2)+((COUNTIF('Elève (5ème4)'!DK7:DM7,"D"))*1))/(COUNTA(DK7:DM7)),"")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(5ème4)'!DR7:DT7,"A"))*4)+((COUNTIF('Elève (5ème4)'!DR7:DT7,"B"))*3)+((COUNTIF('Elève (5ème4)'!DR7:DT7,"C"))*2)+((COUNTIF('Elève (5ème4)'!DR7:DT7,"D"))*1))/(COUNTA(DR7:DT7)),"")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(5ème4)'!DW7:DY7,"A"))*4)+((COUNTIF('Elève (5ème4)'!DW7:DY7,"B"))*3)+((COUNTIF('Elève (5ème4)'!DW7:DY7,"C"))*2)+((COUNTIF('Elève (5ème4)'!DW7:DY7,"D"))*1))/(COUNTA(DW7:DY7)),"")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(5ème4)'!EB7:ED7,"A"))*4)+((COUNTIF('Elève (5ème4)'!EB7:ED7,"B"))*3)+((COUNTIF('Elève (5ème4)'!EB7:ED7,"C"))*2)+((COUNTIF('Elève (5ème4)'!EB7:ED7,"D"))*1))/(COUNTA(EB7:ED7)),"")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(5ème4)'!EI7:EK7,"A"))*4)+((COUNTIF('Elève (5ème4)'!EI7:EK7,"B"))*3)+((COUNTIF('Elève (5ème4)'!EI7:EK7,"C"))*2)+((COUNTIF('Elève (5ème4)'!EI7:EK7,"D"))*1))/(COUNTA(EI7:EK7)),"")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(5ème4)'!EN7:EP7,"A"))*4)+((COUNTIF('Elève (5ème4)'!EN7:EP7,"B"))*3)+((COUNTIF('Elève (5ème4)'!EN7:EP7,"C"))*2)+((COUNTIF('Elève (5ème4)'!EN7:EP7,"D"))*1))/(COUNTA(EN7:EP7)),"")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(5ème4)'!ES7:EU7,"A"))*4)+((COUNTIF('Elève (5ème4)'!ES7:EU7,"B"))*3)+((COUNTIF('Elève (5ème4)'!ES7:EU7,"C"))*2)+((COUNTIF('Elève (5ème4)'!ES7:EU7,"D"))*1))/(COUNTA(ES7:EU7)),"")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(5ème4)'!EZ7:FB7,"A"))*4)+((COUNTIF('Elève (5ème4)'!EZ7:FB7,"B"))*3)+((COUNTIF('Elève (5ème4)'!EZ7:FB7,"C"))*2)+((COUNTIF('Elève (5ème4)'!EZ7:FB7,"D"))*1))/(COUNTA(EZ7:FB7)),"")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(5ème4)'!FE7:FG7,"A"))*4)+((COUNTIF('Elève (5ème4)'!FE7:FG7,"B"))*3)+((COUNTIF('Elève (5ème4)'!FE7:FG7,"C"))*2)+((COUNTIF('Elève (5ème4)'!FE7:FG7,"D"))*1))/(COUNTA(FE7:FG7)),"")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(5ème4)'!FJ7:FL7,"A"))*4)+((COUNTIF('Elève (5ème4)'!FJ7:FL7,"B"))*3)+((COUNTIF('Elève (5ème4)'!FJ7:FL7,"C"))*2)+((COUNTIF('Elève (5ème4)'!FJ7:FL7,"D"))*1))/(COUNTA(FJ7:FL7)),"")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(5ème4)'!FQ7:FS7,"A"))*4)+((COUNTIF('Elève (5ème4)'!FQ7:FS7,"B"))*3)+((COUNTIF('Elève (5ème4)'!FQ7:FS7,"C"))*2)+((COUNTIF('Elève (5ème4)'!FQ7:FS7,"D"))*1))/(COUNTA(FQ7:FS7)),"")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(5ème4)'!FV7:FX7,"A"))*4)+((COUNTIF('Elève (5ème4)'!FV7:FX7,"B"))*3)+((COUNTIF('Elève (5ème4)'!FV7:FX7,"C"))*2)+((COUNTIF('Elève (5ème4)'!FV7:FX7,"D"))*1))/(COUNTA(FV7:FX7)),"")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(5ème4)'!GA7:GC7,"A"))*4)+((COUNTIF('Elève (5ème4)'!GA7:GC7,"B"))*3)+((COUNTIF('Elève (5ème4)'!GA7:GC7,"C"))*2)+((COUNTIF('Elève (5ème4)'!GA7:GC7,"D"))*1))/(COUNTA(GA7:GC7)),"")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(5ème4)'!GH7:GJ7,"A"))*4)+((COUNTIF('Elève (5ème4)'!GH7:GJ7,"B"))*3)+((COUNTIF('Elève (5ème4)'!GH7:GJ7,"C"))*2)+((COUNTIF('Elève (5ème4)'!GH7:GJ7,"D"))*1))/(COUNTA(GH7:GJ7)),"")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(5ème4)'!GM7:GO7,"A"))*4)+((COUNTIF('Elève (5ème4)'!GM7:GO7,"B"))*3)+((COUNTIF('Elève (5ème4)'!GM7:GO7,"C"))*2)+((COUNTIF('Elève (5ème4)'!GM7:GO7,"D"))*1))/(COUNTA(GM7:GO7)),"")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(5ème4)'!GR7:GT7,"A"))*4)+((COUNTIF('Elève (5ème4)'!GR7:GT7,"B"))*3)+((COUNTIF('Elève (5ème4)'!GR7:GT7,"C"))*2)+((COUNTIF('Elève (5ème4)'!GR7:GT7,"D"))*1))/(COUNTA(GR7:GT7)),"")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(5ème4)'!GY7:HA7,"A"))*4)+((COUNTIF('Elève (5ème4)'!GY7:HA7,"B"))*3)+((COUNTIF('Elève (5ème4)'!GY7:HA7,"C"))*2)+((COUNTIF('Elève (5ème4)'!GY7:HA7,"D"))*1))/(COUNTA(GY7:HA7)),"")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(5ème4)'!HD7:HF7,"A"))*4)+((COUNTIF('Elève (5ème4)'!HD7:HF7,"B"))*3)+((COUNTIF('Elève (5ème4)'!HD7:HF7,"C"))*2)+((COUNTIF('Elève (5ème4)'!HD7:HF7,"D"))*1))/(COUNTA(HD7:HF7)),"")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(5ème4)'!HI7:HK7,"A"))*4)+((COUNTIF('Elève (5ème4)'!HI7:HK7,"B"))*3)+((COUNTIF('Elève (5ème4)'!HI7:HK7,"C"))*2)+((COUNTIF('Elève (5ème4)'!HI7:HK7,"D"))*1))/(COUNTA(HI7:HK7)),"")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(5ème4)'!HP7:HR7,"A"))*4)+((COUNTIF('Elève (5ème4)'!HP7:HR7,"B"))*3)+((COUNTIF('Elève (5ème4)'!HP7:HR7,"C"))*2)+((COUNTIF('Elève (5ème4)'!HP7:HR7,"D"))*1))/(COUNTA(HP7:HR7)),"")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(5ème4)'!HU7:HW7,"A"))*4)+((COUNTIF('Elève (5ème4)'!HU7:HW7,"B"))*3)+((COUNTIF('Elève (5ème4)'!HU7:HW7,"C"))*2)+((COUNTIF('Elève (5ème4)'!HU7:HW7,"D"))*1))/(COUNTA(HU7:HW7)),"")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(5ème4)'!HZ7:IB7,"A"))*4)+((COUNTIF('Elève (5ème4)'!HZ7:IB7,"B"))*3)+((COUNTIF('Elève (5ème4)'!HZ7:IB7,"C"))*2)+((COUNTIF('Elève (5ème4)'!HZ7:IB7,"D"))*1))/(COUNTA(HZ7:IB7)),"")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(5ème4)'!IG7:II7,"A"))*4)+((COUNTIF('Elève (5ème4)'!IG7:II7,"B"))*3)+((COUNTIF('Elève (5ème4)'!IG7:II7,"C"))*2)+((COUNTIF('Elève (5ème4)'!IG7:II7,"D"))*1))/(COUNTA(IG7:II7)),"")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(5ème4)'!IL7:IN7,"A"))*4)+((COUNTIF('Elève (5ème4)'!IL7:IN7,"B"))*3)+((COUNTIF('Elève (5ème4)'!IL7:IN7,"C"))*2)+((COUNTIF('Elève (5ème4)'!IL7:IN7,"D"))*1))/(COUNTA(IL7:IN7)),"")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(5ème4)'!IQ7:IS7,"A"))*4)+((COUNTIF('Elève (5ème4)'!IQ7:IS7,"B"))*3)+((COUNTIF('Elève (5ème4)'!IQ7:IS7,"C"))*2)+((COUNTIF('Elève (5ème4)'!IQ7:IS7,"D"))*1))/(COUNTA(IQ7:IS7)),"")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(5ème4)'!IX7:IZ7,"A"))*4)+((COUNTIF('Elève (5ème4)'!IX7:IZ7,"B"))*3)+((COUNTIF('Elève (5ème4)'!IX7:IZ7,"C"))*2)+((COUNTIF('Elève (5ème4)'!IX7:IZ7,"D"))*1))/(COUNTA(IX7:IZ7)),"")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(5ème4)'!JC7:JE7,"A"))*4)+((COUNTIF('Elève (5ème4)'!JC7:JE7,"B"))*3)+((COUNTIF('Elève (5ème4)'!JC7:JE7,"C"))*2)+((COUNTIF('Elève (5ème4)'!JC7:JE7,"D"))*1))/(COUNTA(JC7:JE7)),"")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(5ème4)'!JH7:JJ7,"A"))*4)+((COUNTIF('Elève (5ème4)'!JH7:JJ7,"B"))*3)+((COUNTIF('Elève (5ème4)'!JH7:JJ7,"C"))*2)+((COUNTIF('Elève (5ème4)'!JH7:JJ7,"D"))*1))/(COUNTA(JH7:JJ7)),"")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(5ème4)'!JO7:JQ7,"A"))*4)+((COUNTIF('Elève (5ème4)'!JO7:JQ7,"B"))*3)+((COUNTIF('Elève (5ème4)'!JO7:JQ7,"C"))*2)+((COUNTIF('Elève (5ème4)'!JO7:JQ7,"D"))*1))/(COUNTA(JO7:JQ7)),"")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(5ème4)'!JT7:JV7,"A"))*4)+((COUNTIF('Elève (5ème4)'!JT7:JV7,"B"))*3)+((COUNTIF('Elève (5ème4)'!JT7:JV7,"C"))*2)+((COUNTIF('Elève (5ème4)'!JT7:JV7,"D"))*1))/(COUNTA(JT7:JV7)),"")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(5ème4)'!JY7:KA7,"A"))*4)+((COUNTIF('Elève (5ème4)'!JY7:KA7,"B"))*3)+((COUNTIF('Elève (5ème4)'!JY7:KA7,"C"))*2)+((COUNTIF('Elève (5ème4)'!JY7:KA7,"D"))*1))/(COUNTA(JY7:KA7)),"")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(5ème4)'!KF7:KH7,"A"))*4)+((COUNTIF('Elève (5ème4)'!KF7:KH7,"B"))*3)+((COUNTIF('Elève (5ème4)'!KF7:KH7,"C"))*2)+((COUNTIF('Elève (5ème4)'!KF7:KH7,"D"))*1))/(COUNTA(KF7:KH7)),"")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(5ème4)'!KK7:KM7,"A"))*4)+((COUNTIF('Elève (5ème4)'!KK7:KM7,"B"))*3)+((COUNTIF('Elève (5ème4)'!KK7:KM7,"C"))*2)+((COUNTIF('Elève (5ème4)'!KK7:KM7,"D"))*1))/(COUNTA(KK7:KM7)),"")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(5ème4)'!KP7:KR7,"A"))*4)+((COUNTIF('Elève (5ème4)'!KP7:KR7,"B"))*3)+((COUNTIF('Elève (5ème4)'!KP7:KR7,"C"))*2)+((COUNTIF('Elève (5ème4)'!KP7:KR7,"D"))*1))/(COUNTA(KP7:KR7)),"")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(5ème4)'!KW7:KY7,"A"))*4)+((COUNTIF('Elève (5ème4)'!KW7:KY7,"B"))*3)+((COUNTIF('Elève (5ème4)'!KW7:KY7,"C"))*2)+((COUNTIF('Elève (5ème4)'!KW7:KY7,"D"))*1))/(COUNTA(KW7:KY7)),"")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(5ème4)'!LB7:LD7,"A"))*4)+((COUNTIF('Elève (5ème4)'!LB7:LD7,"B"))*3)+((COUNTIF('Elève (5ème4)'!LB7:LD7,"C"))*2)+((COUNTIF('Elève (5ème4)'!LB7:LD7,"D"))*1))/(COUNTA(LB7:LD7)),"")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(5ème4)'!LG7:LI7,"A"))*4)+((COUNTIF('Elève (5ème4)'!LG7:LI7,"B"))*3)+((COUNTIF('Elève (5ème4)'!LG7:LI7,"C"))*2)+((COUNTIF('Elève (5ème4)'!LG7:LI7,"D"))*1))/(COUNTA(LG7:LI7)),"")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(5ème4)'!LN7:LP7,"A"))*4)+((COUNTIF('Elève (5ème4)'!LN7:LP7,"B"))*3)+((COUNTIF('Elève (5ème4)'!LN7:LP7,"C"))*2)+((COUNTIF('Elève (5ème4)'!LN7:LP7,"D"))*1))/(COUNTA(LN7:LP7)),"")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(5ème4)'!LS7:LU7,"A"))*4)+((COUNTIF('Elève (5ème4)'!LS7:LU7,"B"))*3)+((COUNTIF('Elève (5ème4)'!LS7:LU7,"C"))*2)+((COUNTIF('Elève (5ème4)'!LS7:LU7,"D"))*1))/(COUNTA(LS7:LU7)),"")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(5ème4)'!LX7:LZ7,"A"))*4)+((COUNTIF('Elève (5ème4)'!LX7:LZ7,"B"))*3)+((COUNTIF('Elève (5ème4)'!LX7:LZ7,"C"))*2)+((COUNTIF('Elève (5ème4)'!LX7:LZ7,"D"))*1))/(COUNTA(LX7:LZ7)),"")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(5ème4)'!ME7:MG7,"A"))*4)+((COUNTIF('Elève (5ème4)'!ME7:MG7,"B"))*3)+((COUNTIF('Elève (5ème4)'!ME7:MG7,"C"))*2)+((COUNTIF('Elève (5ème4)'!ME7:MG7,"D"))*1))/(COUNTA(ME7:MG7)),"")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(5ème4)'!MJ7:ML7,"A"))*4)+((COUNTIF('Elève (5ème4)'!MJ7:ML7,"B"))*3)+((COUNTIF('Elève (5ème4)'!MJ7:ML7,"C"))*2)+((COUNTIF('Elève (5ème4)'!MJ7:ML7,"D"))*1))/(COUNTA(MJ7:ML7)),"")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(5ème4)'!MO7:MQ7,"A"))*4)+((COUNTIF('Elève (5ème4)'!MO7:MQ7,"B"))*3)+((COUNTIF('Elève (5ème4)'!MO7:MQ7,"C"))*2)+((COUNTIF('Elève (5ème4)'!MO7:MQ7,"D"))*1))/(COUNTA(MO7:MQ7)),"")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(5ème4)'!MV7:MX7,"A"))*4)+((COUNTIF('Elève (5ème4)'!MV7:MX7,"B"))*3)+((COUNTIF('Elève (5ème4)'!MV7:MX7,"C"))*2)+((COUNTIF('Elève (5ème4)'!MV7:MX7,"D"))*1))/(COUNTA(MV7:MX7)),"")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(5ème4)'!NA7:NC7,"A"))*4)+((COUNTIF('Elève (5ème4)'!NA7:NC7,"B"))*3)+((COUNTIF('Elève (5ème4)'!NA7:NC7,"C"))*2)+((COUNTIF('Elève (5ème4)'!NA7:NC7,"D"))*1))/(COUNTA(NA7:NC7)),"")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(5ème4)'!NF7:NH7,"A"))*4)+((COUNTIF('Elève (5ème4)'!NF7:NH7,"B"))*3)+((COUNTIF('Elève (5ème4)'!NF7:NH7,"C"))*2)+((COUNTIF('Elève (5ème4)'!NF7:NH7,"D"))*1))/(COUNTA(NF7:NH7)),"")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(5ème4)'!NM7:NO7,"A"))*4)+((COUNTIF('Elève (5ème4)'!NM7:NO7,"B"))*3)+((COUNTIF('Elève (5ème4)'!NM7:NO7,"C"))*2)+((COUNTIF('Elève (5ème4)'!NM7:NO7,"D"))*1))/(COUNTA(NM7:NO7)),"")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(5ème4)'!NR7:NT7,"A"))*4)+((COUNTIF('Elève (5ème4)'!NR7:NT7,"B"))*3)+((COUNTIF('Elève (5ème4)'!NR7:NT7,"C"))*2)+((COUNTIF('Elève (5ème4)'!NR7:NT7,"D"))*1))/(COUNTA(NR7:NT7)),"")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(5ème4)'!NW7:NY7,"A"))*4)+((COUNTIF('Elève (5ème4)'!NW7:NY7,"B"))*3)+((COUNTIF('Elève (5ème4)'!NW7:NY7,"C"))*2)+((COUNTIF('Elève (5ème4)'!NW7:NY7,"D"))*1))/(COUNTA(NW7:NY7)),"")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(5ème4)'!OD7:OF7,"A"))*4)+((COUNTIF('Elève (5ème4)'!OD7:OF7,"B"))*3)+((COUNTIF('Elève (5ème4)'!OD7:OF7,"C"))*2)+((COUNTIF('Elève (5ème4)'!OD7:OF7,"D"))*1))/(COUNTA(OD7:OF7)),"")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(5ème4)'!OI7:OK7,"A"))*4)+((COUNTIF('Elève (5ème4)'!OI7:OK7,"B"))*3)+((COUNTIF('Elève (5ème4)'!OI7:OK7,"C"))*2)+((COUNTIF('Elève (5ème4)'!OI7:OK7,"D"))*1))/(COUNTA(OI7:OK7)),"")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(5ème4)'!ON7:OP7,"A"))*4)+((COUNTIF('Elève (5ème4)'!ON7:OP7,"B"))*3)+((COUNTIF('Elève (5ème4)'!ON7:OP7,"C"))*2)+((COUNTIF('Elève (5ème4)'!ON7:OP7,"D"))*1))/(COUNTA(ON7:OP7)),"")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(5ème4)'!OU7:OW7,"A"))*4)+((COUNTIF('Elève (5ème4)'!OU7:OW7,"B"))*3)+((COUNTIF('Elève (5ème4)'!OU7:OW7,"C"))*2)+((COUNTIF('Elève (5ème4)'!OU7:OW7,"D"))*1))/(COUNTA(OU7:OW7)),"")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(5ème4)'!OZ7:PB7,"A"))*4)+((COUNTIF('Elève (5ème4)'!OZ7:PB7,"B"))*3)+((COUNTIF('Elève (5ème4)'!OZ7:PB7,"C"))*2)+((COUNTIF('Elève (5ème4)'!OZ7:PB7,"D"))*1))/(COUNTA(OZ7:PB7)),"")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(5ème4)'!PE7:PG7,"A"))*4)+((COUNTIF('Elève (5ème4)'!PE7:PG7,"B"))*3)+((COUNTIF('Elève (5ème4)'!PE7:PG7,"C"))*2)+((COUNTIF('Elève (5ème4)'!PE7:PG7,"D"))*1))/(COUNTA(PE7:PG7)),"")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(5ème4)'!PL7:PN7,"A"))*4)+((COUNTIF('Elève (5ème4)'!PL7:PN7,"B"))*3)+((COUNTIF('Elève (5ème4)'!PL7:PN7,"C"))*2)+((COUNTIF('Elève (5ème4)'!PL7:PN7,"D"))*1))/(COUNTA(PL7:PN7)),"")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(5ème4)'!PQ7:PS7,"A"))*4)+((COUNTIF('Elève (5ème4)'!PQ7:PS7,"B"))*3)+((COUNTIF('Elève (5ème4)'!PQ7:PS7,"C"))*2)+((COUNTIF('Elève (5ème4)'!PQ7:PS7,"D"))*1))/(COUNTA(PQ7:PS7)),"")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(5ème4)'!PV7:PX7,"A"))*4)+((COUNTIF('Elève (5ème4)'!PV7:PX7,"B"))*3)+((COUNTIF('Elève (5ème4)'!PV7:PX7,"C"))*2)+((COUNTIF('Elève (5ème4)'!PV7:PX7,"D"))*1))/(COUNTA(PV7:PX7)),"")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(5ème4)'!QC7:QE7,"A"))*4)+((COUNTIF('Elève (5ème4)'!QC7:QE7,"B"))*3)+((COUNTIF('Elève (5ème4)'!QC7:QE7,"C"))*2)+((COUNTIF('Elève (5ème4)'!QC7:QE7,"D"))*1))/(COUNTA(QC7:QE7)),"")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(5ème4)'!QH7:QJ7,"A"))*4)+((COUNTIF('Elève (5ème4)'!QH7:QJ7,"B"))*3)+((COUNTIF('Elève (5ème4)'!QH7:QJ7,"C"))*2)+((COUNTIF('Elève (5ème4)'!QH7:QJ7,"D"))*1))/(COUNTA(QH7:QJ7)),"")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(5ème4)'!QM7:QO7,"A"))*4)+((COUNTIF('Elève (5ème4)'!QM7:QO7,"B"))*3)+((COUNTIF('Elève (5ème4)'!QM7:QO7,"C"))*2)+((COUNTIF('Elève (5ème4)'!QM7:QO7,"D"))*1))/(COUNTA(QM7:QO7)),"")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(5ème4)'!QT7:QV7,"A"))*4)+((COUNTIF('Elève (5ème4)'!QT7:QV7,"B"))*3)+((COUNTIF('Elève (5ème4)'!QT7:QV7,"C"))*2)+((COUNTIF('Elève (5ème4)'!QT7:QV7,"D"))*1))/(COUNTA(QT7:QV7)),"")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(5ème4)'!QY7:RA7,"A"))*4)+((COUNTIF('Elève (5ème4)'!QY7:RA7,"B"))*3)+((COUNTIF('Elève (5ème4)'!QY7:RA7,"C"))*2)+((COUNTIF('Elève (5ème4)'!QY7:RA7,"D"))*1))/(COUNTA(QY7:RA7)),"")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(5ème4)'!RD7:RF7,"A"))*4)+((COUNTIF('Elève (5ème4)'!RD7:RF7,"B"))*3)+((COUNTIF('Elève (5ème4)'!RD7:RF7,"C"))*2)+((COUNTIF('Elève (5ème4)'!RD7:RF7,"D"))*1))/(COUNTA(RD7:RF7)),"")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(5ème4)'!RK7:RM7,"A"))*4)+((COUNTIF('Elève (5ème4)'!RK7:RM7,"B"))*3)+((COUNTIF('Elève (5ème4)'!RK7:RM7,"C"))*2)+((COUNTIF('Elève (5ème4)'!RK7:RM7,"D"))*1))/(COUNTA(RK7:RM7)),"")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(5ème4)'!RP7:RR7,"A"))*4)+((COUNTIF('Elève (5ème4)'!RP7:RR7,"B"))*3)+((COUNTIF('Elève (5ème4)'!RP7:RR7,"C"))*2)+((COUNTIF('Elève (5ème4)'!RP7:RR7,"D"))*1))/(COUNTA(RP7:RR7)),"")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(5ème4)'!RU7:RW7,"A"))*4)+((COUNTIF('Elève (5ème4)'!RU7:RW7,"B"))*3)+((COUNTIF('Elève (5ème4)'!RU7:RW7,"C"))*2)+((COUNTIF('Elève (5ème4)'!RU7:RW7,"D"))*1))/(COUNTA(RU7:RW7)),"")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(5ème4)'!SB7:SD7,"A"))*4)+((COUNTIF('Elève (5ème4)'!SB7:SD7,"B"))*3)+((COUNTIF('Elève (5ème4)'!SB7:SD7,"C"))*2)+((COUNTIF('Elève (5ème4)'!SB7:SD7,"D"))*1))/(COUNTA(SB7:SD7)),"")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(5ème4)'!SG7:SI7,"A"))*4)+((COUNTIF('Elève (5ème4)'!SG7:SI7,"B"))*3)+((COUNTIF('Elève (5ème4)'!SG7:SI7,"C"))*2)+((COUNTIF('Elève (5ème4)'!SG7:SI7,"D"))*1))/(COUNTA(SG7:SI7)),"")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(5ème4)'!SL7:SN7,"A"))*4)+((COUNTIF('Elève (5ème4)'!SL7:SN7,"B"))*3)+((COUNTIF('Elève (5ème4)'!SL7:SN7,"C"))*2)+((COUNTIF('Elève (5ème4)'!SL7:SN7,"D"))*1))/(COUNTA(SL7:SN7)),"")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7" t="s">
        <v>15</v>
      </c>
      <c r="B8" s="228"/>
      <c r="C8" s="156"/>
      <c r="D8" s="157"/>
      <c r="E8" s="158"/>
      <c r="F8" s="110" t="str">
        <f>IFERROR((((COUNTIF('Elève (5ème4)'!C8:E8,"A"))*4)+((COUNTIF('Elève (5ème4)'!C8:E8,"B"))*3)+((COUNTIF('Elève (5ème4)'!C8:E8,"C"))*2)+((COUNTIF('Elève (5ème4)'!C8:E8,"D"))*1))/(COUNTA(C8:E8)),"")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(5ème4)'!H8:J8,"A"))*4)+((COUNTIF('Elève (5ème4)'!H8:J8,"B"))*3)+((COUNTIF('Elève (5ème4)'!H8:J8,"C"))*2)+((COUNTIF('Elève (5ème4)'!H8:J8,"D"))*1))/(COUNTA(H8:J8)),"")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(5ème4)'!M8:O8,"A"))*4)+((COUNTIF('Elève (5ème4)'!M8:O8,"B"))*3)+((COUNTIF('Elève (5ème4)'!M8:O8,"C"))*2)+((COUNTIF('Elève (5ème4)'!M8:O8,"D"))*1))/(COUNTA(M8:O8)),"")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(5ème4)'!T8:V8,"A"))*4)+((COUNTIF('Elève (5ème4)'!T8:V8,"B"))*3)+((COUNTIF('Elève (5ème4)'!T8:V8,"C"))*2)+((COUNTIF('Elève (5ème4)'!T8:V8,"D"))*1))/(COUNTA(T8:V8)),"")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(5ème4)'!Y8:AA8,"A"))*4)+((COUNTIF('Elève (5ème4)'!Y8:AA8,"B"))*3)+((COUNTIF('Elève (5ème4)'!Y8:AA8,"C"))*2)+((COUNTIF('Elève (5ème4)'!Y8:AA8,"D"))*1))/(COUNTA(Y8:AA8)),"")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(5ème4)'!AD8:AF8,"A"))*4)+((COUNTIF('Elève (5ème4)'!AD8:AF8,"B"))*3)+((COUNTIF('Elève (5ème4)'!AD8:AF8,"C"))*2)+((COUNTIF('Elève (5ème4)'!AD8:AF8,"D"))*1))/(COUNTA(AD8:AF8)),"")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(5ème4)'!AK8:AM8,"A"))*4)+((COUNTIF('Elève (5ème4)'!AK8:AM8,"B"))*3)+((COUNTIF('Elève (5ème4)'!AK8:AM8,"C"))*2)+((COUNTIF('Elève (5ème4)'!AK8:AM8,"D"))*1))/(COUNTA(AK8:AM8)),"")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(5ème4)'!AP8:AR8,"A"))*4)+((COUNTIF('Elève (5ème4)'!AP8:AR8,"B"))*3)+((COUNTIF('Elève (5ème4)'!AP8:AR8,"C"))*2)+((COUNTIF('Elève (5ème4)'!AP8:AR8,"D"))*1))/(COUNTA(AP8:AR8)),"")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(5ème4)'!AU8:AW8,"A"))*4)+((COUNTIF('Elève (5ème4)'!AU8:AW8,"B"))*3)+((COUNTIF('Elève (5ème4)'!AU8:AW8,"C"))*2)+((COUNTIF('Elève (5ème4)'!AU8:AW8,"D"))*1))/(COUNTA(AU8:AW8)),"")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(5ème4)'!BB8:BD8,"A"))*4)+((COUNTIF('Elève (5ème4)'!BB8:BD8,"B"))*3)+((COUNTIF('Elève (5ème4)'!BB8:BD8,"C"))*2)+((COUNTIF('Elève (5ème4)'!BB8:BD8,"D"))*1))/(COUNTA(BB8:BD8)),"")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(5ème4)'!BG8:BI8,"A"))*4)+((COUNTIF('Elève (5ème4)'!BG8:BI8,"B"))*3)+((COUNTIF('Elève (5ème4)'!BG8:BI8,"C"))*2)+((COUNTIF('Elève (5ème4)'!BG8:BI8,"D"))*1))/(COUNTA(BG8:BI8)),"")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(5ème4)'!BL8:BN8,"A"))*4)+((COUNTIF('Elève (5ème4)'!BL8:BN8,"B"))*3)+((COUNTIF('Elève (5ème4)'!BL8:BN8,"C"))*2)+((COUNTIF('Elève (5ème4)'!BL8:BN8,"D"))*1))/(COUNTA(BL8:BN8)),"")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(5ème4)'!BS8:BU8,"A"))*4)+((COUNTIF('Elève (5ème4)'!BS8:BU8,"B"))*3)+((COUNTIF('Elève (5ème4)'!BS8:BU8,"C"))*2)+((COUNTIF('Elève (5ème4)'!BS8:BU8,"D"))*1))/(COUNTA(BS8:BU8)),"")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(5ème4)'!BX8:BZ8,"A"))*4)+((COUNTIF('Elève (5ème4)'!BX8:BZ8,"B"))*3)+((COUNTIF('Elève (5ème4)'!BX8:BZ8,"C"))*2)+((COUNTIF('Elève (5ème4)'!BX8:BZ8,"D"))*1))/(COUNTA(BX8:BZ8)),"")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(5ème4)'!CC8:CE8,"A"))*4)+((COUNTIF('Elève (5ème4)'!CC8:CE8,"B"))*3)+((COUNTIF('Elève (5ème4)'!CC8:CE8,"C"))*2)+((COUNTIF('Elève (5ème4)'!CC8:CE8,"D"))*1))/(COUNTA(CC8:CE8)),"")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(5ème4)'!CJ8:CL8,"A"))*4)+((COUNTIF('Elève (5ème4)'!CJ8:CL8,"B"))*3)+((COUNTIF('Elève (5ème4)'!CJ8:CL8,"C"))*2)+((COUNTIF('Elève (5ème4)'!CJ8:CL8,"D"))*1))/(COUNTA(CJ8:CL8)),"")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(5ème4)'!CO8:CQ8,"A"))*4)+((COUNTIF('Elève (5ème4)'!CO8:CQ8,"B"))*3)+((COUNTIF('Elève (5ème4)'!CO8:CQ8,"C"))*2)+((COUNTIF('Elève (5ème4)'!CO8:CQ8,"D"))*1))/(COUNTA(CO8:CQ8)),"")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(5ème4)'!CT8:CV8,"A"))*4)+((COUNTIF('Elève (5ème4)'!CT8:CV8,"B"))*3)+((COUNTIF('Elève (5ème4)'!CT8:CV8,"C"))*2)+((COUNTIF('Elève (5ème4)'!CT8:CV8,"D"))*1))/(COUNTA(CT8:CV8)),"")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(5ème4)'!DA8:DC8,"A"))*4)+((COUNTIF('Elève (5ème4)'!DA8:DC8,"B"))*3)+((COUNTIF('Elève (5ème4)'!DA8:DC8,"C"))*2)+((COUNTIF('Elève (5ème4)'!DA8:DC8,"D"))*1))/(COUNTA(DA8:DC8)),"")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(5ème4)'!DF8:DH8,"A"))*4)+((COUNTIF('Elève (5ème4)'!DF8:DH8,"B"))*3)+((COUNTIF('Elève (5ème4)'!DF8:DH8,"C"))*2)+((COUNTIF('Elève (5ème4)'!DF8:DH8,"D"))*1))/(COUNTA(DF8:DH8)),"")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(5ème4)'!DK8:DM8,"A"))*4)+((COUNTIF('Elève (5ème4)'!DK8:DM8,"B"))*3)+((COUNTIF('Elève (5ème4)'!DK8:DM8,"C"))*2)+((COUNTIF('Elève (5ème4)'!DK8:DM8,"D"))*1))/(COUNTA(DK8:DM8)),"")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(5ème4)'!DR8:DT8,"A"))*4)+((COUNTIF('Elève (5ème4)'!DR8:DT8,"B"))*3)+((COUNTIF('Elève (5ème4)'!DR8:DT8,"C"))*2)+((COUNTIF('Elève (5ème4)'!DR8:DT8,"D"))*1))/(COUNTA(DR8:DT8)),"")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(5ème4)'!DW8:DY8,"A"))*4)+((COUNTIF('Elève (5ème4)'!DW8:DY8,"B"))*3)+((COUNTIF('Elève (5ème4)'!DW8:DY8,"C"))*2)+((COUNTIF('Elève (5ème4)'!DW8:DY8,"D"))*1))/(COUNTA(DW8:DY8)),"")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(5ème4)'!EB8:ED8,"A"))*4)+((COUNTIF('Elève (5ème4)'!EB8:ED8,"B"))*3)+((COUNTIF('Elève (5ème4)'!EB8:ED8,"C"))*2)+((COUNTIF('Elève (5ème4)'!EB8:ED8,"D"))*1))/(COUNTA(EB8:ED8)),"")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(5ème4)'!EI8:EK8,"A"))*4)+((COUNTIF('Elève (5ème4)'!EI8:EK8,"B"))*3)+((COUNTIF('Elève (5ème4)'!EI8:EK8,"C"))*2)+((COUNTIF('Elève (5ème4)'!EI8:EK8,"D"))*1))/(COUNTA(EI8:EK8)),"")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(5ème4)'!EN8:EP8,"A"))*4)+((COUNTIF('Elève (5ème4)'!EN8:EP8,"B"))*3)+((COUNTIF('Elève (5ème4)'!EN8:EP8,"C"))*2)+((COUNTIF('Elève (5ème4)'!EN8:EP8,"D"))*1))/(COUNTA(EN8:EP8)),"")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(5ème4)'!ES8:EU8,"A"))*4)+((COUNTIF('Elève (5ème4)'!ES8:EU8,"B"))*3)+((COUNTIF('Elève (5ème4)'!ES8:EU8,"C"))*2)+((COUNTIF('Elève (5ème4)'!ES8:EU8,"D"))*1))/(COUNTA(ES8:EU8)),"")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(5ème4)'!EZ8:FB8,"A"))*4)+((COUNTIF('Elève (5ème4)'!EZ8:FB8,"B"))*3)+((COUNTIF('Elève (5ème4)'!EZ8:FB8,"C"))*2)+((COUNTIF('Elève (5ème4)'!EZ8:FB8,"D"))*1))/(COUNTA(EZ8:FB8)),"")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(5ème4)'!FE8:FG8,"A"))*4)+((COUNTIF('Elève (5ème4)'!FE8:FG8,"B"))*3)+((COUNTIF('Elève (5ème4)'!FE8:FG8,"C"))*2)+((COUNTIF('Elève (5ème4)'!FE8:FG8,"D"))*1))/(COUNTA(FE8:FG8)),"")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(5ème4)'!FJ8:FL8,"A"))*4)+((COUNTIF('Elève (5ème4)'!FJ8:FL8,"B"))*3)+((COUNTIF('Elève (5ème4)'!FJ8:FL8,"C"))*2)+((COUNTIF('Elève (5ème4)'!FJ8:FL8,"D"))*1))/(COUNTA(FJ8:FL8)),"")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(5ème4)'!FQ8:FS8,"A"))*4)+((COUNTIF('Elève (5ème4)'!FQ8:FS8,"B"))*3)+((COUNTIF('Elève (5ème4)'!FQ8:FS8,"C"))*2)+((COUNTIF('Elève (5ème4)'!FQ8:FS8,"D"))*1))/(COUNTA(FQ8:FS8)),"")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(5ème4)'!FV8:FX8,"A"))*4)+((COUNTIF('Elève (5ème4)'!FV8:FX8,"B"))*3)+((COUNTIF('Elève (5ème4)'!FV8:FX8,"C"))*2)+((COUNTIF('Elève (5ème4)'!FV8:FX8,"D"))*1))/(COUNTA(FV8:FX8)),"")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(5ème4)'!GA8:GC8,"A"))*4)+((COUNTIF('Elève (5ème4)'!GA8:GC8,"B"))*3)+((COUNTIF('Elève (5ème4)'!GA8:GC8,"C"))*2)+((COUNTIF('Elève (5ème4)'!GA8:GC8,"D"))*1))/(COUNTA(GA8:GC8)),"")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(5ème4)'!GH8:GJ8,"A"))*4)+((COUNTIF('Elève (5ème4)'!GH8:GJ8,"B"))*3)+((COUNTIF('Elève (5ème4)'!GH8:GJ8,"C"))*2)+((COUNTIF('Elève (5ème4)'!GH8:GJ8,"D"))*1))/(COUNTA(GH8:GJ8)),"")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(5ème4)'!GM8:GO8,"A"))*4)+((COUNTIF('Elève (5ème4)'!GM8:GO8,"B"))*3)+((COUNTIF('Elève (5ème4)'!GM8:GO8,"C"))*2)+((COUNTIF('Elève (5ème4)'!GM8:GO8,"D"))*1))/(COUNTA(GM8:GO8)),"")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(5ème4)'!GR8:GT8,"A"))*4)+((COUNTIF('Elève (5ème4)'!GR8:GT8,"B"))*3)+((COUNTIF('Elève (5ème4)'!GR8:GT8,"C"))*2)+((COUNTIF('Elève (5ème4)'!GR8:GT8,"D"))*1))/(COUNTA(GR8:GT8)),"")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(5ème4)'!GY8:HA8,"A"))*4)+((COUNTIF('Elève (5ème4)'!GY8:HA8,"B"))*3)+((COUNTIF('Elève (5ème4)'!GY8:HA8,"C"))*2)+((COUNTIF('Elève (5ème4)'!GY8:HA8,"D"))*1))/(COUNTA(GY8:HA8)),"")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(5ème4)'!HD8:HF8,"A"))*4)+((COUNTIF('Elève (5ème4)'!HD8:HF8,"B"))*3)+((COUNTIF('Elève (5ème4)'!HD8:HF8,"C"))*2)+((COUNTIF('Elève (5ème4)'!HD8:HF8,"D"))*1))/(COUNTA(HD8:HF8)),"")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(5ème4)'!HI8:HK8,"A"))*4)+((COUNTIF('Elève (5ème4)'!HI8:HK8,"B"))*3)+((COUNTIF('Elève (5ème4)'!HI8:HK8,"C"))*2)+((COUNTIF('Elève (5ème4)'!HI8:HK8,"D"))*1))/(COUNTA(HI8:HK8)),"")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(5ème4)'!HP8:HR8,"A"))*4)+((COUNTIF('Elève (5ème4)'!HP8:HR8,"B"))*3)+((COUNTIF('Elève (5ème4)'!HP8:HR8,"C"))*2)+((COUNTIF('Elève (5ème4)'!HP8:HR8,"D"))*1))/(COUNTA(HP8:HR8)),"")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(5ème4)'!HU8:HW8,"A"))*4)+((COUNTIF('Elève (5ème4)'!HU8:HW8,"B"))*3)+((COUNTIF('Elève (5ème4)'!HU8:HW8,"C"))*2)+((COUNTIF('Elève (5ème4)'!HU8:HW8,"D"))*1))/(COUNTA(HU8:HW8)),"")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(5ème4)'!HZ8:IB8,"A"))*4)+((COUNTIF('Elève (5ème4)'!HZ8:IB8,"B"))*3)+((COUNTIF('Elève (5ème4)'!HZ8:IB8,"C"))*2)+((COUNTIF('Elève (5ème4)'!HZ8:IB8,"D"))*1))/(COUNTA(HZ8:IB8)),"")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(5ème4)'!IG8:II8,"A"))*4)+((COUNTIF('Elève (5ème4)'!IG8:II8,"B"))*3)+((COUNTIF('Elève (5ème4)'!IG8:II8,"C"))*2)+((COUNTIF('Elève (5ème4)'!IG8:II8,"D"))*1))/(COUNTA(IG8:II8)),"")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(5ème4)'!IL8:IN8,"A"))*4)+((COUNTIF('Elève (5ème4)'!IL8:IN8,"B"))*3)+((COUNTIF('Elève (5ème4)'!IL8:IN8,"C"))*2)+((COUNTIF('Elève (5ème4)'!IL8:IN8,"D"))*1))/(COUNTA(IL8:IN8)),"")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(5ème4)'!IQ8:IS8,"A"))*4)+((COUNTIF('Elève (5ème4)'!IQ8:IS8,"B"))*3)+((COUNTIF('Elève (5ème4)'!IQ8:IS8,"C"))*2)+((COUNTIF('Elève (5ème4)'!IQ8:IS8,"D"))*1))/(COUNTA(IQ8:IS8)),"")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(5ème4)'!IX8:IZ8,"A"))*4)+((COUNTIF('Elève (5ème4)'!IX8:IZ8,"B"))*3)+((COUNTIF('Elève (5ème4)'!IX8:IZ8,"C"))*2)+((COUNTIF('Elève (5ème4)'!IX8:IZ8,"D"))*1))/(COUNTA(IX8:IZ8)),"")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(5ème4)'!JC8:JE8,"A"))*4)+((COUNTIF('Elève (5ème4)'!JC8:JE8,"B"))*3)+((COUNTIF('Elève (5ème4)'!JC8:JE8,"C"))*2)+((COUNTIF('Elève (5ème4)'!JC8:JE8,"D"))*1))/(COUNTA(JC8:JE8)),"")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(5ème4)'!JH8:JJ8,"A"))*4)+((COUNTIF('Elève (5ème4)'!JH8:JJ8,"B"))*3)+((COUNTIF('Elève (5ème4)'!JH8:JJ8,"C"))*2)+((COUNTIF('Elève (5ème4)'!JH8:JJ8,"D"))*1))/(COUNTA(JH8:JJ8)),"")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(5ème4)'!JO8:JQ8,"A"))*4)+((COUNTIF('Elève (5ème4)'!JO8:JQ8,"B"))*3)+((COUNTIF('Elève (5ème4)'!JO8:JQ8,"C"))*2)+((COUNTIF('Elève (5ème4)'!JO8:JQ8,"D"))*1))/(COUNTA(JO8:JQ8)),"")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(5ème4)'!JT8:JV8,"A"))*4)+((COUNTIF('Elève (5ème4)'!JT8:JV8,"B"))*3)+((COUNTIF('Elève (5ème4)'!JT8:JV8,"C"))*2)+((COUNTIF('Elève (5ème4)'!JT8:JV8,"D"))*1))/(COUNTA(JT8:JV8)),"")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(5ème4)'!JY8:KA8,"A"))*4)+((COUNTIF('Elève (5ème4)'!JY8:KA8,"B"))*3)+((COUNTIF('Elève (5ème4)'!JY8:KA8,"C"))*2)+((COUNTIF('Elève (5ème4)'!JY8:KA8,"D"))*1))/(COUNTA(JY8:KA8)),"")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(5ème4)'!KF8:KH8,"A"))*4)+((COUNTIF('Elève (5ème4)'!KF8:KH8,"B"))*3)+((COUNTIF('Elève (5ème4)'!KF8:KH8,"C"))*2)+((COUNTIF('Elève (5ème4)'!KF8:KH8,"D"))*1))/(COUNTA(KF8:KH8)),"")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(5ème4)'!KK8:KM8,"A"))*4)+((COUNTIF('Elève (5ème4)'!KK8:KM8,"B"))*3)+((COUNTIF('Elève (5ème4)'!KK8:KM8,"C"))*2)+((COUNTIF('Elève (5ème4)'!KK8:KM8,"D"))*1))/(COUNTA(KK8:KM8)),"")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(5ème4)'!KP8:KR8,"A"))*4)+((COUNTIF('Elève (5ème4)'!KP8:KR8,"B"))*3)+((COUNTIF('Elève (5ème4)'!KP8:KR8,"C"))*2)+((COUNTIF('Elève (5ème4)'!KP8:KR8,"D"))*1))/(COUNTA(KP8:KR8)),"")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(5ème4)'!KW8:KY8,"A"))*4)+((COUNTIF('Elève (5ème4)'!KW8:KY8,"B"))*3)+((COUNTIF('Elève (5ème4)'!KW8:KY8,"C"))*2)+((COUNTIF('Elève (5ème4)'!KW8:KY8,"D"))*1))/(COUNTA(KW8:KY8)),"")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(5ème4)'!LB8:LD8,"A"))*4)+((COUNTIF('Elève (5ème4)'!LB8:LD8,"B"))*3)+((COUNTIF('Elève (5ème4)'!LB8:LD8,"C"))*2)+((COUNTIF('Elève (5ème4)'!LB8:LD8,"D"))*1))/(COUNTA(LB8:LD8)),"")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(5ème4)'!LG8:LI8,"A"))*4)+((COUNTIF('Elève (5ème4)'!LG8:LI8,"B"))*3)+((COUNTIF('Elève (5ème4)'!LG8:LI8,"C"))*2)+((COUNTIF('Elève (5ème4)'!LG8:LI8,"D"))*1))/(COUNTA(LG8:LI8)),"")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(5ème4)'!LN8:LP8,"A"))*4)+((COUNTIF('Elève (5ème4)'!LN8:LP8,"B"))*3)+((COUNTIF('Elève (5ème4)'!LN8:LP8,"C"))*2)+((COUNTIF('Elève (5ème4)'!LN8:LP8,"D"))*1))/(COUNTA(LN8:LP8)),"")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(5ème4)'!LS8:LU8,"A"))*4)+((COUNTIF('Elève (5ème4)'!LS8:LU8,"B"))*3)+((COUNTIF('Elève (5ème4)'!LS8:LU8,"C"))*2)+((COUNTIF('Elève (5ème4)'!LS8:LU8,"D"))*1))/(COUNTA(LS8:LU8)),"")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(5ème4)'!LX8:LZ8,"A"))*4)+((COUNTIF('Elève (5ème4)'!LX8:LZ8,"B"))*3)+((COUNTIF('Elève (5ème4)'!LX8:LZ8,"C"))*2)+((COUNTIF('Elève (5ème4)'!LX8:LZ8,"D"))*1))/(COUNTA(LX8:LZ8)),"")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(5ème4)'!ME8:MG8,"A"))*4)+((COUNTIF('Elève (5ème4)'!ME8:MG8,"B"))*3)+((COUNTIF('Elève (5ème4)'!ME8:MG8,"C"))*2)+((COUNTIF('Elève (5ème4)'!ME8:MG8,"D"))*1))/(COUNTA(ME8:MG8)),"")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(5ème4)'!MJ8:ML8,"A"))*4)+((COUNTIF('Elève (5ème4)'!MJ8:ML8,"B"))*3)+((COUNTIF('Elève (5ème4)'!MJ8:ML8,"C"))*2)+((COUNTIF('Elève (5ème4)'!MJ8:ML8,"D"))*1))/(COUNTA(MJ8:ML8)),"")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(5ème4)'!MO8:MQ8,"A"))*4)+((COUNTIF('Elève (5ème4)'!MO8:MQ8,"B"))*3)+((COUNTIF('Elève (5ème4)'!MO8:MQ8,"C"))*2)+((COUNTIF('Elève (5ème4)'!MO8:MQ8,"D"))*1))/(COUNTA(MO8:MQ8)),"")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(5ème4)'!MV8:MX8,"A"))*4)+((COUNTIF('Elève (5ème4)'!MV8:MX8,"B"))*3)+((COUNTIF('Elève (5ème4)'!MV8:MX8,"C"))*2)+((COUNTIF('Elève (5ème4)'!MV8:MX8,"D"))*1))/(COUNTA(MV8:MX8)),"")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(5ème4)'!NA8:NC8,"A"))*4)+((COUNTIF('Elève (5ème4)'!NA8:NC8,"B"))*3)+((COUNTIF('Elève (5ème4)'!NA8:NC8,"C"))*2)+((COUNTIF('Elève (5ème4)'!NA8:NC8,"D"))*1))/(COUNTA(NA8:NC8)),"")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(5ème4)'!NF8:NH8,"A"))*4)+((COUNTIF('Elève (5ème4)'!NF8:NH8,"B"))*3)+((COUNTIF('Elève (5ème4)'!NF8:NH8,"C"))*2)+((COUNTIF('Elève (5ème4)'!NF8:NH8,"D"))*1))/(COUNTA(NF8:NH8)),"")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(5ème4)'!NM8:NO8,"A"))*4)+((COUNTIF('Elève (5ème4)'!NM8:NO8,"B"))*3)+((COUNTIF('Elève (5ème4)'!NM8:NO8,"C"))*2)+((COUNTIF('Elève (5ème4)'!NM8:NO8,"D"))*1))/(COUNTA(NM8:NO8)),"")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(5ème4)'!NR8:NT8,"A"))*4)+((COUNTIF('Elève (5ème4)'!NR8:NT8,"B"))*3)+((COUNTIF('Elève (5ème4)'!NR8:NT8,"C"))*2)+((COUNTIF('Elève (5ème4)'!NR8:NT8,"D"))*1))/(COUNTA(NR8:NT8)),"")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(5ème4)'!NW8:NY8,"A"))*4)+((COUNTIF('Elève (5ème4)'!NW8:NY8,"B"))*3)+((COUNTIF('Elève (5ème4)'!NW8:NY8,"C"))*2)+((COUNTIF('Elève (5ème4)'!NW8:NY8,"D"))*1))/(COUNTA(NW8:NY8)),"")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(5ème4)'!OD8:OF8,"A"))*4)+((COUNTIF('Elève (5ème4)'!OD8:OF8,"B"))*3)+((COUNTIF('Elève (5ème4)'!OD8:OF8,"C"))*2)+((COUNTIF('Elève (5ème4)'!OD8:OF8,"D"))*1))/(COUNTA(OD8:OF8)),"")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(5ème4)'!OI8:OK8,"A"))*4)+((COUNTIF('Elève (5ème4)'!OI8:OK8,"B"))*3)+((COUNTIF('Elève (5ème4)'!OI8:OK8,"C"))*2)+((COUNTIF('Elève (5ème4)'!OI8:OK8,"D"))*1))/(COUNTA(OI8:OK8)),"")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(5ème4)'!ON8:OP8,"A"))*4)+((COUNTIF('Elève (5ème4)'!ON8:OP8,"B"))*3)+((COUNTIF('Elève (5ème4)'!ON8:OP8,"C"))*2)+((COUNTIF('Elève (5ème4)'!ON8:OP8,"D"))*1))/(COUNTA(ON8:OP8)),"")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(5ème4)'!OU8:OW8,"A"))*4)+((COUNTIF('Elève (5ème4)'!OU8:OW8,"B"))*3)+((COUNTIF('Elève (5ème4)'!OU8:OW8,"C"))*2)+((COUNTIF('Elève (5ème4)'!OU8:OW8,"D"))*1))/(COUNTA(OU8:OW8)),"")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(5ème4)'!OZ8:PB8,"A"))*4)+((COUNTIF('Elève (5ème4)'!OZ8:PB8,"B"))*3)+((COUNTIF('Elève (5ème4)'!OZ8:PB8,"C"))*2)+((COUNTIF('Elève (5ème4)'!OZ8:PB8,"D"))*1))/(COUNTA(OZ8:PB8)),"")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(5ème4)'!PE8:PG8,"A"))*4)+((COUNTIF('Elève (5ème4)'!PE8:PG8,"B"))*3)+((COUNTIF('Elève (5ème4)'!PE8:PG8,"C"))*2)+((COUNTIF('Elève (5ème4)'!PE8:PG8,"D"))*1))/(COUNTA(PE8:PG8)),"")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(5ème4)'!PL8:PN8,"A"))*4)+((COUNTIF('Elève (5ème4)'!PL8:PN8,"B"))*3)+((COUNTIF('Elève (5ème4)'!PL8:PN8,"C"))*2)+((COUNTIF('Elève (5ème4)'!PL8:PN8,"D"))*1))/(COUNTA(PL8:PN8)),"")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(5ème4)'!PQ8:PS8,"A"))*4)+((COUNTIF('Elève (5ème4)'!PQ8:PS8,"B"))*3)+((COUNTIF('Elève (5ème4)'!PQ8:PS8,"C"))*2)+((COUNTIF('Elève (5ème4)'!PQ8:PS8,"D"))*1))/(COUNTA(PQ8:PS8)),"")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(5ème4)'!PV8:PX8,"A"))*4)+((COUNTIF('Elève (5ème4)'!PV8:PX8,"B"))*3)+((COUNTIF('Elève (5ème4)'!PV8:PX8,"C"))*2)+((COUNTIF('Elève (5ème4)'!PV8:PX8,"D"))*1))/(COUNTA(PV8:PX8)),"")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(5ème4)'!QC8:QE8,"A"))*4)+((COUNTIF('Elève (5ème4)'!QC8:QE8,"B"))*3)+((COUNTIF('Elève (5ème4)'!QC8:QE8,"C"))*2)+((COUNTIF('Elève (5ème4)'!QC8:QE8,"D"))*1))/(COUNTA(QC8:QE8)),"")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(5ème4)'!QH8:QJ8,"A"))*4)+((COUNTIF('Elève (5ème4)'!QH8:QJ8,"B"))*3)+((COUNTIF('Elève (5ème4)'!QH8:QJ8,"C"))*2)+((COUNTIF('Elève (5ème4)'!QH8:QJ8,"D"))*1))/(COUNTA(QH8:QJ8)),"")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(5ème4)'!QM8:QO8,"A"))*4)+((COUNTIF('Elève (5ème4)'!QM8:QO8,"B"))*3)+((COUNTIF('Elève (5ème4)'!QM8:QO8,"C"))*2)+((COUNTIF('Elève (5ème4)'!QM8:QO8,"D"))*1))/(COUNTA(QM8:QO8)),"")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(5ème4)'!QT8:QV8,"A"))*4)+((COUNTIF('Elève (5ème4)'!QT8:QV8,"B"))*3)+((COUNTIF('Elève (5ème4)'!QT8:QV8,"C"))*2)+((COUNTIF('Elève (5ème4)'!QT8:QV8,"D"))*1))/(COUNTA(QT8:QV8)),"")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(5ème4)'!QY8:RA8,"A"))*4)+((COUNTIF('Elève (5ème4)'!QY8:RA8,"B"))*3)+((COUNTIF('Elève (5ème4)'!QY8:RA8,"C"))*2)+((COUNTIF('Elève (5ème4)'!QY8:RA8,"D"))*1))/(COUNTA(QY8:RA8)),"")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(5ème4)'!RD8:RF8,"A"))*4)+((COUNTIF('Elève (5ème4)'!RD8:RF8,"B"))*3)+((COUNTIF('Elève (5ème4)'!RD8:RF8,"C"))*2)+((COUNTIF('Elève (5ème4)'!RD8:RF8,"D"))*1))/(COUNTA(RD8:RF8)),"")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(5ème4)'!RK8:RM8,"A"))*4)+((COUNTIF('Elève (5ème4)'!RK8:RM8,"B"))*3)+((COUNTIF('Elève (5ème4)'!RK8:RM8,"C"))*2)+((COUNTIF('Elève (5ème4)'!RK8:RM8,"D"))*1))/(COUNTA(RK8:RM8)),"")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(5ème4)'!RP8:RR8,"A"))*4)+((COUNTIF('Elève (5ème4)'!RP8:RR8,"B"))*3)+((COUNTIF('Elève (5ème4)'!RP8:RR8,"C"))*2)+((COUNTIF('Elève (5ème4)'!RP8:RR8,"D"))*1))/(COUNTA(RP8:RR8)),"")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(5ème4)'!RU8:RW8,"A"))*4)+((COUNTIF('Elève (5ème4)'!RU8:RW8,"B"))*3)+((COUNTIF('Elève (5ème4)'!RU8:RW8,"C"))*2)+((COUNTIF('Elève (5ème4)'!RU8:RW8,"D"))*1))/(COUNTA(RU8:RW8)),"")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(5ème4)'!SB8:SD8,"A"))*4)+((COUNTIF('Elève (5ème4)'!SB8:SD8,"B"))*3)+((COUNTIF('Elève (5ème4)'!SB8:SD8,"C"))*2)+((COUNTIF('Elève (5ème4)'!SB8:SD8,"D"))*1))/(COUNTA(SB8:SD8)),"")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(5ème4)'!SG8:SI8,"A"))*4)+((COUNTIF('Elève (5ème4)'!SG8:SI8,"B"))*3)+((COUNTIF('Elève (5ème4)'!SG8:SI8,"C"))*2)+((COUNTIF('Elève (5ème4)'!SG8:SI8,"D"))*1))/(COUNTA(SG8:SI8)),"")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(5ème4)'!SL8:SN8,"A"))*4)+((COUNTIF('Elève (5ème4)'!SL8:SN8,"B"))*3)+((COUNTIF('Elève (5ème4)'!SL8:SN8,"C"))*2)+((COUNTIF('Elève (5ème4)'!SL8:SN8,"D"))*1))/(COUNTA(SL8:SN8)),"")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25" t="s">
        <v>16</v>
      </c>
      <c r="B9" s="226"/>
      <c r="C9" s="159"/>
      <c r="D9" s="160"/>
      <c r="E9" s="161"/>
      <c r="F9" s="112" t="str">
        <f>IFERROR((((COUNTIF('Elève (5ème4)'!C9:E9,"A"))*4)+((COUNTIF('Elève (5ème4)'!C9:E9,"B"))*3)+((COUNTIF('Elève (5ème4)'!C9:E9,"C"))*2)+((COUNTIF('Elève (5ème4)'!C9:E9,"D"))*1))/(COUNTA(C9:E9)),"")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(5ème4)'!H9:J9,"A"))*4)+((COUNTIF('Elève (5ème4)'!H9:J9,"B"))*3)+((COUNTIF('Elève (5ème4)'!H9:J9,"C"))*2)+((COUNTIF('Elève (5ème4)'!H9:J9,"D"))*1))/(COUNTA(H9:J9)),"")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(5ème4)'!M9:O9,"A"))*4)+((COUNTIF('Elève (5ème4)'!M9:O9,"B"))*3)+((COUNTIF('Elève (5ème4)'!M9:O9,"C"))*2)+((COUNTIF('Elève (5ème4)'!M9:O9,"D"))*1))/(COUNTA(M9:O9)),"")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(5ème4)'!T9:V9,"A"))*4)+((COUNTIF('Elève (5ème4)'!T9:V9,"B"))*3)+((COUNTIF('Elève (5ème4)'!T9:V9,"C"))*2)+((COUNTIF('Elève (5ème4)'!T9:V9,"D"))*1))/(COUNTA(T9:V9)),"")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(5ème4)'!Y9:AA9,"A"))*4)+((COUNTIF('Elève (5ème4)'!Y9:AA9,"B"))*3)+((COUNTIF('Elève (5ème4)'!Y9:AA9,"C"))*2)+((COUNTIF('Elève (5ème4)'!Y9:AA9,"D"))*1))/(COUNTA(Y9:AA9)),"")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(5ème4)'!AD9:AF9,"A"))*4)+((COUNTIF('Elève (5ème4)'!AD9:AF9,"B"))*3)+((COUNTIF('Elève (5ème4)'!AD9:AF9,"C"))*2)+((COUNTIF('Elève (5ème4)'!AD9:AF9,"D"))*1))/(COUNTA(AD9:AF9)),"")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(5ème4)'!AK9:AM9,"A"))*4)+((COUNTIF('Elève (5ème4)'!AK9:AM9,"B"))*3)+((COUNTIF('Elève (5ème4)'!AK9:AM9,"C"))*2)+((COUNTIF('Elève (5ème4)'!AK9:AM9,"D"))*1))/(COUNTA(AK9:AM9)),"")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(5ème4)'!AP9:AR9,"A"))*4)+((COUNTIF('Elève (5ème4)'!AP9:AR9,"B"))*3)+((COUNTIF('Elève (5ème4)'!AP9:AR9,"C"))*2)+((COUNTIF('Elève (5ème4)'!AP9:AR9,"D"))*1))/(COUNTA(AP9:AR9)),"")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(5ème4)'!AU9:AW9,"A"))*4)+((COUNTIF('Elève (5ème4)'!AU9:AW9,"B"))*3)+((COUNTIF('Elève (5ème4)'!AU9:AW9,"C"))*2)+((COUNTIF('Elève (5ème4)'!AU9:AW9,"D"))*1))/(COUNTA(AU9:AW9)),"")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(5ème4)'!BB9:BD9,"A"))*4)+((COUNTIF('Elève (5ème4)'!BB9:BD9,"B"))*3)+((COUNTIF('Elève (5ème4)'!BB9:BD9,"C"))*2)+((COUNTIF('Elève (5ème4)'!BB9:BD9,"D"))*1))/(COUNTA(BB9:BD9)),"")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(5ème4)'!BG9:BI9,"A"))*4)+((COUNTIF('Elève (5ème4)'!BG9:BI9,"B"))*3)+((COUNTIF('Elève (5ème4)'!BG9:BI9,"C"))*2)+((COUNTIF('Elève (5ème4)'!BG9:BI9,"D"))*1))/(COUNTA(BG9:BI9)),"")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(5ème4)'!BL9:BN9,"A"))*4)+((COUNTIF('Elève (5ème4)'!BL9:BN9,"B"))*3)+((COUNTIF('Elève (5ème4)'!BL9:BN9,"C"))*2)+((COUNTIF('Elève (5ème4)'!BL9:BN9,"D"))*1))/(COUNTA(BL9:BN9)),"")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(5ème4)'!BS9:BU9,"A"))*4)+((COUNTIF('Elève (5ème4)'!BS9:BU9,"B"))*3)+((COUNTIF('Elève (5ème4)'!BS9:BU9,"C"))*2)+((COUNTIF('Elève (5ème4)'!BS9:BU9,"D"))*1))/(COUNTA(BS9:BU9)),"")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(5ème4)'!BX9:BZ9,"A"))*4)+((COUNTIF('Elève (5ème4)'!BX9:BZ9,"B"))*3)+((COUNTIF('Elève (5ème4)'!BX9:BZ9,"C"))*2)+((COUNTIF('Elève (5ème4)'!BX9:BZ9,"D"))*1))/(COUNTA(BX9:BZ9)),"")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(5ème4)'!CC9:CE9,"A"))*4)+((COUNTIF('Elève (5ème4)'!CC9:CE9,"B"))*3)+((COUNTIF('Elève (5ème4)'!CC9:CE9,"C"))*2)+((COUNTIF('Elève (5ème4)'!CC9:CE9,"D"))*1))/(COUNTA(CC9:CE9)),"")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(5ème4)'!CJ9:CL9,"A"))*4)+((COUNTIF('Elève (5ème4)'!CJ9:CL9,"B"))*3)+((COUNTIF('Elève (5ème4)'!CJ9:CL9,"C"))*2)+((COUNTIF('Elève (5ème4)'!CJ9:CL9,"D"))*1))/(COUNTA(CJ9:CL9)),"")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(5ème4)'!CO9:CQ9,"A"))*4)+((COUNTIF('Elève (5ème4)'!CO9:CQ9,"B"))*3)+((COUNTIF('Elève (5ème4)'!CO9:CQ9,"C"))*2)+((COUNTIF('Elève (5ème4)'!CO9:CQ9,"D"))*1))/(COUNTA(CO9:CQ9)),"")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(5ème4)'!CT9:CV9,"A"))*4)+((COUNTIF('Elève (5ème4)'!CT9:CV9,"B"))*3)+((COUNTIF('Elève (5ème4)'!CT9:CV9,"C"))*2)+((COUNTIF('Elève (5ème4)'!CT9:CV9,"D"))*1))/(COUNTA(CT9:CV9)),"")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(5ème4)'!DA9:DC9,"A"))*4)+((COUNTIF('Elève (5ème4)'!DA9:DC9,"B"))*3)+((COUNTIF('Elève (5ème4)'!DA9:DC9,"C"))*2)+((COUNTIF('Elève (5ème4)'!DA9:DC9,"D"))*1))/(COUNTA(DA9:DC9)),"")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(5ème4)'!DF9:DH9,"A"))*4)+((COUNTIF('Elève (5ème4)'!DF9:DH9,"B"))*3)+((COUNTIF('Elève (5ème4)'!DF9:DH9,"C"))*2)+((COUNTIF('Elève (5ème4)'!DF9:DH9,"D"))*1))/(COUNTA(DF9:DH9)),"")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(5ème4)'!DK9:DM9,"A"))*4)+((COUNTIF('Elève (5ème4)'!DK9:DM9,"B"))*3)+((COUNTIF('Elève (5ème4)'!DK9:DM9,"C"))*2)+((COUNTIF('Elève (5ème4)'!DK9:DM9,"D"))*1))/(COUNTA(DK9:DM9)),"")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(5ème4)'!DR9:DT9,"A"))*4)+((COUNTIF('Elève (5ème4)'!DR9:DT9,"B"))*3)+((COUNTIF('Elève (5ème4)'!DR9:DT9,"C"))*2)+((COUNTIF('Elève (5ème4)'!DR9:DT9,"D"))*1))/(COUNTA(DR9:DT9)),"")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(5ème4)'!DW9:DY9,"A"))*4)+((COUNTIF('Elève (5ème4)'!DW9:DY9,"B"))*3)+((COUNTIF('Elève (5ème4)'!DW9:DY9,"C"))*2)+((COUNTIF('Elève (5ème4)'!DW9:DY9,"D"))*1))/(COUNTA(DW9:DY9)),"")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(5ème4)'!EB9:ED9,"A"))*4)+((COUNTIF('Elève (5ème4)'!EB9:ED9,"B"))*3)+((COUNTIF('Elève (5ème4)'!EB9:ED9,"C"))*2)+((COUNTIF('Elève (5ème4)'!EB9:ED9,"D"))*1))/(COUNTA(EB9:ED9)),"")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(5ème4)'!EI9:EK9,"A"))*4)+((COUNTIF('Elève (5ème4)'!EI9:EK9,"B"))*3)+((COUNTIF('Elève (5ème4)'!EI9:EK9,"C"))*2)+((COUNTIF('Elève (5ème4)'!EI9:EK9,"D"))*1))/(COUNTA(EI9:EK9)),"")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(5ème4)'!EN9:EP9,"A"))*4)+((COUNTIF('Elève (5ème4)'!EN9:EP9,"B"))*3)+((COUNTIF('Elève (5ème4)'!EN9:EP9,"C"))*2)+((COUNTIF('Elève (5ème4)'!EN9:EP9,"D"))*1))/(COUNTA(EN9:EP9)),"")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(5ème4)'!ES9:EU9,"A"))*4)+((COUNTIF('Elève (5ème4)'!ES9:EU9,"B"))*3)+((COUNTIF('Elève (5ème4)'!ES9:EU9,"C"))*2)+((COUNTIF('Elève (5ème4)'!ES9:EU9,"D"))*1))/(COUNTA(ES9:EU9)),"")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(5ème4)'!EZ9:FB9,"A"))*4)+((COUNTIF('Elève (5ème4)'!EZ9:FB9,"B"))*3)+((COUNTIF('Elève (5ème4)'!EZ9:FB9,"C"))*2)+((COUNTIF('Elève (5ème4)'!EZ9:FB9,"D"))*1))/(COUNTA(EZ9:FB9)),"")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(5ème4)'!FE9:FG9,"A"))*4)+((COUNTIF('Elève (5ème4)'!FE9:FG9,"B"))*3)+((COUNTIF('Elève (5ème4)'!FE9:FG9,"C"))*2)+((COUNTIF('Elève (5ème4)'!FE9:FG9,"D"))*1))/(COUNTA(FE9:FG9)),"")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(5ème4)'!FJ9:FL9,"A"))*4)+((COUNTIF('Elève (5ème4)'!FJ9:FL9,"B"))*3)+((COUNTIF('Elève (5ème4)'!FJ9:FL9,"C"))*2)+((COUNTIF('Elève (5ème4)'!FJ9:FL9,"D"))*1))/(COUNTA(FJ9:FL9)),"")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(5ème4)'!FQ9:FS9,"A"))*4)+((COUNTIF('Elève (5ème4)'!FQ9:FS9,"B"))*3)+((COUNTIF('Elève (5ème4)'!FQ9:FS9,"C"))*2)+((COUNTIF('Elève (5ème4)'!FQ9:FS9,"D"))*1))/(COUNTA(FQ9:FS9)),"")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(5ème4)'!FV9:FX9,"A"))*4)+((COUNTIF('Elève (5ème4)'!FV9:FX9,"B"))*3)+((COUNTIF('Elève (5ème4)'!FV9:FX9,"C"))*2)+((COUNTIF('Elève (5ème4)'!FV9:FX9,"D"))*1))/(COUNTA(FV9:FX9)),"")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(5ème4)'!GA9:GC9,"A"))*4)+((COUNTIF('Elève (5ème4)'!GA9:GC9,"B"))*3)+((COUNTIF('Elève (5ème4)'!GA9:GC9,"C"))*2)+((COUNTIF('Elève (5ème4)'!GA9:GC9,"D"))*1))/(COUNTA(GA9:GC9)),"")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(5ème4)'!GH9:GJ9,"A"))*4)+((COUNTIF('Elève (5ème4)'!GH9:GJ9,"B"))*3)+((COUNTIF('Elève (5ème4)'!GH9:GJ9,"C"))*2)+((COUNTIF('Elève (5ème4)'!GH9:GJ9,"D"))*1))/(COUNTA(GH9:GJ9)),"")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(5ème4)'!GM9:GO9,"A"))*4)+((COUNTIF('Elève (5ème4)'!GM9:GO9,"B"))*3)+((COUNTIF('Elève (5ème4)'!GM9:GO9,"C"))*2)+((COUNTIF('Elève (5ème4)'!GM9:GO9,"D"))*1))/(COUNTA(GM9:GO9)),"")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(5ème4)'!GR9:GT9,"A"))*4)+((COUNTIF('Elève (5ème4)'!GR9:GT9,"B"))*3)+((COUNTIF('Elève (5ème4)'!GR9:GT9,"C"))*2)+((COUNTIF('Elève (5ème4)'!GR9:GT9,"D"))*1))/(COUNTA(GR9:GT9)),"")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(5ème4)'!GY9:HA9,"A"))*4)+((COUNTIF('Elève (5ème4)'!GY9:HA9,"B"))*3)+((COUNTIF('Elève (5ème4)'!GY9:HA9,"C"))*2)+((COUNTIF('Elève (5ème4)'!GY9:HA9,"D"))*1))/(COUNTA(GY9:HA9)),"")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(5ème4)'!HD9:HF9,"A"))*4)+((COUNTIF('Elève (5ème4)'!HD9:HF9,"B"))*3)+((COUNTIF('Elève (5ème4)'!HD9:HF9,"C"))*2)+((COUNTIF('Elève (5ème4)'!HD9:HF9,"D"))*1))/(COUNTA(HD9:HF9)),"")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(5ème4)'!HI9:HK9,"A"))*4)+((COUNTIF('Elève (5ème4)'!HI9:HK9,"B"))*3)+((COUNTIF('Elève (5ème4)'!HI9:HK9,"C"))*2)+((COUNTIF('Elève (5ème4)'!HI9:HK9,"D"))*1))/(COUNTA(HI9:HK9)),"")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(5ème4)'!HP9:HR9,"A"))*4)+((COUNTIF('Elève (5ème4)'!HP9:HR9,"B"))*3)+((COUNTIF('Elève (5ème4)'!HP9:HR9,"C"))*2)+((COUNTIF('Elève (5ème4)'!HP9:HR9,"D"))*1))/(COUNTA(HP9:HR9)),"")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(5ème4)'!HU9:HW9,"A"))*4)+((COUNTIF('Elève (5ème4)'!HU9:HW9,"B"))*3)+((COUNTIF('Elève (5ème4)'!HU9:HW9,"C"))*2)+((COUNTIF('Elève (5ème4)'!HU9:HW9,"D"))*1))/(COUNTA(HU9:HW9)),"")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(5ème4)'!HZ9:IB9,"A"))*4)+((COUNTIF('Elève (5ème4)'!HZ9:IB9,"B"))*3)+((COUNTIF('Elève (5ème4)'!HZ9:IB9,"C"))*2)+((COUNTIF('Elève (5ème4)'!HZ9:IB9,"D"))*1))/(COUNTA(HZ9:IB9)),"")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(5ème4)'!IG9:II9,"A"))*4)+((COUNTIF('Elève (5ème4)'!IG9:II9,"B"))*3)+((COUNTIF('Elève (5ème4)'!IG9:II9,"C"))*2)+((COUNTIF('Elève (5ème4)'!IG9:II9,"D"))*1))/(COUNTA(IG9:II9)),"")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(5ème4)'!IL9:IN9,"A"))*4)+((COUNTIF('Elève (5ème4)'!IL9:IN9,"B"))*3)+((COUNTIF('Elève (5ème4)'!IL9:IN9,"C"))*2)+((COUNTIF('Elève (5ème4)'!IL9:IN9,"D"))*1))/(COUNTA(IL9:IN9)),"")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(5ème4)'!IQ9:IS9,"A"))*4)+((COUNTIF('Elève (5ème4)'!IQ9:IS9,"B"))*3)+((COUNTIF('Elève (5ème4)'!IQ9:IS9,"C"))*2)+((COUNTIF('Elève (5ème4)'!IQ9:IS9,"D"))*1))/(COUNTA(IQ9:IS9)),"")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(5ème4)'!IX9:IZ9,"A"))*4)+((COUNTIF('Elève (5ème4)'!IX9:IZ9,"B"))*3)+((COUNTIF('Elève (5ème4)'!IX9:IZ9,"C"))*2)+((COUNTIF('Elève (5ème4)'!IX9:IZ9,"D"))*1))/(COUNTA(IX9:IZ9)),"")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(5ème4)'!JC9:JE9,"A"))*4)+((COUNTIF('Elève (5ème4)'!JC9:JE9,"B"))*3)+((COUNTIF('Elève (5ème4)'!JC9:JE9,"C"))*2)+((COUNTIF('Elève (5ème4)'!JC9:JE9,"D"))*1))/(COUNTA(JC9:JE9)),"")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(5ème4)'!JH9:JJ9,"A"))*4)+((COUNTIF('Elève (5ème4)'!JH9:JJ9,"B"))*3)+((COUNTIF('Elève (5ème4)'!JH9:JJ9,"C"))*2)+((COUNTIF('Elève (5ème4)'!JH9:JJ9,"D"))*1))/(COUNTA(JH9:JJ9)),"")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(5ème4)'!JO9:JQ9,"A"))*4)+((COUNTIF('Elève (5ème4)'!JO9:JQ9,"B"))*3)+((COUNTIF('Elève (5ème4)'!JO9:JQ9,"C"))*2)+((COUNTIF('Elève (5ème4)'!JO9:JQ9,"D"))*1))/(COUNTA(JO9:JQ9)),"")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(5ème4)'!JT9:JV9,"A"))*4)+((COUNTIF('Elève (5ème4)'!JT9:JV9,"B"))*3)+((COUNTIF('Elève (5ème4)'!JT9:JV9,"C"))*2)+((COUNTIF('Elève (5ème4)'!JT9:JV9,"D"))*1))/(COUNTA(JT9:JV9)),"")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(5ème4)'!JY9:KA9,"A"))*4)+((COUNTIF('Elève (5ème4)'!JY9:KA9,"B"))*3)+((COUNTIF('Elève (5ème4)'!JY9:KA9,"C"))*2)+((COUNTIF('Elève (5ème4)'!JY9:KA9,"D"))*1))/(COUNTA(JY9:KA9)),"")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(5ème4)'!KF9:KH9,"A"))*4)+((COUNTIF('Elève (5ème4)'!KF9:KH9,"B"))*3)+((COUNTIF('Elève (5ème4)'!KF9:KH9,"C"))*2)+((COUNTIF('Elève (5ème4)'!KF9:KH9,"D"))*1))/(COUNTA(KF9:KH9)),"")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(5ème4)'!KK9:KM9,"A"))*4)+((COUNTIF('Elève (5ème4)'!KK9:KM9,"B"))*3)+((COUNTIF('Elève (5ème4)'!KK9:KM9,"C"))*2)+((COUNTIF('Elève (5ème4)'!KK9:KM9,"D"))*1))/(COUNTA(KK9:KM9)),"")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(5ème4)'!KP9:KR9,"A"))*4)+((COUNTIF('Elève (5ème4)'!KP9:KR9,"B"))*3)+((COUNTIF('Elève (5ème4)'!KP9:KR9,"C"))*2)+((COUNTIF('Elève (5ème4)'!KP9:KR9,"D"))*1))/(COUNTA(KP9:KR9)),"")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(5ème4)'!KW9:KY9,"A"))*4)+((COUNTIF('Elève (5ème4)'!KW9:KY9,"B"))*3)+((COUNTIF('Elève (5ème4)'!KW9:KY9,"C"))*2)+((COUNTIF('Elève (5ème4)'!KW9:KY9,"D"))*1))/(COUNTA(KW9:KY9)),"")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(5ème4)'!LB9:LD9,"A"))*4)+((COUNTIF('Elève (5ème4)'!LB9:LD9,"B"))*3)+((COUNTIF('Elève (5ème4)'!LB9:LD9,"C"))*2)+((COUNTIF('Elève (5ème4)'!LB9:LD9,"D"))*1))/(COUNTA(LB9:LD9)),"")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(5ème4)'!LG9:LI9,"A"))*4)+((COUNTIF('Elève (5ème4)'!LG9:LI9,"B"))*3)+((COUNTIF('Elève (5ème4)'!LG9:LI9,"C"))*2)+((COUNTIF('Elève (5ème4)'!LG9:LI9,"D"))*1))/(COUNTA(LG9:LI9)),"")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(5ème4)'!LN9:LP9,"A"))*4)+((COUNTIF('Elève (5ème4)'!LN9:LP9,"B"))*3)+((COUNTIF('Elève (5ème4)'!LN9:LP9,"C"))*2)+((COUNTIF('Elève (5ème4)'!LN9:LP9,"D"))*1))/(COUNTA(LN9:LP9)),"")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(5ème4)'!LS9:LU9,"A"))*4)+((COUNTIF('Elève (5ème4)'!LS9:LU9,"B"))*3)+((COUNTIF('Elève (5ème4)'!LS9:LU9,"C"))*2)+((COUNTIF('Elève (5ème4)'!LS9:LU9,"D"))*1))/(COUNTA(LS9:LU9)),"")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(5ème4)'!LX9:LZ9,"A"))*4)+((COUNTIF('Elève (5ème4)'!LX9:LZ9,"B"))*3)+((COUNTIF('Elève (5ème4)'!LX9:LZ9,"C"))*2)+((COUNTIF('Elève (5ème4)'!LX9:LZ9,"D"))*1))/(COUNTA(LX9:LZ9)),"")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(5ème4)'!ME9:MG9,"A"))*4)+((COUNTIF('Elève (5ème4)'!ME9:MG9,"B"))*3)+((COUNTIF('Elève (5ème4)'!ME9:MG9,"C"))*2)+((COUNTIF('Elève (5ème4)'!ME9:MG9,"D"))*1))/(COUNTA(ME9:MG9)),"")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(5ème4)'!MJ9:ML9,"A"))*4)+((COUNTIF('Elève (5ème4)'!MJ9:ML9,"B"))*3)+((COUNTIF('Elève (5ème4)'!MJ9:ML9,"C"))*2)+((COUNTIF('Elève (5ème4)'!MJ9:ML9,"D"))*1))/(COUNTA(MJ9:ML9)),"")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(5ème4)'!MO9:MQ9,"A"))*4)+((COUNTIF('Elève (5ème4)'!MO9:MQ9,"B"))*3)+((COUNTIF('Elève (5ème4)'!MO9:MQ9,"C"))*2)+((COUNTIF('Elève (5ème4)'!MO9:MQ9,"D"))*1))/(COUNTA(MO9:MQ9)),"")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(5ème4)'!MV9:MX9,"A"))*4)+((COUNTIF('Elève (5ème4)'!MV9:MX9,"B"))*3)+((COUNTIF('Elève (5ème4)'!MV9:MX9,"C"))*2)+((COUNTIF('Elève (5ème4)'!MV9:MX9,"D"))*1))/(COUNTA(MV9:MX9)),"")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(5ème4)'!NA9:NC9,"A"))*4)+((COUNTIF('Elève (5ème4)'!NA9:NC9,"B"))*3)+((COUNTIF('Elève (5ème4)'!NA9:NC9,"C"))*2)+((COUNTIF('Elève (5ème4)'!NA9:NC9,"D"))*1))/(COUNTA(NA9:NC9)),"")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(5ème4)'!NF9:NH9,"A"))*4)+((COUNTIF('Elève (5ème4)'!NF9:NH9,"B"))*3)+((COUNTIF('Elève (5ème4)'!NF9:NH9,"C"))*2)+((COUNTIF('Elève (5ème4)'!NF9:NH9,"D"))*1))/(COUNTA(NF9:NH9)),"")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(5ème4)'!NM9:NO9,"A"))*4)+((COUNTIF('Elève (5ème4)'!NM9:NO9,"B"))*3)+((COUNTIF('Elève (5ème4)'!NM9:NO9,"C"))*2)+((COUNTIF('Elève (5ème4)'!NM9:NO9,"D"))*1))/(COUNTA(NM9:NO9)),"")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(5ème4)'!NR9:NT9,"A"))*4)+((COUNTIF('Elève (5ème4)'!NR9:NT9,"B"))*3)+((COUNTIF('Elève (5ème4)'!NR9:NT9,"C"))*2)+((COUNTIF('Elève (5ème4)'!NR9:NT9,"D"))*1))/(COUNTA(NR9:NT9)),"")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(5ème4)'!NW9:NY9,"A"))*4)+((COUNTIF('Elève (5ème4)'!NW9:NY9,"B"))*3)+((COUNTIF('Elève (5ème4)'!NW9:NY9,"C"))*2)+((COUNTIF('Elève (5ème4)'!NW9:NY9,"D"))*1))/(COUNTA(NW9:NY9)),"")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(5ème4)'!OD9:OF9,"A"))*4)+((COUNTIF('Elève (5ème4)'!OD9:OF9,"B"))*3)+((COUNTIF('Elève (5ème4)'!OD9:OF9,"C"))*2)+((COUNTIF('Elève (5ème4)'!OD9:OF9,"D"))*1))/(COUNTA(OD9:OF9)),"")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(5ème4)'!OI9:OK9,"A"))*4)+((COUNTIF('Elève (5ème4)'!OI9:OK9,"B"))*3)+((COUNTIF('Elève (5ème4)'!OI9:OK9,"C"))*2)+((COUNTIF('Elève (5ème4)'!OI9:OK9,"D"))*1))/(COUNTA(OI9:OK9)),"")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(5ème4)'!ON9:OP9,"A"))*4)+((COUNTIF('Elève (5ème4)'!ON9:OP9,"B"))*3)+((COUNTIF('Elève (5ème4)'!ON9:OP9,"C"))*2)+((COUNTIF('Elève (5ème4)'!ON9:OP9,"D"))*1))/(COUNTA(ON9:OP9)),"")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(5ème4)'!OU9:OW9,"A"))*4)+((COUNTIF('Elève (5ème4)'!OU9:OW9,"B"))*3)+((COUNTIF('Elève (5ème4)'!OU9:OW9,"C"))*2)+((COUNTIF('Elève (5ème4)'!OU9:OW9,"D"))*1))/(COUNTA(OU9:OW9)),"")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(5ème4)'!OZ9:PB9,"A"))*4)+((COUNTIF('Elève (5ème4)'!OZ9:PB9,"B"))*3)+((COUNTIF('Elève (5ème4)'!OZ9:PB9,"C"))*2)+((COUNTIF('Elève (5ème4)'!OZ9:PB9,"D"))*1))/(COUNTA(OZ9:PB9)),"")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(5ème4)'!PE9:PG9,"A"))*4)+((COUNTIF('Elève (5ème4)'!PE9:PG9,"B"))*3)+((COUNTIF('Elève (5ème4)'!PE9:PG9,"C"))*2)+((COUNTIF('Elève (5ème4)'!PE9:PG9,"D"))*1))/(COUNTA(PE9:PG9)),"")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(5ème4)'!PL9:PN9,"A"))*4)+((COUNTIF('Elève (5ème4)'!PL9:PN9,"B"))*3)+((COUNTIF('Elève (5ème4)'!PL9:PN9,"C"))*2)+((COUNTIF('Elève (5ème4)'!PL9:PN9,"D"))*1))/(COUNTA(PL9:PN9)),"")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(5ème4)'!PQ9:PS9,"A"))*4)+((COUNTIF('Elève (5ème4)'!PQ9:PS9,"B"))*3)+((COUNTIF('Elève (5ème4)'!PQ9:PS9,"C"))*2)+((COUNTIF('Elève (5ème4)'!PQ9:PS9,"D"))*1))/(COUNTA(PQ9:PS9)),"")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(5ème4)'!PV9:PX9,"A"))*4)+((COUNTIF('Elève (5ème4)'!PV9:PX9,"B"))*3)+((COUNTIF('Elève (5ème4)'!PV9:PX9,"C"))*2)+((COUNTIF('Elève (5ème4)'!PV9:PX9,"D"))*1))/(COUNTA(PV9:PX9)),"")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(5ème4)'!QC9:QE9,"A"))*4)+((COUNTIF('Elève (5ème4)'!QC9:QE9,"B"))*3)+((COUNTIF('Elève (5ème4)'!QC9:QE9,"C"))*2)+((COUNTIF('Elève (5ème4)'!QC9:QE9,"D"))*1))/(COUNTA(QC9:QE9)),"")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(5ème4)'!QH9:QJ9,"A"))*4)+((COUNTIF('Elève (5ème4)'!QH9:QJ9,"B"))*3)+((COUNTIF('Elève (5ème4)'!QH9:QJ9,"C"))*2)+((COUNTIF('Elève (5ème4)'!QH9:QJ9,"D"))*1))/(COUNTA(QH9:QJ9)),"")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(5ème4)'!QM9:QO9,"A"))*4)+((COUNTIF('Elève (5ème4)'!QM9:QO9,"B"))*3)+((COUNTIF('Elève (5ème4)'!QM9:QO9,"C"))*2)+((COUNTIF('Elève (5ème4)'!QM9:QO9,"D"))*1))/(COUNTA(QM9:QO9)),"")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(5ème4)'!QT9:QV9,"A"))*4)+((COUNTIF('Elève (5ème4)'!QT9:QV9,"B"))*3)+((COUNTIF('Elève (5ème4)'!QT9:QV9,"C"))*2)+((COUNTIF('Elève (5ème4)'!QT9:QV9,"D"))*1))/(COUNTA(QT9:QV9)),"")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(5ème4)'!QY9:RA9,"A"))*4)+((COUNTIF('Elève (5ème4)'!QY9:RA9,"B"))*3)+((COUNTIF('Elève (5ème4)'!QY9:RA9,"C"))*2)+((COUNTIF('Elève (5ème4)'!QY9:RA9,"D"))*1))/(COUNTA(QY9:RA9)),"")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(5ème4)'!RD9:RF9,"A"))*4)+((COUNTIF('Elève (5ème4)'!RD9:RF9,"B"))*3)+((COUNTIF('Elève (5ème4)'!RD9:RF9,"C"))*2)+((COUNTIF('Elève (5ème4)'!RD9:RF9,"D"))*1))/(COUNTA(RD9:RF9)),"")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(5ème4)'!RK9:RM9,"A"))*4)+((COUNTIF('Elève (5ème4)'!RK9:RM9,"B"))*3)+((COUNTIF('Elève (5ème4)'!RK9:RM9,"C"))*2)+((COUNTIF('Elève (5ème4)'!RK9:RM9,"D"))*1))/(COUNTA(RK9:RM9)),"")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(5ème4)'!RP9:RR9,"A"))*4)+((COUNTIF('Elève (5ème4)'!RP9:RR9,"B"))*3)+((COUNTIF('Elève (5ème4)'!RP9:RR9,"C"))*2)+((COUNTIF('Elève (5ème4)'!RP9:RR9,"D"))*1))/(COUNTA(RP9:RR9)),"")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(5ème4)'!RU9:RW9,"A"))*4)+((COUNTIF('Elève (5ème4)'!RU9:RW9,"B"))*3)+((COUNTIF('Elève (5ème4)'!RU9:RW9,"C"))*2)+((COUNTIF('Elève (5ème4)'!RU9:RW9,"D"))*1))/(COUNTA(RU9:RW9)),"")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(5ème4)'!SB9:SD9,"A"))*4)+((COUNTIF('Elève (5ème4)'!SB9:SD9,"B"))*3)+((COUNTIF('Elève (5ème4)'!SB9:SD9,"C"))*2)+((COUNTIF('Elève (5ème4)'!SB9:SD9,"D"))*1))/(COUNTA(SB9:SD9)),"")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(5ème4)'!SG9:SI9,"A"))*4)+((COUNTIF('Elève (5ème4)'!SG9:SI9,"B"))*3)+((COUNTIF('Elève (5ème4)'!SG9:SI9,"C"))*2)+((COUNTIF('Elève (5ème4)'!SG9:SI9,"D"))*1))/(COUNTA(SG9:SI9)),"")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(5ème4)'!SL9:SN9,"A"))*4)+((COUNTIF('Elève (5ème4)'!SL9:SN9,"B"))*3)+((COUNTIF('Elève (5ème4)'!SL9:SN9,"C"))*2)+((COUNTIF('Elève (5ème4)'!SL9:SN9,"D"))*1))/(COUNTA(SL9:SN9)),"")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(5ème4)'!C11:E12,"A"))*4)+((COUNTIF('Elève (5ème4)'!C11:E12,"B"))*3)+((COUNTIF('Elève (5ème4)'!C11:E12,"C"))*2)+((COUNTIF('Elève (5ème4)'!C11:E12,"D"))*1))/(COUNTA(C11:E12)),"")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(5ème4)'!H11:J12,"A"))*4)+((COUNTIF('Elève (5ème4)'!H11:J12,"B"))*3)+((COUNTIF('Elève (5ème4)'!H11:J12,"C"))*2)+((COUNTIF('Elève (5ème4)'!H11:J12,"D"))*1))/(COUNTA(H11:J12)),"")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(5ème4)'!M11:O12,"A"))*4)+((COUNTIF('Elève (5ème4)'!M11:O12,"B"))*3)+((COUNTIF('Elève (5ème4)'!M11:O12,"C"))*2)+((COUNTIF('Elève (5ème4)'!M11:O12,"D"))*1))/(COUNTA(M11:O12)),"")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(5ème4)'!T11:V12,"A"))*4)+((COUNTIF('Elève (5ème4)'!T11:V12,"B"))*3)+((COUNTIF('Elève (5ème4)'!T11:V12,"C"))*2)+((COUNTIF('Elève (5ème4)'!T11:V12,"D"))*1))/(COUNTA(T11:V12)),"")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(5ème4)'!Y11:AA12,"A"))*4)+((COUNTIF('Elève (5ème4)'!Y11:AA12,"B"))*3)+((COUNTIF('Elève (5ème4)'!Y11:AA12,"C"))*2)+((COUNTIF('Elève (5ème4)'!Y11:AA12,"D"))*1))/(COUNTA(Y11:AA12)),"")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(5ème4)'!AD11:AF12,"A"))*4)+((COUNTIF('Elève (5ème4)'!AD11:AF12,"B"))*3)+((COUNTIF('Elève (5ème4)'!AD11:AF12,"C"))*2)+((COUNTIF('Elève (5ème4)'!AD11:AF12,"D"))*1))/(COUNTA(AD11:AF12)),"")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(5ème4)'!AK11:AM12,"A"))*4)+((COUNTIF('Elève (5ème4)'!AK11:AM12,"B"))*3)+((COUNTIF('Elève (5ème4)'!AK11:AM12,"C"))*2)+((COUNTIF('Elève (5ème4)'!AK11:AM12,"D"))*1))/(COUNTA(AK11:AM12)),"")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(5ème4)'!AP11:AR12,"A"))*4)+((COUNTIF('Elève (5ème4)'!AP11:AR12,"B"))*3)+((COUNTIF('Elève (5ème4)'!AP11:AR12,"C"))*2)+((COUNTIF('Elève (5ème4)'!AP11:AR12,"D"))*1))/(COUNTA(AP11:AR12)),"")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(5ème4)'!AU11:AW12,"A"))*4)+((COUNTIF('Elève (5ème4)'!AU11:AW12,"B"))*3)+((COUNTIF('Elève (5ème4)'!AU11:AW12,"C"))*2)+((COUNTIF('Elève (5ème4)'!AU11:AW12,"D"))*1))/(COUNTA(AU11:AW12)),"")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(5ème4)'!BB11:BD12,"A"))*4)+((COUNTIF('Elève (5ème4)'!BB11:BD12,"B"))*3)+((COUNTIF('Elève (5ème4)'!BB11:BD12,"C"))*2)+((COUNTIF('Elève (5ème4)'!BB11:BD12,"D"))*1))/(COUNTA(BB11:BD12)),"")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(5ème4)'!BG11:BI12,"A"))*4)+((COUNTIF('Elève (5ème4)'!BG11:BI12,"B"))*3)+((COUNTIF('Elève (5ème4)'!BG11:BI12,"C"))*2)+((COUNTIF('Elève (5ème4)'!BG11:BI12,"D"))*1))/(COUNTA(BG11:BI12)),"")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(5ème4)'!BL11:BN12,"A"))*4)+((COUNTIF('Elève (5ème4)'!BL11:BN12,"B"))*3)+((COUNTIF('Elève (5ème4)'!BL11:BN12,"C"))*2)+((COUNTIF('Elève (5ème4)'!BL11:BN12,"D"))*1))/(COUNTA(BL11:BN12)),"")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(5ème4)'!BS11:BU12,"A"))*4)+((COUNTIF('Elève (5ème4)'!BS11:BU12,"B"))*3)+((COUNTIF('Elève (5ème4)'!BS11:BU12,"C"))*2)+((COUNTIF('Elève (5ème4)'!BS11:BU12,"D"))*1))/(COUNTA(BS11:BU12)),"")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(5ème4)'!BX11:BZ12,"A"))*4)+((COUNTIF('Elève (5ème4)'!BX11:BZ12,"B"))*3)+((COUNTIF('Elève (5ème4)'!BX11:BZ12,"C"))*2)+((COUNTIF('Elève (5ème4)'!BX11:BZ12,"D"))*1))/(COUNTA(BX11:BZ12)),"")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(5ème4)'!CC11:CE12,"A"))*4)+((COUNTIF('Elève (5ème4)'!CC11:CE12,"B"))*3)+((COUNTIF('Elève (5ème4)'!CC11:CE12,"C"))*2)+((COUNTIF('Elève (5ème4)'!CC11:CE12,"D"))*1))/(COUNTA(CC11:CE12)),"")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(5ème4)'!CJ11:CL12,"A"))*4)+((COUNTIF('Elève (5ème4)'!CJ11:CL12,"B"))*3)+((COUNTIF('Elève (5ème4)'!CJ11:CL12,"C"))*2)+((COUNTIF('Elève (5ème4)'!CJ11:CL12,"D"))*1))/(COUNTA(CJ11:CL12)),"")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(5ème4)'!CO11:CQ12,"A"))*4)+((COUNTIF('Elève (5ème4)'!CO11:CQ12,"B"))*3)+((COUNTIF('Elève (5ème4)'!CO11:CQ12,"C"))*2)+((COUNTIF('Elève (5ème4)'!CO11:CQ12,"D"))*1))/(COUNTA(CO11:CQ12)),"")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(5ème4)'!CT11:CV12,"A"))*4)+((COUNTIF('Elève (5ème4)'!CT11:CV12,"B"))*3)+((COUNTIF('Elève (5ème4)'!CT11:CV12,"C"))*2)+((COUNTIF('Elève (5ème4)'!CT11:CV12,"D"))*1))/(COUNTA(CT11:CV12)),"")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(5ème4)'!DA11:DC12,"A"))*4)+((COUNTIF('Elève (5ème4)'!DA11:DC12,"B"))*3)+((COUNTIF('Elève (5ème4)'!DA11:DC12,"C"))*2)+((COUNTIF('Elève (5ème4)'!DA11:DC12,"D"))*1))/(COUNTA(DA11:DC12)),"")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(5ème4)'!DF11:DH12,"A"))*4)+((COUNTIF('Elève (5ème4)'!DF11:DH12,"B"))*3)+((COUNTIF('Elève (5ème4)'!DF11:DH12,"C"))*2)+((COUNTIF('Elève (5ème4)'!DF11:DH12,"D"))*1))/(COUNTA(DF11:DH12)),"")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(5ème4)'!DK11:DM12,"A"))*4)+((COUNTIF('Elève (5ème4)'!DK11:DM12,"B"))*3)+((COUNTIF('Elève (5ème4)'!DK11:DM12,"C"))*2)+((COUNTIF('Elève (5ème4)'!DK11:DM12,"D"))*1))/(COUNTA(DK11:DM12)),"")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(5ème4)'!DR11:DT12,"A"))*4)+((COUNTIF('Elève (5ème4)'!DR11:DT12,"B"))*3)+((COUNTIF('Elève (5ème4)'!DR11:DT12,"C"))*2)+((COUNTIF('Elève (5ème4)'!DR11:DT12,"D"))*1))/(COUNTA(DR11:DT12)),"")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(5ème4)'!DW11:DY12,"A"))*4)+((COUNTIF('Elève (5ème4)'!DW11:DY12,"B"))*3)+((COUNTIF('Elève (5ème4)'!DW11:DY12,"C"))*2)+((COUNTIF('Elève (5ème4)'!DW11:DY12,"D"))*1))/(COUNTA(DW11:DY12)),"")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(5ème4)'!EB11:ED12,"A"))*4)+((COUNTIF('Elève (5ème4)'!EB11:ED12,"B"))*3)+((COUNTIF('Elève (5ème4)'!EB11:ED12,"C"))*2)+((COUNTIF('Elève (5ème4)'!EB11:ED12,"D"))*1))/(COUNTA(EB11:ED12)),"")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(5ème4)'!EI11:EK12,"A"))*4)+((COUNTIF('Elève (5ème4)'!EI11:EK12,"B"))*3)+((COUNTIF('Elève (5ème4)'!EI11:EK12,"C"))*2)+((COUNTIF('Elève (5ème4)'!EI11:EK12,"D"))*1))/(COUNTA(EI11:EK12)),"")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(5ème4)'!EN11:EP12,"A"))*4)+((COUNTIF('Elève (5ème4)'!EN11:EP12,"B"))*3)+((COUNTIF('Elève (5ème4)'!EN11:EP12,"C"))*2)+((COUNTIF('Elève (5ème4)'!EN11:EP12,"D"))*1))/(COUNTA(EN11:EP12)),"")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(5ème4)'!ES11:EU12,"A"))*4)+((COUNTIF('Elève (5ème4)'!ES11:EU12,"B"))*3)+((COUNTIF('Elève (5ème4)'!ES11:EU12,"C"))*2)+((COUNTIF('Elève (5ème4)'!ES11:EU12,"D"))*1))/(COUNTA(ES11:EU12)),"")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(5ème4)'!EZ11:FB12,"A"))*4)+((COUNTIF('Elève (5ème4)'!EZ11:FB12,"B"))*3)+((COUNTIF('Elève (5ème4)'!EZ11:FB12,"C"))*2)+((COUNTIF('Elève (5ème4)'!EZ11:FB12,"D"))*1))/(COUNTA(EZ11:FB12)),"")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(5ème4)'!FE11:FG12,"A"))*4)+((COUNTIF('Elève (5ème4)'!FE11:FG12,"B"))*3)+((COUNTIF('Elève (5ème4)'!FE11:FG12,"C"))*2)+((COUNTIF('Elève (5ème4)'!FE11:FG12,"D"))*1))/(COUNTA(FE11:FG12)),"")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(5ème4)'!FJ11:FL12,"A"))*4)+((COUNTIF('Elève (5ème4)'!FJ11:FL12,"B"))*3)+((COUNTIF('Elève (5ème4)'!FJ11:FL12,"C"))*2)+((COUNTIF('Elève (5ème4)'!FJ11:FL12,"D"))*1))/(COUNTA(FJ11:FL12)),"")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(5ème4)'!FQ11:FS12,"A"))*4)+((COUNTIF('Elève (5ème4)'!FQ11:FS12,"B"))*3)+((COUNTIF('Elève (5ème4)'!FQ11:FS12,"C"))*2)+((COUNTIF('Elève (5ème4)'!FQ11:FS12,"D"))*1))/(COUNTA(FQ11:FS12)),"")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(5ème4)'!FV11:FX12,"A"))*4)+((COUNTIF('Elève (5ème4)'!FV11:FX12,"B"))*3)+((COUNTIF('Elève (5ème4)'!FV11:FX12,"C"))*2)+((COUNTIF('Elève (5ème4)'!FV11:FX12,"D"))*1))/(COUNTA(FV11:FX12)),"")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(5ème4)'!GA11:GC12,"A"))*4)+((COUNTIF('Elève (5ème4)'!GA11:GC12,"B"))*3)+((COUNTIF('Elève (5ème4)'!GA11:GC12,"C"))*2)+((COUNTIF('Elève (5ème4)'!GA11:GC12,"D"))*1))/(COUNTA(GA11:GC12)),"")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(5ème4)'!GH11:GJ12,"A"))*4)+((COUNTIF('Elève (5ème4)'!GH11:GJ12,"B"))*3)+((COUNTIF('Elève (5ème4)'!GH11:GJ12,"C"))*2)+((COUNTIF('Elève (5ème4)'!GH11:GJ12,"D"))*1))/(COUNTA(GH11:GJ12)),"")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(5ème4)'!GM11:GO12,"A"))*4)+((COUNTIF('Elève (5ème4)'!GM11:GO12,"B"))*3)+((COUNTIF('Elève (5ème4)'!GM11:GO12,"C"))*2)+((COUNTIF('Elève (5ème4)'!GM11:GO12,"D"))*1))/(COUNTA(GM11:GO12)),"")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(5ème4)'!GR11:GT12,"A"))*4)+((COUNTIF('Elève (5ème4)'!GR11:GT12,"B"))*3)+((COUNTIF('Elève (5ème4)'!GR11:GT12,"C"))*2)+((COUNTIF('Elève (5ème4)'!GR11:GT12,"D"))*1))/(COUNTA(GR11:GT12)),"")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(5ème4)'!GY11:HA12,"A"))*4)+((COUNTIF('Elève (5ème4)'!GY11:HA12,"B"))*3)+((COUNTIF('Elève (5ème4)'!GY11:HA12,"C"))*2)+((COUNTIF('Elève (5ème4)'!GY11:HA12,"D"))*1))/(COUNTA(GY11:HA12)),"")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(5ème4)'!HD11:HF12,"A"))*4)+((COUNTIF('Elève (5ème4)'!HD11:HF12,"B"))*3)+((COUNTIF('Elève (5ème4)'!HD11:HF12,"C"))*2)+((COUNTIF('Elève (5ème4)'!HD11:HF12,"D"))*1))/(COUNTA(HD11:HF12)),"")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(5ème4)'!HI11:HK12,"A"))*4)+((COUNTIF('Elève (5ème4)'!HI11:HK12,"B"))*3)+((COUNTIF('Elève (5ème4)'!HI11:HK12,"C"))*2)+((COUNTIF('Elève (5ème4)'!HI11:HK12,"D"))*1))/(COUNTA(HI11:HK12)),"")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(5ème4)'!HP11:HR12,"A"))*4)+((COUNTIF('Elève (5ème4)'!HP11:HR12,"B"))*3)+((COUNTIF('Elève (5ème4)'!HP11:HR12,"C"))*2)+((COUNTIF('Elève (5ème4)'!HP11:HR12,"D"))*1))/(COUNTA(HP11:HR12)),"")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(5ème4)'!HU11:HW12,"A"))*4)+((COUNTIF('Elève (5ème4)'!HU11:HW12,"B"))*3)+((COUNTIF('Elève (5ème4)'!HU11:HW12,"C"))*2)+((COUNTIF('Elève (5ème4)'!HU11:HW12,"D"))*1))/(COUNTA(HU11:HW12)),"")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(5ème4)'!HZ11:IB12,"A"))*4)+((COUNTIF('Elève (5ème4)'!HZ11:IB12,"B"))*3)+((COUNTIF('Elève (5ème4)'!HZ11:IB12,"C"))*2)+((COUNTIF('Elève (5ème4)'!HZ11:IB12,"D"))*1))/(COUNTA(HZ11:IB12)),"")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(5ème4)'!IG11:II12,"A"))*4)+((COUNTIF('Elève (5ème4)'!IG11:II12,"B"))*3)+((COUNTIF('Elève (5ème4)'!IG11:II12,"C"))*2)+((COUNTIF('Elève (5ème4)'!IG11:II12,"D"))*1))/(COUNTA(IG11:II12)),"")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(5ème4)'!IL11:IN12,"A"))*4)+((COUNTIF('Elève (5ème4)'!IL11:IN12,"B"))*3)+((COUNTIF('Elève (5ème4)'!IL11:IN12,"C"))*2)+((COUNTIF('Elève (5ème4)'!IL11:IN12,"D"))*1))/(COUNTA(IL11:IN12)),"")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(5ème4)'!IQ11:IS12,"A"))*4)+((COUNTIF('Elève (5ème4)'!IQ11:IS12,"B"))*3)+((COUNTIF('Elève (5ème4)'!IQ11:IS12,"C"))*2)+((COUNTIF('Elève (5ème4)'!IQ11:IS12,"D"))*1))/(COUNTA(IQ11:IS12)),"")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(5ème4)'!IX11:IZ12,"A"))*4)+((COUNTIF('Elève (5ème4)'!IX11:IZ12,"B"))*3)+((COUNTIF('Elève (5ème4)'!IX11:IZ12,"C"))*2)+((COUNTIF('Elève (5ème4)'!IX11:IZ12,"D"))*1))/(COUNTA(IX11:IZ12)),"")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(5ème4)'!JC11:JE12,"A"))*4)+((COUNTIF('Elève (5ème4)'!JC11:JE12,"B"))*3)+((COUNTIF('Elève (5ème4)'!JC11:JE12,"C"))*2)+((COUNTIF('Elève (5ème4)'!JC11:JE12,"D"))*1))/(COUNTA(JC11:JE12)),"")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(5ème4)'!JH11:JJ12,"A"))*4)+((COUNTIF('Elève (5ème4)'!JH11:JJ12,"B"))*3)+((COUNTIF('Elève (5ème4)'!JH11:JJ12,"C"))*2)+((COUNTIF('Elève (5ème4)'!JH11:JJ12,"D"))*1))/(COUNTA(JH11:JJ12)),"")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(5ème4)'!JO11:JQ12,"A"))*4)+((COUNTIF('Elève (5ème4)'!JO11:JQ12,"B"))*3)+((COUNTIF('Elève (5ème4)'!JO11:JQ12,"C"))*2)+((COUNTIF('Elève (5ème4)'!JO11:JQ12,"D"))*1))/(COUNTA(JO11:JQ12)),"")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(5ème4)'!JT11:JV12,"A"))*4)+((COUNTIF('Elève (5ème4)'!JT11:JV12,"B"))*3)+((COUNTIF('Elève (5ème4)'!JT11:JV12,"C"))*2)+((COUNTIF('Elève (5ème4)'!JT11:JV12,"D"))*1))/(COUNTA(JT11:JV12)),"")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(5ème4)'!JY11:KA12,"A"))*4)+((COUNTIF('Elève (5ème4)'!JY11:KA12,"B"))*3)+((COUNTIF('Elève (5ème4)'!JY11:KA12,"C"))*2)+((COUNTIF('Elève (5ème4)'!JY11:KA12,"D"))*1))/(COUNTA(JY11:KA12)),"")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(5ème4)'!KF11:KH12,"A"))*4)+((COUNTIF('Elève (5ème4)'!KF11:KH12,"B"))*3)+((COUNTIF('Elève (5ème4)'!KF11:KH12,"C"))*2)+((COUNTIF('Elève (5ème4)'!KF11:KH12,"D"))*1))/(COUNTA(KF11:KH12)),"")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(5ème4)'!KK11:KM12,"A"))*4)+((COUNTIF('Elève (5ème4)'!KK11:KM12,"B"))*3)+((COUNTIF('Elève (5ème4)'!KK11:KM12,"C"))*2)+((COUNTIF('Elève (5ème4)'!KK11:KM12,"D"))*1))/(COUNTA(KK11:KM12)),"")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(5ème4)'!KP11:KR12,"A"))*4)+((COUNTIF('Elève (5ème4)'!KP11:KR12,"B"))*3)+((COUNTIF('Elève (5ème4)'!KP11:KR12,"C"))*2)+((COUNTIF('Elève (5ème4)'!KP11:KR12,"D"))*1))/(COUNTA(KP11:KR12)),"")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(5ème4)'!KW11:KY12,"A"))*4)+((COUNTIF('Elève (5ème4)'!KW11:KY12,"B"))*3)+((COUNTIF('Elève (5ème4)'!KW11:KY12,"C"))*2)+((COUNTIF('Elève (5ème4)'!KW11:KY12,"D"))*1))/(COUNTA(KW11:KY12)),"")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(5ème4)'!LB11:LD12,"A"))*4)+((COUNTIF('Elève (5ème4)'!LB11:LD12,"B"))*3)+((COUNTIF('Elève (5ème4)'!LB11:LD12,"C"))*2)+((COUNTIF('Elève (5ème4)'!LB11:LD12,"D"))*1))/(COUNTA(LB11:LD12)),"")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(5ème4)'!LG11:LI12,"A"))*4)+((COUNTIF('Elève (5ème4)'!LG11:LI12,"B"))*3)+((COUNTIF('Elève (5ème4)'!LG11:LI12,"C"))*2)+((COUNTIF('Elève (5ème4)'!LG11:LI12,"D"))*1))/(COUNTA(LG11:LI12)),"")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(5ème4)'!LN11:LP12,"A"))*4)+((COUNTIF('Elève (5ème4)'!LN11:LP12,"B"))*3)+((COUNTIF('Elève (5ème4)'!LN11:LP12,"C"))*2)+((COUNTIF('Elève (5ème4)'!LN11:LP12,"D"))*1))/(COUNTA(LN11:LP12)),"")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(5ème4)'!LS11:LU12,"A"))*4)+((COUNTIF('Elève (5ème4)'!LS11:LU12,"B"))*3)+((COUNTIF('Elève (5ème4)'!LS11:LU12,"C"))*2)+((COUNTIF('Elève (5ème4)'!LS11:LU12,"D"))*1))/(COUNTA(LS11:LU12)),"")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(5ème4)'!LX11:LZ12,"A"))*4)+((COUNTIF('Elève (5ème4)'!LX11:LZ12,"B"))*3)+((COUNTIF('Elève (5ème4)'!LX11:LZ12,"C"))*2)+((COUNTIF('Elève (5ème4)'!LX11:LZ12,"D"))*1))/(COUNTA(LX11:LZ12)),"")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(5ème4)'!ME11:MG12,"A"))*4)+((COUNTIF('Elève (5ème4)'!ME11:MG12,"B"))*3)+((COUNTIF('Elève (5ème4)'!ME11:MG12,"C"))*2)+((COUNTIF('Elève (5ème4)'!ME11:MG12,"D"))*1))/(COUNTA(ME11:MG12)),"")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(5ème4)'!MJ11:ML12,"A"))*4)+((COUNTIF('Elève (5ème4)'!MJ11:ML12,"B"))*3)+((COUNTIF('Elève (5ème4)'!MJ11:ML12,"C"))*2)+((COUNTIF('Elève (5ème4)'!MJ11:ML12,"D"))*1))/(COUNTA(MJ11:ML12)),"")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(5ème4)'!MO11:MQ12,"A"))*4)+((COUNTIF('Elève (5ème4)'!MO11:MQ12,"B"))*3)+((COUNTIF('Elève (5ème4)'!MO11:MQ12,"C"))*2)+((COUNTIF('Elève (5ème4)'!MO11:MQ12,"D"))*1))/(COUNTA(MO11:MQ12)),"")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(5ème4)'!MV11:MX12,"A"))*4)+((COUNTIF('Elève (5ème4)'!MV11:MX12,"B"))*3)+((COUNTIF('Elève (5ème4)'!MV11:MX12,"C"))*2)+((COUNTIF('Elève (5ème4)'!MV11:MX12,"D"))*1))/(COUNTA(MV11:MX12)),"")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(5ème4)'!NA11:NC12,"A"))*4)+((COUNTIF('Elève (5ème4)'!NA11:NC12,"B"))*3)+((COUNTIF('Elève (5ème4)'!NA11:NC12,"C"))*2)+((COUNTIF('Elève (5ème4)'!NA11:NC12,"D"))*1))/(COUNTA(NA11:NC12)),"")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(5ème4)'!NF11:NH12,"A"))*4)+((COUNTIF('Elève (5ème4)'!NF11:NH12,"B"))*3)+((COUNTIF('Elève (5ème4)'!NF11:NH12,"C"))*2)+((COUNTIF('Elève (5ème4)'!NF11:NH12,"D"))*1))/(COUNTA(NF11:NH12)),"")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(5ème4)'!NM11:NO12,"A"))*4)+((COUNTIF('Elève (5ème4)'!NM11:NO12,"B"))*3)+((COUNTIF('Elève (5ème4)'!NM11:NO12,"C"))*2)+((COUNTIF('Elève (5ème4)'!NM11:NO12,"D"))*1))/(COUNTA(NM11:NO12)),"")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(5ème4)'!NR11:NT12,"A"))*4)+((COUNTIF('Elève (5ème4)'!NR11:NT12,"B"))*3)+((COUNTIF('Elève (5ème4)'!NR11:NT12,"C"))*2)+((COUNTIF('Elève (5ème4)'!NR11:NT12,"D"))*1))/(COUNTA(NR11:NT12)),"")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(5ème4)'!NW11:NY12,"A"))*4)+((COUNTIF('Elève (5ème4)'!NW11:NY12,"B"))*3)+((COUNTIF('Elève (5ème4)'!NW11:NY12,"C"))*2)+((COUNTIF('Elève (5ème4)'!NW11:NY12,"D"))*1))/(COUNTA(NW11:NY12)),"")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(5ème4)'!OD11:OF12,"A"))*4)+((COUNTIF('Elève (5ème4)'!OD11:OF12,"B"))*3)+((COUNTIF('Elève (5ème4)'!OD11:OF12,"C"))*2)+((COUNTIF('Elève (5ème4)'!OD11:OF12,"D"))*1))/(COUNTA(OD11:OF12)),"")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(5ème4)'!OI11:OK12,"A"))*4)+((COUNTIF('Elève (5ème4)'!OI11:OK12,"B"))*3)+((COUNTIF('Elève (5ème4)'!OI11:OK12,"C"))*2)+((COUNTIF('Elève (5ème4)'!OI11:OK12,"D"))*1))/(COUNTA(OI11:OK12)),"")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(5ème4)'!ON11:OP12,"A"))*4)+((COUNTIF('Elève (5ème4)'!ON11:OP12,"B"))*3)+((COUNTIF('Elève (5ème4)'!ON11:OP12,"C"))*2)+((COUNTIF('Elève (5ème4)'!ON11:OP12,"D"))*1))/(COUNTA(ON11:OP12)),"")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(5ème4)'!OU11:OW12,"A"))*4)+((COUNTIF('Elève (5ème4)'!OU11:OW12,"B"))*3)+((COUNTIF('Elève (5ème4)'!OU11:OW12,"C"))*2)+((COUNTIF('Elève (5ème4)'!OU11:OW12,"D"))*1))/(COUNTA(OU11:OW12)),"")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(5ème4)'!OZ11:PB12,"A"))*4)+((COUNTIF('Elève (5ème4)'!OZ11:PB12,"B"))*3)+((COUNTIF('Elève (5ème4)'!OZ11:PB12,"C"))*2)+((COUNTIF('Elève (5ème4)'!OZ11:PB12,"D"))*1))/(COUNTA(OZ11:PB12)),"")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(5ème4)'!PE11:PG12,"A"))*4)+((COUNTIF('Elève (5ème4)'!PE11:PG12,"B"))*3)+((COUNTIF('Elève (5ème4)'!PE11:PG12,"C"))*2)+((COUNTIF('Elève (5ème4)'!PE11:PG12,"D"))*1))/(COUNTA(PE11:PG12)),"")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(5ème4)'!PL11:PN12,"A"))*4)+((COUNTIF('Elève (5ème4)'!PL11:PN12,"B"))*3)+((COUNTIF('Elève (5ème4)'!PL11:PN12,"C"))*2)+((COUNTIF('Elève (5ème4)'!PL11:PN12,"D"))*1))/(COUNTA(PL11:PN12)),"")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(5ème4)'!PQ11:PS12,"A"))*4)+((COUNTIF('Elève (5ème4)'!PQ11:PS12,"B"))*3)+((COUNTIF('Elève (5ème4)'!PQ11:PS12,"C"))*2)+((COUNTIF('Elève (5ème4)'!PQ11:PS12,"D"))*1))/(COUNTA(PQ11:PS12)),"")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(5ème4)'!PV11:PX12,"A"))*4)+((COUNTIF('Elève (5ème4)'!PV11:PX12,"B"))*3)+((COUNTIF('Elève (5ème4)'!PV11:PX12,"C"))*2)+((COUNTIF('Elève (5ème4)'!PV11:PX12,"D"))*1))/(COUNTA(PV11:PX12)),"")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(5ème4)'!QC11:QE12,"A"))*4)+((COUNTIF('Elève (5ème4)'!QC11:QE12,"B"))*3)+((COUNTIF('Elève (5ème4)'!QC11:QE12,"C"))*2)+((COUNTIF('Elève (5ème4)'!QC11:QE12,"D"))*1))/(COUNTA(QC11:QE12)),"")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(5ème4)'!QH11:QJ12,"A"))*4)+((COUNTIF('Elève (5ème4)'!QH11:QJ12,"B"))*3)+((COUNTIF('Elève (5ème4)'!QH11:QJ12,"C"))*2)+((COUNTIF('Elève (5ème4)'!QH11:QJ12,"D"))*1))/(COUNTA(QH11:QJ12)),"")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(5ème4)'!QM11:QO12,"A"))*4)+((COUNTIF('Elève (5ème4)'!QM11:QO12,"B"))*3)+((COUNTIF('Elève (5ème4)'!QM11:QO12,"C"))*2)+((COUNTIF('Elève (5ème4)'!QM11:QO12,"D"))*1))/(COUNTA(QM11:QO12)),"")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(5ème4)'!QT11:QV12,"A"))*4)+((COUNTIF('Elève (5ème4)'!QT11:QV12,"B"))*3)+((COUNTIF('Elève (5ème4)'!QT11:QV12,"C"))*2)+((COUNTIF('Elève (5ème4)'!QT11:QV12,"D"))*1))/(COUNTA(QT11:QV12)),"")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(5ème4)'!QY11:RA12,"A"))*4)+((COUNTIF('Elève (5ème4)'!QY11:RA12,"B"))*3)+((COUNTIF('Elève (5ème4)'!QY11:RA12,"C"))*2)+((COUNTIF('Elève (5ème4)'!QY11:RA12,"D"))*1))/(COUNTA(QY11:RA12)),"")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(5ème4)'!RD11:RF12,"A"))*4)+((COUNTIF('Elève (5ème4)'!RD11:RF12,"B"))*3)+((COUNTIF('Elève (5ème4)'!RD11:RF12,"C"))*2)+((COUNTIF('Elève (5ème4)'!RD11:RF12,"D"))*1))/(COUNTA(RD11:RF12)),"")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(5ème4)'!RK11:RM12,"A"))*4)+((COUNTIF('Elève (5ème4)'!RK11:RM12,"B"))*3)+((COUNTIF('Elève (5ème4)'!RK11:RM12,"C"))*2)+((COUNTIF('Elève (5ème4)'!RK11:RM12,"D"))*1))/(COUNTA(RK11:RM12)),"")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(5ème4)'!RP11:RR12,"A"))*4)+((COUNTIF('Elève (5ème4)'!RP11:RR12,"B"))*3)+((COUNTIF('Elève (5ème4)'!RP11:RR12,"C"))*2)+((COUNTIF('Elève (5ème4)'!RP11:RR12,"D"))*1))/(COUNTA(RP11:RR12)),"")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(5ème4)'!RU11:RW12,"A"))*4)+((COUNTIF('Elève (5ème4)'!RU11:RW12,"B"))*3)+((COUNTIF('Elève (5ème4)'!RU11:RW12,"C"))*2)+((COUNTIF('Elève (5ème4)'!RU11:RW12,"D"))*1))/(COUNTA(RU11:RW12)),"")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(5ème4)'!SB11:SD12,"A"))*4)+((COUNTIF('Elève (5ème4)'!SB11:SD12,"B"))*3)+((COUNTIF('Elève (5ème4)'!SB11:SD12,"C"))*2)+((COUNTIF('Elève (5ème4)'!SB11:SD12,"D"))*1))/(COUNTA(SB11:SD12)),"")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(5ème4)'!SG11:SI12,"A"))*4)+((COUNTIF('Elève (5ème4)'!SG11:SI12,"B"))*3)+((COUNTIF('Elève (5ème4)'!SG11:SI12,"C"))*2)+((COUNTIF('Elève (5ème4)'!SG11:SI12,"D"))*1))/(COUNTA(SG11:SI12)),"")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(5ème4)'!SL11:SN12,"A"))*4)+((COUNTIF('Elève (5ème4)'!SL11:SN12,"B"))*3)+((COUNTIF('Elève (5ème4)'!SL11:SN12,"C"))*2)+((COUNTIF('Elève (5ème4)'!SL11:SN12,"D"))*1))/(COUNTA(SL11:SN12)),"")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1" t="s">
        <v>44</v>
      </c>
      <c r="B11" s="222"/>
      <c r="C11" s="156"/>
      <c r="D11" s="157"/>
      <c r="E11" s="158"/>
      <c r="F11" s="108" t="str">
        <f>IFERROR((((COUNTIF('Elève (5ème4)'!C11:E11,"A"))*4)+((COUNTIF('Elève (5ème4)'!C11:E11,"B"))*3)+((COUNTIF('Elève (5ème4)'!C11:E11,"C"))*2)+((COUNTIF('Elève (5ème4)'!C11:E11,"D"))*1))/(COUNTA(C11:E11)),"")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(5ème4)'!H11:J11,"A"))*4)+((COUNTIF('Elève (5ème4)'!H11:J11,"B"))*3)+((COUNTIF('Elève (5ème4)'!H11:J11,"C"))*2)+((COUNTIF('Elève (5ème4)'!H11:J11,"D"))*1))/(COUNTA(H11:J11)),"")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(5ème4)'!M11:O11,"A"))*4)+((COUNTIF('Elève (5ème4)'!M11:O11,"B"))*3)+((COUNTIF('Elève (5ème4)'!M11:O11,"C"))*2)+((COUNTIF('Elève (5ème4)'!M11:O11,"D"))*1))/(COUNTA(M11:O11)),"")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(5ème4)'!T11:V11,"A"))*4)+((COUNTIF('Elève (5ème4)'!T11:V11,"B"))*3)+((COUNTIF('Elève (5ème4)'!T11:V11,"C"))*2)+((COUNTIF('Elève (5ème4)'!T11:V11,"D"))*1))/(COUNTA(T11:V11)),"")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(5ème4)'!Y11:AA11,"A"))*4)+((COUNTIF('Elève (5ème4)'!Y11:AA11,"B"))*3)+((COUNTIF('Elève (5ème4)'!Y11:AA11,"C"))*2)+((COUNTIF('Elève (5ème4)'!Y11:AA11,"D"))*1))/(COUNTA(Y11:AA11)),"")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(5ème4)'!AD11:AF11,"A"))*4)+((COUNTIF('Elève (5ème4)'!AD11:AF11,"B"))*3)+((COUNTIF('Elève (5ème4)'!AD11:AF11,"C"))*2)+((COUNTIF('Elève (5ème4)'!AD11:AF11,"D"))*1))/(COUNTA(AD11:AF11)),"")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(5ème4)'!AK11:AM11,"A"))*4)+((COUNTIF('Elève (5ème4)'!AK11:AM11,"B"))*3)+((COUNTIF('Elève (5ème4)'!AK11:AM11,"C"))*2)+((COUNTIF('Elève (5ème4)'!AK11:AM11,"D"))*1))/(COUNTA(AK11:AM11)),"")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(5ème4)'!AP11:AR11,"A"))*4)+((COUNTIF('Elève (5ème4)'!AP11:AR11,"B"))*3)+((COUNTIF('Elève (5ème4)'!AP11:AR11,"C"))*2)+((COUNTIF('Elève (5ème4)'!AP11:AR11,"D"))*1))/(COUNTA(AP11:AR11)),"")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(5ème4)'!AU11:AW11,"A"))*4)+((COUNTIF('Elève (5ème4)'!AU11:AW11,"B"))*3)+((COUNTIF('Elève (5ème4)'!AU11:AW11,"C"))*2)+((COUNTIF('Elève (5ème4)'!AU11:AW11,"D"))*1))/(COUNTA(AU11:AW11)),"")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(5ème4)'!BB11:BD11,"A"))*4)+((COUNTIF('Elève (5ème4)'!BB11:BD11,"B"))*3)+((COUNTIF('Elève (5ème4)'!BB11:BD11,"C"))*2)+((COUNTIF('Elève (5ème4)'!BB11:BD11,"D"))*1))/(COUNTA(BB11:BD11)),"")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(5ème4)'!BG11:BI11,"A"))*4)+((COUNTIF('Elève (5ème4)'!BG11:BI11,"B"))*3)+((COUNTIF('Elève (5ème4)'!BG11:BI11,"C"))*2)+((COUNTIF('Elève (5ème4)'!BG11:BI11,"D"))*1))/(COUNTA(BG11:BI11)),"")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(5ème4)'!BL11:BN11,"A"))*4)+((COUNTIF('Elève (5ème4)'!BL11:BN11,"B"))*3)+((COUNTIF('Elève (5ème4)'!BL11:BN11,"C"))*2)+((COUNTIF('Elève (5ème4)'!BL11:BN11,"D"))*1))/(COUNTA(BL11:BN11)),"")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(5ème4)'!BS11:BU11,"A"))*4)+((COUNTIF('Elève (5ème4)'!BS11:BU11,"B"))*3)+((COUNTIF('Elève (5ème4)'!BS11:BU11,"C"))*2)+((COUNTIF('Elève (5ème4)'!BS11:BU11,"D"))*1))/(COUNTA(BS11:BU11)),"")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(5ème4)'!BX11:BZ11,"A"))*4)+((COUNTIF('Elève (5ème4)'!BX11:BZ11,"B"))*3)+((COUNTIF('Elève (5ème4)'!BX11:BZ11,"C"))*2)+((COUNTIF('Elève (5ème4)'!BX11:BZ11,"D"))*1))/(COUNTA(BX11:BZ11)),"")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(5ème4)'!CC11:CE11,"A"))*4)+((COUNTIF('Elève (5ème4)'!CC11:CE11,"B"))*3)+((COUNTIF('Elève (5ème4)'!CC11:CE11,"C"))*2)+((COUNTIF('Elève (5ème4)'!CC11:CE11,"D"))*1))/(COUNTA(CC11:CE11)),"")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(5ème4)'!CJ11:CL11,"A"))*4)+((COUNTIF('Elève (5ème4)'!CJ11:CL11,"B"))*3)+((COUNTIF('Elève (5ème4)'!CJ11:CL11,"C"))*2)+((COUNTIF('Elève (5ème4)'!CJ11:CL11,"D"))*1))/(COUNTA(CJ11:CL11)),"")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(5ème4)'!CO11:CQ11,"A"))*4)+((COUNTIF('Elève (5ème4)'!CO11:CQ11,"B"))*3)+((COUNTIF('Elève (5ème4)'!CO11:CQ11,"C"))*2)+((COUNTIF('Elève (5ème4)'!CO11:CQ11,"D"))*1))/(COUNTA(CO11:CQ11)),"")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(5ème4)'!CT11:CV11,"A"))*4)+((COUNTIF('Elève (5ème4)'!CT11:CV11,"B"))*3)+((COUNTIF('Elève (5ème4)'!CT11:CV11,"C"))*2)+((COUNTIF('Elève (5ème4)'!CT11:CV11,"D"))*1))/(COUNTA(CT11:CV11)),"")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(5ème4)'!DA11:DC11,"A"))*4)+((COUNTIF('Elève (5ème4)'!DA11:DC11,"B"))*3)+((COUNTIF('Elève (5ème4)'!DA11:DC11,"C"))*2)+((COUNTIF('Elève (5ème4)'!DA11:DC11,"D"))*1))/(COUNTA(DA11:DC11)),"")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(5ème4)'!DF11:DH11,"A"))*4)+((COUNTIF('Elève (5ème4)'!DF11:DH11,"B"))*3)+((COUNTIF('Elève (5ème4)'!DF11:DH11,"C"))*2)+((COUNTIF('Elève (5ème4)'!DF11:DH11,"D"))*1))/(COUNTA(DF11:DH11)),"")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(5ème4)'!DK11:DM11,"A"))*4)+((COUNTIF('Elève (5ème4)'!DK11:DM11,"B"))*3)+((COUNTIF('Elève (5ème4)'!DK11:DM11,"C"))*2)+((COUNTIF('Elève (5ème4)'!DK11:DM11,"D"))*1))/(COUNTA(DK11:DM11)),"")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(5ème4)'!DR11:DT11,"A"))*4)+((COUNTIF('Elève (5ème4)'!DR11:DT11,"B"))*3)+((COUNTIF('Elève (5ème4)'!DR11:DT11,"C"))*2)+((COUNTIF('Elève (5ème4)'!DR11:DT11,"D"))*1))/(COUNTA(DR11:DT11)),"")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(5ème4)'!DW11:DY11,"A"))*4)+((COUNTIF('Elève (5ème4)'!DW11:DY11,"B"))*3)+((COUNTIF('Elève (5ème4)'!DW11:DY11,"C"))*2)+((COUNTIF('Elève (5ème4)'!DW11:DY11,"D"))*1))/(COUNTA(DW11:DY11)),"")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(5ème4)'!EB11:ED11,"A"))*4)+((COUNTIF('Elève (5ème4)'!EB11:ED11,"B"))*3)+((COUNTIF('Elève (5ème4)'!EB11:ED11,"C"))*2)+((COUNTIF('Elève (5ème4)'!EB11:ED11,"D"))*1))/(COUNTA(EB11:ED11)),"")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(5ème4)'!EI11:EK11,"A"))*4)+((COUNTIF('Elève (5ème4)'!EI11:EK11,"B"))*3)+((COUNTIF('Elève (5ème4)'!EI11:EK11,"C"))*2)+((COUNTIF('Elève (5ème4)'!EI11:EK11,"D"))*1))/(COUNTA(EI11:EK11)),"")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(5ème4)'!EN11:EP11,"A"))*4)+((COUNTIF('Elève (5ème4)'!EN11:EP11,"B"))*3)+((COUNTIF('Elève (5ème4)'!EN11:EP11,"C"))*2)+((COUNTIF('Elève (5ème4)'!EN11:EP11,"D"))*1))/(COUNTA(EN11:EP11)),"")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(5ème4)'!ES11:EU11,"A"))*4)+((COUNTIF('Elève (5ème4)'!ES11:EU11,"B"))*3)+((COUNTIF('Elève (5ème4)'!ES11:EU11,"C"))*2)+((COUNTIF('Elève (5ème4)'!ES11:EU11,"D"))*1))/(COUNTA(ES11:EU11)),"")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(5ème4)'!EZ11:FB11,"A"))*4)+((COUNTIF('Elève (5ème4)'!EZ11:FB11,"B"))*3)+((COUNTIF('Elève (5ème4)'!EZ11:FB11,"C"))*2)+((COUNTIF('Elève (5ème4)'!EZ11:FB11,"D"))*1))/(COUNTA(EZ11:FB11)),"")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(5ème4)'!FE11:FG11,"A"))*4)+((COUNTIF('Elève (5ème4)'!FE11:FG11,"B"))*3)+((COUNTIF('Elève (5ème4)'!FE11:FG11,"C"))*2)+((COUNTIF('Elève (5ème4)'!FE11:FG11,"D"))*1))/(COUNTA(FE11:FG11)),"")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(5ème4)'!FJ11:FL11,"A"))*4)+((COUNTIF('Elève (5ème4)'!FJ11:FL11,"B"))*3)+((COUNTIF('Elève (5ème4)'!FJ11:FL11,"C"))*2)+((COUNTIF('Elève (5ème4)'!FJ11:FL11,"D"))*1))/(COUNTA(FJ11:FL11)),"")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(5ème4)'!FQ11:FS11,"A"))*4)+((COUNTIF('Elève (5ème4)'!FQ11:FS11,"B"))*3)+((COUNTIF('Elève (5ème4)'!FQ11:FS11,"C"))*2)+((COUNTIF('Elève (5ème4)'!FQ11:FS11,"D"))*1))/(COUNTA(FQ11:FS11)),"")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(5ème4)'!FV11:FX11,"A"))*4)+((COUNTIF('Elève (5ème4)'!FV11:FX11,"B"))*3)+((COUNTIF('Elève (5ème4)'!FV11:FX11,"C"))*2)+((COUNTIF('Elève (5ème4)'!FV11:FX11,"D"))*1))/(COUNTA(FV11:FX11)),"")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(5ème4)'!GA11:GC11,"A"))*4)+((COUNTIF('Elève (5ème4)'!GA11:GC11,"B"))*3)+((COUNTIF('Elève (5ème4)'!GA11:GC11,"C"))*2)+((COUNTIF('Elève (5ème4)'!GA11:GC11,"D"))*1))/(COUNTA(GA11:GC11)),"")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(5ème4)'!GH11:GJ11,"A"))*4)+((COUNTIF('Elève (5ème4)'!GH11:GJ11,"B"))*3)+((COUNTIF('Elève (5ème4)'!GH11:GJ11,"C"))*2)+((COUNTIF('Elève (5ème4)'!GH11:GJ11,"D"))*1))/(COUNTA(GH11:GJ11)),"")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(5ème4)'!GM11:GO11,"A"))*4)+((COUNTIF('Elève (5ème4)'!GM11:GO11,"B"))*3)+((COUNTIF('Elève (5ème4)'!GM11:GO11,"C"))*2)+((COUNTIF('Elève (5ème4)'!GM11:GO11,"D"))*1))/(COUNTA(GM11:GO11)),"")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(5ème4)'!GR11:GT11,"A"))*4)+((COUNTIF('Elève (5ème4)'!GR11:GT11,"B"))*3)+((COUNTIF('Elève (5ème4)'!GR11:GT11,"C"))*2)+((COUNTIF('Elève (5ème4)'!GR11:GT11,"D"))*1))/(COUNTA(GR11:GT11)),"")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(5ème4)'!GY11:HA11,"A"))*4)+((COUNTIF('Elève (5ème4)'!GY11:HA11,"B"))*3)+((COUNTIF('Elève (5ème4)'!GY11:HA11,"C"))*2)+((COUNTIF('Elève (5ème4)'!GY11:HA11,"D"))*1))/(COUNTA(GY11:HA11)),"")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(5ème4)'!HD11:HF11,"A"))*4)+((COUNTIF('Elève (5ème4)'!HD11:HF11,"B"))*3)+((COUNTIF('Elève (5ème4)'!HD11:HF11,"C"))*2)+((COUNTIF('Elève (5ème4)'!HD11:HF11,"D"))*1))/(COUNTA(HD11:HF11)),"")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(5ème4)'!HI11:HK11,"A"))*4)+((COUNTIF('Elève (5ème4)'!HI11:HK11,"B"))*3)+((COUNTIF('Elève (5ème4)'!HI11:HK11,"C"))*2)+((COUNTIF('Elève (5ème4)'!HI11:HK11,"D"))*1))/(COUNTA(HI11:HK11)),"")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(5ème4)'!HP11:HR11,"A"))*4)+((COUNTIF('Elève (5ème4)'!HP11:HR11,"B"))*3)+((COUNTIF('Elève (5ème4)'!HP11:HR11,"C"))*2)+((COUNTIF('Elève (5ème4)'!HP11:HR11,"D"))*1))/(COUNTA(HP11:HR11)),"")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(5ème4)'!HU11:HW11,"A"))*4)+((COUNTIF('Elève (5ème4)'!HU11:HW11,"B"))*3)+((COUNTIF('Elève (5ème4)'!HU11:HW11,"C"))*2)+((COUNTIF('Elève (5ème4)'!HU11:HW11,"D"))*1))/(COUNTA(HU11:HW11)),"")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(5ème4)'!HZ11:IB11,"A"))*4)+((COUNTIF('Elève (5ème4)'!HZ11:IB11,"B"))*3)+((COUNTIF('Elève (5ème4)'!HZ11:IB11,"C"))*2)+((COUNTIF('Elève (5ème4)'!HZ11:IB11,"D"))*1))/(COUNTA(HZ11:IB11)),"")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(5ème4)'!IG11:II11,"A"))*4)+((COUNTIF('Elève (5ème4)'!IG11:II11,"B"))*3)+((COUNTIF('Elève (5ème4)'!IG11:II11,"C"))*2)+((COUNTIF('Elève (5ème4)'!IG11:II11,"D"))*1))/(COUNTA(IG11:II11)),"")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(5ème4)'!IL11:IN11,"A"))*4)+((COUNTIF('Elève (5ème4)'!IL11:IN11,"B"))*3)+((COUNTIF('Elève (5ème4)'!IL11:IN11,"C"))*2)+((COUNTIF('Elève (5ème4)'!IL11:IN11,"D"))*1))/(COUNTA(IL11:IN11)),"")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(5ème4)'!IQ11:IS11,"A"))*4)+((COUNTIF('Elève (5ème4)'!IQ11:IS11,"B"))*3)+((COUNTIF('Elève (5ème4)'!IQ11:IS11,"C"))*2)+((COUNTIF('Elève (5ème4)'!IQ11:IS11,"D"))*1))/(COUNTA(IQ11:IS11)),"")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(5ème4)'!IX11:IZ11,"A"))*4)+((COUNTIF('Elève (5ème4)'!IX11:IZ11,"B"))*3)+((COUNTIF('Elève (5ème4)'!IX11:IZ11,"C"))*2)+((COUNTIF('Elève (5ème4)'!IX11:IZ11,"D"))*1))/(COUNTA(IX11:IZ11)),"")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(5ème4)'!JC11:JE11,"A"))*4)+((COUNTIF('Elève (5ème4)'!JC11:JE11,"B"))*3)+((COUNTIF('Elève (5ème4)'!JC11:JE11,"C"))*2)+((COUNTIF('Elève (5ème4)'!JC11:JE11,"D"))*1))/(COUNTA(JC11:JE11)),"")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(5ème4)'!JH11:JJ11,"A"))*4)+((COUNTIF('Elève (5ème4)'!JH11:JJ11,"B"))*3)+((COUNTIF('Elève (5ème4)'!JH11:JJ11,"C"))*2)+((COUNTIF('Elève (5ème4)'!JH11:JJ11,"D"))*1))/(COUNTA(JH11:JJ11)),"")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(5ème4)'!JO11:JQ11,"A"))*4)+((COUNTIF('Elève (5ème4)'!JO11:JQ11,"B"))*3)+((COUNTIF('Elève (5ème4)'!JO11:JQ11,"C"))*2)+((COUNTIF('Elève (5ème4)'!JO11:JQ11,"D"))*1))/(COUNTA(JO11:JQ11)),"")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(5ème4)'!JT11:JV11,"A"))*4)+((COUNTIF('Elève (5ème4)'!JT11:JV11,"B"))*3)+((COUNTIF('Elève (5ème4)'!JT11:JV11,"C"))*2)+((COUNTIF('Elève (5ème4)'!JT11:JV11,"D"))*1))/(COUNTA(JT11:JV11)),"")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(5ème4)'!JY11:KA11,"A"))*4)+((COUNTIF('Elève (5ème4)'!JY11:KA11,"B"))*3)+((COUNTIF('Elève (5ème4)'!JY11:KA11,"C"))*2)+((COUNTIF('Elève (5ème4)'!JY11:KA11,"D"))*1))/(COUNTA(JY11:KA11)),"")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(5ème4)'!KF11:KH11,"A"))*4)+((COUNTIF('Elève (5ème4)'!KF11:KH11,"B"))*3)+((COUNTIF('Elève (5ème4)'!KF11:KH11,"C"))*2)+((COUNTIF('Elève (5ème4)'!KF11:KH11,"D"))*1))/(COUNTA(KF11:KH11)),"")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(5ème4)'!KK11:KM11,"A"))*4)+((COUNTIF('Elève (5ème4)'!KK11:KM11,"B"))*3)+((COUNTIF('Elève (5ème4)'!KK11:KM11,"C"))*2)+((COUNTIF('Elève (5ème4)'!KK11:KM11,"D"))*1))/(COUNTA(KK11:KM11)),"")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(5ème4)'!KP11:KR11,"A"))*4)+((COUNTIF('Elève (5ème4)'!KP11:KR11,"B"))*3)+((COUNTIF('Elève (5ème4)'!KP11:KR11,"C"))*2)+((COUNTIF('Elève (5ème4)'!KP11:KR11,"D"))*1))/(COUNTA(KP11:KR11)),"")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(5ème4)'!KW11:KY11,"A"))*4)+((COUNTIF('Elève (5ème4)'!KW11:KY11,"B"))*3)+((COUNTIF('Elève (5ème4)'!KW11:KY11,"C"))*2)+((COUNTIF('Elève (5ème4)'!KW11:KY11,"D"))*1))/(COUNTA(KW11:KY11)),"")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(5ème4)'!LB11:LD11,"A"))*4)+((COUNTIF('Elève (5ème4)'!LB11:LD11,"B"))*3)+((COUNTIF('Elève (5ème4)'!LB11:LD11,"C"))*2)+((COUNTIF('Elève (5ème4)'!LB11:LD11,"D"))*1))/(COUNTA(LB11:LD11)),"")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(5ème4)'!LG11:LI11,"A"))*4)+((COUNTIF('Elève (5ème4)'!LG11:LI11,"B"))*3)+((COUNTIF('Elève (5ème4)'!LG11:LI11,"C"))*2)+((COUNTIF('Elève (5ème4)'!LG11:LI11,"D"))*1))/(COUNTA(LG11:LI11)),"")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(5ème4)'!LN11:LP11,"A"))*4)+((COUNTIF('Elève (5ème4)'!LN11:LP11,"B"))*3)+((COUNTIF('Elève (5ème4)'!LN11:LP11,"C"))*2)+((COUNTIF('Elève (5ème4)'!LN11:LP11,"D"))*1))/(COUNTA(LN11:LP11)),"")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(5ème4)'!LS11:LU11,"A"))*4)+((COUNTIF('Elève (5ème4)'!LS11:LU11,"B"))*3)+((COUNTIF('Elève (5ème4)'!LS11:LU11,"C"))*2)+((COUNTIF('Elève (5ème4)'!LS11:LU11,"D"))*1))/(COUNTA(LS11:LU11)),"")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(5ème4)'!LX11:LZ11,"A"))*4)+((COUNTIF('Elève (5ème4)'!LX11:LZ11,"B"))*3)+((COUNTIF('Elève (5ème4)'!LX11:LZ11,"C"))*2)+((COUNTIF('Elève (5ème4)'!LX11:LZ11,"D"))*1))/(COUNTA(LX11:LZ11)),"")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(5ème4)'!ME11:MG11,"A"))*4)+((COUNTIF('Elève (5ème4)'!ME11:MG11,"B"))*3)+((COUNTIF('Elève (5ème4)'!ME11:MG11,"C"))*2)+((COUNTIF('Elève (5ème4)'!ME11:MG11,"D"))*1))/(COUNTA(ME11:MG11)),"")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(5ème4)'!MJ11:ML11,"A"))*4)+((COUNTIF('Elève (5ème4)'!MJ11:ML11,"B"))*3)+((COUNTIF('Elève (5ème4)'!MJ11:ML11,"C"))*2)+((COUNTIF('Elève (5ème4)'!MJ11:ML11,"D"))*1))/(COUNTA(MJ11:ML11)),"")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(5ème4)'!MO11:MQ11,"A"))*4)+((COUNTIF('Elève (5ème4)'!MO11:MQ11,"B"))*3)+((COUNTIF('Elève (5ème4)'!MO11:MQ11,"C"))*2)+((COUNTIF('Elève (5ème4)'!MO11:MQ11,"D"))*1))/(COUNTA(MO11:MQ11)),"")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(5ème4)'!MV11:MX11,"A"))*4)+((COUNTIF('Elève (5ème4)'!MV11:MX11,"B"))*3)+((COUNTIF('Elève (5ème4)'!MV11:MX11,"C"))*2)+((COUNTIF('Elève (5ème4)'!MV11:MX11,"D"))*1))/(COUNTA(MV11:MX11)),"")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(5ème4)'!NA11:NC11,"A"))*4)+((COUNTIF('Elève (5ème4)'!NA11:NC11,"B"))*3)+((COUNTIF('Elève (5ème4)'!NA11:NC11,"C"))*2)+((COUNTIF('Elève (5ème4)'!NA11:NC11,"D"))*1))/(COUNTA(NA11:NC11)),"")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(5ème4)'!NF11:NH11,"A"))*4)+((COUNTIF('Elève (5ème4)'!NF11:NH11,"B"))*3)+((COUNTIF('Elève (5ème4)'!NF11:NH11,"C"))*2)+((COUNTIF('Elève (5ème4)'!NF11:NH11,"D"))*1))/(COUNTA(NF11:NH11)),"")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(5ème4)'!NM11:NO11,"A"))*4)+((COUNTIF('Elève (5ème4)'!NM11:NO11,"B"))*3)+((COUNTIF('Elève (5ème4)'!NM11:NO11,"C"))*2)+((COUNTIF('Elève (5ème4)'!NM11:NO11,"D"))*1))/(COUNTA(NM11:NO11)),"")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(5ème4)'!NR11:NT11,"A"))*4)+((COUNTIF('Elève (5ème4)'!NR11:NT11,"B"))*3)+((COUNTIF('Elève (5ème4)'!NR11:NT11,"C"))*2)+((COUNTIF('Elève (5ème4)'!NR11:NT11,"D"))*1))/(COUNTA(NR11:NT11)),"")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(5ème4)'!NW11:NY11,"A"))*4)+((COUNTIF('Elève (5ème4)'!NW11:NY11,"B"))*3)+((COUNTIF('Elève (5ème4)'!NW11:NY11,"C"))*2)+((COUNTIF('Elève (5ème4)'!NW11:NY11,"D"))*1))/(COUNTA(NW11:NY11)),"")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(5ème4)'!OD11:OF11,"A"))*4)+((COUNTIF('Elève (5ème4)'!OD11:OF11,"B"))*3)+((COUNTIF('Elève (5ème4)'!OD11:OF11,"C"))*2)+((COUNTIF('Elève (5ème4)'!OD11:OF11,"D"))*1))/(COUNTA(OD11:OF11)),"")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(5ème4)'!OI11:OK11,"A"))*4)+((COUNTIF('Elève (5ème4)'!OI11:OK11,"B"))*3)+((COUNTIF('Elève (5ème4)'!OI11:OK11,"C"))*2)+((COUNTIF('Elève (5ème4)'!OI11:OK11,"D"))*1))/(COUNTA(OI11:OK11)),"")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(5ème4)'!ON11:OP11,"A"))*4)+((COUNTIF('Elève (5ème4)'!ON11:OP11,"B"))*3)+((COUNTIF('Elève (5ème4)'!ON11:OP11,"C"))*2)+((COUNTIF('Elève (5ème4)'!ON11:OP11,"D"))*1))/(COUNTA(ON11:OP11)),"")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(5ème4)'!OU11:OW11,"A"))*4)+((COUNTIF('Elève (5ème4)'!OU11:OW11,"B"))*3)+((COUNTIF('Elève (5ème4)'!OU11:OW11,"C"))*2)+((COUNTIF('Elève (5ème4)'!OU11:OW11,"D"))*1))/(COUNTA(OU11:OW11)),"")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(5ème4)'!OZ11:PB11,"A"))*4)+((COUNTIF('Elève (5ème4)'!OZ11:PB11,"B"))*3)+((COUNTIF('Elève (5ème4)'!OZ11:PB11,"C"))*2)+((COUNTIF('Elève (5ème4)'!OZ11:PB11,"D"))*1))/(COUNTA(OZ11:PB11)),"")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(5ème4)'!PE11:PG11,"A"))*4)+((COUNTIF('Elève (5ème4)'!PE11:PG11,"B"))*3)+((COUNTIF('Elève (5ème4)'!PE11:PG11,"C"))*2)+((COUNTIF('Elève (5ème4)'!PE11:PG11,"D"))*1))/(COUNTA(PE11:PG11)),"")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(5ème4)'!PL11:PN11,"A"))*4)+((COUNTIF('Elève (5ème4)'!PL11:PN11,"B"))*3)+((COUNTIF('Elève (5ème4)'!PL11:PN11,"C"))*2)+((COUNTIF('Elève (5ème4)'!PL11:PN11,"D"))*1))/(COUNTA(PL11:PN11)),"")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(5ème4)'!PQ11:PS11,"A"))*4)+((COUNTIF('Elève (5ème4)'!PQ11:PS11,"B"))*3)+((COUNTIF('Elève (5ème4)'!PQ11:PS11,"C"))*2)+((COUNTIF('Elève (5ème4)'!PQ11:PS11,"D"))*1))/(COUNTA(PQ11:PS11)),"")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(5ème4)'!PV11:PX11,"A"))*4)+((COUNTIF('Elève (5ème4)'!PV11:PX11,"B"))*3)+((COUNTIF('Elève (5ème4)'!PV11:PX11,"C"))*2)+((COUNTIF('Elève (5ème4)'!PV11:PX11,"D"))*1))/(COUNTA(PV11:PX11)),"")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(5ème4)'!QC11:QE11,"A"))*4)+((COUNTIF('Elève (5ème4)'!QC11:QE11,"B"))*3)+((COUNTIF('Elève (5ème4)'!QC11:QE11,"C"))*2)+((COUNTIF('Elève (5ème4)'!QC11:QE11,"D"))*1))/(COUNTA(QC11:QE11)),"")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(5ème4)'!QH11:QJ11,"A"))*4)+((COUNTIF('Elève (5ème4)'!QH11:QJ11,"B"))*3)+((COUNTIF('Elève (5ème4)'!QH11:QJ11,"C"))*2)+((COUNTIF('Elève (5ème4)'!QH11:QJ11,"D"))*1))/(COUNTA(QH11:QJ11)),"")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(5ème4)'!QM11:QO11,"A"))*4)+((COUNTIF('Elève (5ème4)'!QM11:QO11,"B"))*3)+((COUNTIF('Elève (5ème4)'!QM11:QO11,"C"))*2)+((COUNTIF('Elève (5ème4)'!QM11:QO11,"D"))*1))/(COUNTA(QM11:QO11)),"")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(5ème4)'!QT11:QV11,"A"))*4)+((COUNTIF('Elève (5ème4)'!QT11:QV11,"B"))*3)+((COUNTIF('Elève (5ème4)'!QT11:QV11,"C"))*2)+((COUNTIF('Elève (5ème4)'!QT11:QV11,"D"))*1))/(COUNTA(QT11:QV11)),"")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(5ème4)'!QY11:RA11,"A"))*4)+((COUNTIF('Elève (5ème4)'!QY11:RA11,"B"))*3)+((COUNTIF('Elève (5ème4)'!QY11:RA11,"C"))*2)+((COUNTIF('Elève (5ème4)'!QY11:RA11,"D"))*1))/(COUNTA(QY11:RA11)),"")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(5ème4)'!RD11:RF11,"A"))*4)+((COUNTIF('Elève (5ème4)'!RD11:RF11,"B"))*3)+((COUNTIF('Elève (5ème4)'!RD11:RF11,"C"))*2)+((COUNTIF('Elève (5ème4)'!RD11:RF11,"D"))*1))/(COUNTA(RD11:RF11)),"")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(5ème4)'!RK11:RM11,"A"))*4)+((COUNTIF('Elève (5ème4)'!RK11:RM11,"B"))*3)+((COUNTIF('Elève (5ème4)'!RK11:RM11,"C"))*2)+((COUNTIF('Elève (5ème4)'!RK11:RM11,"D"))*1))/(COUNTA(RK11:RM11)),"")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(5ème4)'!RP11:RR11,"A"))*4)+((COUNTIF('Elève (5ème4)'!RP11:RR11,"B"))*3)+((COUNTIF('Elève (5ème4)'!RP11:RR11,"C"))*2)+((COUNTIF('Elève (5ème4)'!RP11:RR11,"D"))*1))/(COUNTA(RP11:RR11)),"")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(5ème4)'!RU11:RW11,"A"))*4)+((COUNTIF('Elève (5ème4)'!RU11:RW11,"B"))*3)+((COUNTIF('Elève (5ème4)'!RU11:RW11,"C"))*2)+((COUNTIF('Elève (5ème4)'!RU11:RW11,"D"))*1))/(COUNTA(RU11:RW11)),"")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(5ème4)'!SB11:SD11,"A"))*4)+((COUNTIF('Elève (5ème4)'!SB11:SD11,"B"))*3)+((COUNTIF('Elève (5ème4)'!SB11:SD11,"C"))*2)+((COUNTIF('Elève (5ème4)'!SB11:SD11,"D"))*1))/(COUNTA(SB11:SD11)),"")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(5ème4)'!SG11:SI11,"A"))*4)+((COUNTIF('Elève (5ème4)'!SG11:SI11,"B"))*3)+((COUNTIF('Elève (5ème4)'!SG11:SI11,"C"))*2)+((COUNTIF('Elève (5ème4)'!SG11:SI11,"D"))*1))/(COUNTA(SG11:SI11)),"")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(5ème4)'!SL11:SN11,"A"))*4)+((COUNTIF('Elève (5ème4)'!SL11:SN11,"B"))*3)+((COUNTIF('Elève (5ème4)'!SL11:SN11,"C"))*2)+((COUNTIF('Elève (5ème4)'!SL11:SN11,"D"))*1))/(COUNTA(SL11:SN11)),"")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25" t="s">
        <v>45</v>
      </c>
      <c r="B12" s="226"/>
      <c r="C12" s="159"/>
      <c r="D12" s="160"/>
      <c r="E12" s="161"/>
      <c r="F12" s="112" t="str">
        <f>IFERROR((((COUNTIF('Elève (5ème4)'!C12:E12,"A"))*4)+((COUNTIF('Elève (5ème4)'!C12:E12,"B"))*3)+((COUNTIF('Elève (5ème4)'!C12:E12,"C"))*2)+((COUNTIF('Elève (5ème4)'!C12:E12,"D"))*1))/(COUNTA(C12:E12)),"")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(5ème4)'!H12:J12,"A"))*4)+((COUNTIF('Elève (5ème4)'!H12:J12,"B"))*3)+((COUNTIF('Elève (5ème4)'!H12:J12,"C"))*2)+((COUNTIF('Elève (5ème4)'!H12:J12,"D"))*1))/(COUNTA(H12:J12)),"")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(5ème4)'!M12:O12,"A"))*4)+((COUNTIF('Elève (5ème4)'!M12:O12,"B"))*3)+((COUNTIF('Elève (5ème4)'!M12:O12,"C"))*2)+((COUNTIF('Elève (5ème4)'!M12:O12,"D"))*1))/(COUNTA(M12:O12)),"")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(5ème4)'!T12:V12,"A"))*4)+((COUNTIF('Elève (5ème4)'!T12:V12,"B"))*3)+((COUNTIF('Elève (5ème4)'!T12:V12,"C"))*2)+((COUNTIF('Elève (5ème4)'!T12:V12,"D"))*1))/(COUNTA(T12:V12)),"")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(5ème4)'!Y12:AA12,"A"))*4)+((COUNTIF('Elève (5ème4)'!Y12:AA12,"B"))*3)+((COUNTIF('Elève (5ème4)'!Y12:AA12,"C"))*2)+((COUNTIF('Elève (5ème4)'!Y12:AA12,"D"))*1))/(COUNTA(Y12:AA12)),"")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(5ème4)'!AD12:AF12,"A"))*4)+((COUNTIF('Elève (5ème4)'!AD12:AF12,"B"))*3)+((COUNTIF('Elève (5ème4)'!AD12:AF12,"C"))*2)+((COUNTIF('Elève (5ème4)'!AD12:AF12,"D"))*1))/(COUNTA(AD12:AF12)),"")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(5ème4)'!AK12:AM12,"A"))*4)+((COUNTIF('Elève (5ème4)'!AK12:AM12,"B"))*3)+((COUNTIF('Elève (5ème4)'!AK12:AM12,"C"))*2)+((COUNTIF('Elève (5ème4)'!AK12:AM12,"D"))*1))/(COUNTA(AK12:AM12)),"")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(5ème4)'!AP12:AR12,"A"))*4)+((COUNTIF('Elève (5ème4)'!AP12:AR12,"B"))*3)+((COUNTIF('Elève (5ème4)'!AP12:AR12,"C"))*2)+((COUNTIF('Elève (5ème4)'!AP12:AR12,"D"))*1))/(COUNTA(AP12:AR12)),"")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(5ème4)'!AU12:AW12,"A"))*4)+((COUNTIF('Elève (5ème4)'!AU12:AW12,"B"))*3)+((COUNTIF('Elève (5ème4)'!AU12:AW12,"C"))*2)+((COUNTIF('Elève (5ème4)'!AU12:AW12,"D"))*1))/(COUNTA(AU12:AW12)),"")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(5ème4)'!BB12:BD12,"A"))*4)+((COUNTIF('Elève (5ème4)'!BB12:BD12,"B"))*3)+((COUNTIF('Elève (5ème4)'!BB12:BD12,"C"))*2)+((COUNTIF('Elève (5ème4)'!BB12:BD12,"D"))*1))/(COUNTA(BB12:BD12)),"")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(5ème4)'!BG12:BI12,"A"))*4)+((COUNTIF('Elève (5ème4)'!BG12:BI12,"B"))*3)+((COUNTIF('Elève (5ème4)'!BG12:BI12,"C"))*2)+((COUNTIF('Elève (5ème4)'!BG12:BI12,"D"))*1))/(COUNTA(BG12:BI12)),"")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(5ème4)'!BL12:BN12,"A"))*4)+((COUNTIF('Elève (5ème4)'!BL12:BN12,"B"))*3)+((COUNTIF('Elève (5ème4)'!BL12:BN12,"C"))*2)+((COUNTIF('Elève (5ème4)'!BL12:BN12,"D"))*1))/(COUNTA(BL12:BN12)),"")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(5ème4)'!BS12:BU12,"A"))*4)+((COUNTIF('Elève (5ème4)'!BS12:BU12,"B"))*3)+((COUNTIF('Elève (5ème4)'!BS12:BU12,"C"))*2)+((COUNTIF('Elève (5ème4)'!BS12:BU12,"D"))*1))/(COUNTA(BS12:BU12)),"")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(5ème4)'!BX12:BZ12,"A"))*4)+((COUNTIF('Elève (5ème4)'!BX12:BZ12,"B"))*3)+((COUNTIF('Elève (5ème4)'!BX12:BZ12,"C"))*2)+((COUNTIF('Elève (5ème4)'!BX12:BZ12,"D"))*1))/(COUNTA(BX12:BZ12)),"")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(5ème4)'!CC12:CE12,"A"))*4)+((COUNTIF('Elève (5ème4)'!CC12:CE12,"B"))*3)+((COUNTIF('Elève (5ème4)'!CC12:CE12,"C"))*2)+((COUNTIF('Elève (5ème4)'!CC12:CE12,"D"))*1))/(COUNTA(CC12:CE12)),"")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(5ème4)'!CJ12:CL12,"A"))*4)+((COUNTIF('Elève (5ème4)'!CJ12:CL12,"B"))*3)+((COUNTIF('Elève (5ème4)'!CJ12:CL12,"C"))*2)+((COUNTIF('Elève (5ème4)'!CJ12:CL12,"D"))*1))/(COUNTA(CJ12:CL12)),"")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(5ème4)'!CO12:CQ12,"A"))*4)+((COUNTIF('Elève (5ème4)'!CO12:CQ12,"B"))*3)+((COUNTIF('Elève (5ème4)'!CO12:CQ12,"C"))*2)+((COUNTIF('Elève (5ème4)'!CO12:CQ12,"D"))*1))/(COUNTA(CO12:CQ12)),"")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(5ème4)'!CT12:CV12,"A"))*4)+((COUNTIF('Elève (5ème4)'!CT12:CV12,"B"))*3)+((COUNTIF('Elève (5ème4)'!CT12:CV12,"C"))*2)+((COUNTIF('Elève (5ème4)'!CT12:CV12,"D"))*1))/(COUNTA(CT12:CV12)),"")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(5ème4)'!DA12:DC12,"A"))*4)+((COUNTIF('Elève (5ème4)'!DA12:DC12,"B"))*3)+((COUNTIF('Elève (5ème4)'!DA12:DC12,"C"))*2)+((COUNTIF('Elève (5ème4)'!DA12:DC12,"D"))*1))/(COUNTA(DA12:DC12)),"")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(5ème4)'!DF12:DH12,"A"))*4)+((COUNTIF('Elève (5ème4)'!DF12:DH12,"B"))*3)+((COUNTIF('Elève (5ème4)'!DF12:DH12,"C"))*2)+((COUNTIF('Elève (5ème4)'!DF12:DH12,"D"))*1))/(COUNTA(DF12:DH12)),"")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(5ème4)'!DK12:DM12,"A"))*4)+((COUNTIF('Elève (5ème4)'!DK12:DM12,"B"))*3)+((COUNTIF('Elève (5ème4)'!DK12:DM12,"C"))*2)+((COUNTIF('Elève (5ème4)'!DK12:DM12,"D"))*1))/(COUNTA(DK12:DM12)),"")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(5ème4)'!DR12:DT12,"A"))*4)+((COUNTIF('Elève (5ème4)'!DR12:DT12,"B"))*3)+((COUNTIF('Elève (5ème4)'!DR12:DT12,"C"))*2)+((COUNTIF('Elève (5ème4)'!DR12:DT12,"D"))*1))/(COUNTA(DR12:DT12)),"")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(5ème4)'!DW12:DY12,"A"))*4)+((COUNTIF('Elève (5ème4)'!DW12:DY12,"B"))*3)+((COUNTIF('Elève (5ème4)'!DW12:DY12,"C"))*2)+((COUNTIF('Elève (5ème4)'!DW12:DY12,"D"))*1))/(COUNTA(DW12:DY12)),"")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(5ème4)'!EB12:ED12,"A"))*4)+((COUNTIF('Elève (5ème4)'!EB12:ED12,"B"))*3)+((COUNTIF('Elève (5ème4)'!EB12:ED12,"C"))*2)+((COUNTIF('Elève (5ème4)'!EB12:ED12,"D"))*1))/(COUNTA(EB12:ED12)),"")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(5ème4)'!EI12:EK12,"A"))*4)+((COUNTIF('Elève (5ème4)'!EI12:EK12,"B"))*3)+((COUNTIF('Elève (5ème4)'!EI12:EK12,"C"))*2)+((COUNTIF('Elève (5ème4)'!EI12:EK12,"D"))*1))/(COUNTA(EI12:EK12)),"")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(5ème4)'!EN12:EP12,"A"))*4)+((COUNTIF('Elève (5ème4)'!EN12:EP12,"B"))*3)+((COUNTIF('Elève (5ème4)'!EN12:EP12,"C"))*2)+((COUNTIF('Elève (5ème4)'!EN12:EP12,"D"))*1))/(COUNTA(EN12:EP12)),"")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(5ème4)'!ES12:EU12,"A"))*4)+((COUNTIF('Elève (5ème4)'!ES12:EU12,"B"))*3)+((COUNTIF('Elève (5ème4)'!ES12:EU12,"C"))*2)+((COUNTIF('Elève (5ème4)'!ES12:EU12,"D"))*1))/(COUNTA(ES12:EU12)),"")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(5ème4)'!EZ12:FB12,"A"))*4)+((COUNTIF('Elève (5ème4)'!EZ12:FB12,"B"))*3)+((COUNTIF('Elève (5ème4)'!EZ12:FB12,"C"))*2)+((COUNTIF('Elève (5ème4)'!EZ12:FB12,"D"))*1))/(COUNTA(EZ12:FB12)),"")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(5ème4)'!FE12:FG12,"A"))*4)+((COUNTIF('Elève (5ème4)'!FE12:FG12,"B"))*3)+((COUNTIF('Elève (5ème4)'!FE12:FG12,"C"))*2)+((COUNTIF('Elève (5ème4)'!FE12:FG12,"D"))*1))/(COUNTA(FE12:FG12)),"")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(5ème4)'!FJ12:FL12,"A"))*4)+((COUNTIF('Elève (5ème4)'!FJ12:FL12,"B"))*3)+((COUNTIF('Elève (5ème4)'!FJ12:FL12,"C"))*2)+((COUNTIF('Elève (5ème4)'!FJ12:FL12,"D"))*1))/(COUNTA(FJ12:FL12)),"")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(5ème4)'!FQ12:FS12,"A"))*4)+((COUNTIF('Elève (5ème4)'!FQ12:FS12,"B"))*3)+((COUNTIF('Elève (5ème4)'!FQ12:FS12,"C"))*2)+((COUNTIF('Elève (5ème4)'!FQ12:FS12,"D"))*1))/(COUNTA(FQ12:FS12)),"")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(5ème4)'!FV12:FX12,"A"))*4)+((COUNTIF('Elève (5ème4)'!FV12:FX12,"B"))*3)+((COUNTIF('Elève (5ème4)'!FV12:FX12,"C"))*2)+((COUNTIF('Elève (5ème4)'!FV12:FX12,"D"))*1))/(COUNTA(FV12:FX12)),"")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(5ème4)'!GA12:GC12,"A"))*4)+((COUNTIF('Elève (5ème4)'!GA12:GC12,"B"))*3)+((COUNTIF('Elève (5ème4)'!GA12:GC12,"C"))*2)+((COUNTIF('Elève (5ème4)'!GA12:GC12,"D"))*1))/(COUNTA(GA12:GC12)),"")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(5ème4)'!GH12:GJ12,"A"))*4)+((COUNTIF('Elève (5ème4)'!GH12:GJ12,"B"))*3)+((COUNTIF('Elève (5ème4)'!GH12:GJ12,"C"))*2)+((COUNTIF('Elève (5ème4)'!GH12:GJ12,"D"))*1))/(COUNTA(GH12:GJ12)),"")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(5ème4)'!GM12:GO12,"A"))*4)+((COUNTIF('Elève (5ème4)'!GM12:GO12,"B"))*3)+((COUNTIF('Elève (5ème4)'!GM12:GO12,"C"))*2)+((COUNTIF('Elève (5ème4)'!GM12:GO12,"D"))*1))/(COUNTA(GM12:GO12)),"")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(5ème4)'!GR12:GT12,"A"))*4)+((COUNTIF('Elève (5ème4)'!GR12:GT12,"B"))*3)+((COUNTIF('Elève (5ème4)'!GR12:GT12,"C"))*2)+((COUNTIF('Elève (5ème4)'!GR12:GT12,"D"))*1))/(COUNTA(GR12:GT12)),"")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(5ème4)'!GY12:HA12,"A"))*4)+((COUNTIF('Elève (5ème4)'!GY12:HA12,"B"))*3)+((COUNTIF('Elève (5ème4)'!GY12:HA12,"C"))*2)+((COUNTIF('Elève (5ème4)'!GY12:HA12,"D"))*1))/(COUNTA(GY12:HA12)),"")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(5ème4)'!HD12:HF12,"A"))*4)+((COUNTIF('Elève (5ème4)'!HD12:HF12,"B"))*3)+((COUNTIF('Elève (5ème4)'!HD12:HF12,"C"))*2)+((COUNTIF('Elève (5ème4)'!HD12:HF12,"D"))*1))/(COUNTA(HD12:HF12)),"")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(5ème4)'!HI12:HK12,"A"))*4)+((COUNTIF('Elève (5ème4)'!HI12:HK12,"B"))*3)+((COUNTIF('Elève (5ème4)'!HI12:HK12,"C"))*2)+((COUNTIF('Elève (5ème4)'!HI12:HK12,"D"))*1))/(COUNTA(HI12:HK12)),"")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(5ème4)'!HP12:HR12,"A"))*4)+((COUNTIF('Elève (5ème4)'!HP12:HR12,"B"))*3)+((COUNTIF('Elève (5ème4)'!HP12:HR12,"C"))*2)+((COUNTIF('Elève (5ème4)'!HP12:HR12,"D"))*1))/(COUNTA(HP12:HR12)),"")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(5ème4)'!HU12:HW12,"A"))*4)+((COUNTIF('Elève (5ème4)'!HU12:HW12,"B"))*3)+((COUNTIF('Elève (5ème4)'!HU12:HW12,"C"))*2)+((COUNTIF('Elève (5ème4)'!HU12:HW12,"D"))*1))/(COUNTA(HU12:HW12)),"")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(5ème4)'!HZ12:IB12,"A"))*4)+((COUNTIF('Elève (5ème4)'!HZ12:IB12,"B"))*3)+((COUNTIF('Elève (5ème4)'!HZ12:IB12,"C"))*2)+((COUNTIF('Elève (5ème4)'!HZ12:IB12,"D"))*1))/(COUNTA(HZ12:IB12)),"")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(5ème4)'!IG12:II12,"A"))*4)+((COUNTIF('Elève (5ème4)'!IG12:II12,"B"))*3)+((COUNTIF('Elève (5ème4)'!IG12:II12,"C"))*2)+((COUNTIF('Elève (5ème4)'!IG12:II12,"D"))*1))/(COUNTA(IG12:II12)),"")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(5ème4)'!IL12:IN12,"A"))*4)+((COUNTIF('Elève (5ème4)'!IL12:IN12,"B"))*3)+((COUNTIF('Elève (5ème4)'!IL12:IN12,"C"))*2)+((COUNTIF('Elève (5ème4)'!IL12:IN12,"D"))*1))/(COUNTA(IL12:IN12)),"")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(5ème4)'!IQ12:IS12,"A"))*4)+((COUNTIF('Elève (5ème4)'!IQ12:IS12,"B"))*3)+((COUNTIF('Elève (5ème4)'!IQ12:IS12,"C"))*2)+((COUNTIF('Elève (5ème4)'!IQ12:IS12,"D"))*1))/(COUNTA(IQ12:IS12)),"")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(5ème4)'!IX12:IZ12,"A"))*4)+((COUNTIF('Elève (5ème4)'!IX12:IZ12,"B"))*3)+((COUNTIF('Elève (5ème4)'!IX12:IZ12,"C"))*2)+((COUNTIF('Elève (5ème4)'!IX12:IZ12,"D"))*1))/(COUNTA(IX12:IZ12)),"")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(5ème4)'!JC12:JE12,"A"))*4)+((COUNTIF('Elève (5ème4)'!JC12:JE12,"B"))*3)+((COUNTIF('Elève (5ème4)'!JC12:JE12,"C"))*2)+((COUNTIF('Elève (5ème4)'!JC12:JE12,"D"))*1))/(COUNTA(JC12:JE12)),"")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(5ème4)'!JH12:JJ12,"A"))*4)+((COUNTIF('Elève (5ème4)'!JH12:JJ12,"B"))*3)+((COUNTIF('Elève (5ème4)'!JH12:JJ12,"C"))*2)+((COUNTIF('Elève (5ème4)'!JH12:JJ12,"D"))*1))/(COUNTA(JH12:JJ12)),"")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(5ème4)'!JO12:JQ12,"A"))*4)+((COUNTIF('Elève (5ème4)'!JO12:JQ12,"B"))*3)+((COUNTIF('Elève (5ème4)'!JO12:JQ12,"C"))*2)+((COUNTIF('Elève (5ème4)'!JO12:JQ12,"D"))*1))/(COUNTA(JO12:JQ12)),"")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(5ème4)'!JT12:JV12,"A"))*4)+((COUNTIF('Elève (5ème4)'!JT12:JV12,"B"))*3)+((COUNTIF('Elève (5ème4)'!JT12:JV12,"C"))*2)+((COUNTIF('Elève (5ème4)'!JT12:JV12,"D"))*1))/(COUNTA(JT12:JV12)),"")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(5ème4)'!JY12:KA12,"A"))*4)+((COUNTIF('Elève (5ème4)'!JY12:KA12,"B"))*3)+((COUNTIF('Elève (5ème4)'!JY12:KA12,"C"))*2)+((COUNTIF('Elève (5ème4)'!JY12:KA12,"D"))*1))/(COUNTA(JY12:KA12)),"")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(5ème4)'!KF12:KH12,"A"))*4)+((COUNTIF('Elève (5ème4)'!KF12:KH12,"B"))*3)+((COUNTIF('Elève (5ème4)'!KF12:KH12,"C"))*2)+((COUNTIF('Elève (5ème4)'!KF12:KH12,"D"))*1))/(COUNTA(KF12:KH12)),"")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(5ème4)'!KK12:KM12,"A"))*4)+((COUNTIF('Elève (5ème4)'!KK12:KM12,"B"))*3)+((COUNTIF('Elève (5ème4)'!KK12:KM12,"C"))*2)+((COUNTIF('Elève (5ème4)'!KK12:KM12,"D"))*1))/(COUNTA(KK12:KM12)),"")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(5ème4)'!KP12:KR12,"A"))*4)+((COUNTIF('Elève (5ème4)'!KP12:KR12,"B"))*3)+((COUNTIF('Elève (5ème4)'!KP12:KR12,"C"))*2)+((COUNTIF('Elève (5ème4)'!KP12:KR12,"D"))*1))/(COUNTA(KP12:KR12)),"")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(5ème4)'!KW12:KY12,"A"))*4)+((COUNTIF('Elève (5ème4)'!KW12:KY12,"B"))*3)+((COUNTIF('Elève (5ème4)'!KW12:KY12,"C"))*2)+((COUNTIF('Elève (5ème4)'!KW12:KY12,"D"))*1))/(COUNTA(KW12:KY12)),"")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(5ème4)'!LB12:LD12,"A"))*4)+((COUNTIF('Elève (5ème4)'!LB12:LD12,"B"))*3)+((COUNTIF('Elève (5ème4)'!LB12:LD12,"C"))*2)+((COUNTIF('Elève (5ème4)'!LB12:LD12,"D"))*1))/(COUNTA(LB12:LD12)),"")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(5ème4)'!LG12:LI12,"A"))*4)+((COUNTIF('Elève (5ème4)'!LG12:LI12,"B"))*3)+((COUNTIF('Elève (5ème4)'!LG12:LI12,"C"))*2)+((COUNTIF('Elève (5ème4)'!LG12:LI12,"D"))*1))/(COUNTA(LG12:LI12)),"")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(5ème4)'!LN12:LP12,"A"))*4)+((COUNTIF('Elève (5ème4)'!LN12:LP12,"B"))*3)+((COUNTIF('Elève (5ème4)'!LN12:LP12,"C"))*2)+((COUNTIF('Elève (5ème4)'!LN12:LP12,"D"))*1))/(COUNTA(LN12:LP12)),"")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(5ème4)'!LS12:LU12,"A"))*4)+((COUNTIF('Elève (5ème4)'!LS12:LU12,"B"))*3)+((COUNTIF('Elève (5ème4)'!LS12:LU12,"C"))*2)+((COUNTIF('Elève (5ème4)'!LS12:LU12,"D"))*1))/(COUNTA(LS12:LU12)),"")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(5ème4)'!LX12:LZ12,"A"))*4)+((COUNTIF('Elève (5ème4)'!LX12:LZ12,"B"))*3)+((COUNTIF('Elève (5ème4)'!LX12:LZ12,"C"))*2)+((COUNTIF('Elève (5ème4)'!LX12:LZ12,"D"))*1))/(COUNTA(LX12:LZ12)),"")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(5ème4)'!ME12:MG12,"A"))*4)+((COUNTIF('Elève (5ème4)'!ME12:MG12,"B"))*3)+((COUNTIF('Elève (5ème4)'!ME12:MG12,"C"))*2)+((COUNTIF('Elève (5ème4)'!ME12:MG12,"D"))*1))/(COUNTA(ME12:MG12)),"")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(5ème4)'!MJ12:ML12,"A"))*4)+((COUNTIF('Elève (5ème4)'!MJ12:ML12,"B"))*3)+((COUNTIF('Elève (5ème4)'!MJ12:ML12,"C"))*2)+((COUNTIF('Elève (5ème4)'!MJ12:ML12,"D"))*1))/(COUNTA(MJ12:ML12)),"")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(5ème4)'!MO12:MQ12,"A"))*4)+((COUNTIF('Elève (5ème4)'!MO12:MQ12,"B"))*3)+((COUNTIF('Elève (5ème4)'!MO12:MQ12,"C"))*2)+((COUNTIF('Elève (5ème4)'!MO12:MQ12,"D"))*1))/(COUNTA(MO12:MQ12)),"")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(5ème4)'!MV12:MX12,"A"))*4)+((COUNTIF('Elève (5ème4)'!MV12:MX12,"B"))*3)+((COUNTIF('Elève (5ème4)'!MV12:MX12,"C"))*2)+((COUNTIF('Elève (5ème4)'!MV12:MX12,"D"))*1))/(COUNTA(MV12:MX12)),"")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(5ème4)'!NA12:NC12,"A"))*4)+((COUNTIF('Elève (5ème4)'!NA12:NC12,"B"))*3)+((COUNTIF('Elève (5ème4)'!NA12:NC12,"C"))*2)+((COUNTIF('Elève (5ème4)'!NA12:NC12,"D"))*1))/(COUNTA(NA12:NC12)),"")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(5ème4)'!NF12:NH12,"A"))*4)+((COUNTIF('Elève (5ème4)'!NF12:NH12,"B"))*3)+((COUNTIF('Elève (5ème4)'!NF12:NH12,"C"))*2)+((COUNTIF('Elève (5ème4)'!NF12:NH12,"D"))*1))/(COUNTA(NF12:NH12)),"")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(5ème4)'!NM12:NO12,"A"))*4)+((COUNTIF('Elève (5ème4)'!NM12:NO12,"B"))*3)+((COUNTIF('Elève (5ème4)'!NM12:NO12,"C"))*2)+((COUNTIF('Elève (5ème4)'!NM12:NO12,"D"))*1))/(COUNTA(NM12:NO12)),"")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(5ème4)'!NR12:NT12,"A"))*4)+((COUNTIF('Elève (5ème4)'!NR12:NT12,"B"))*3)+((COUNTIF('Elève (5ème4)'!NR12:NT12,"C"))*2)+((COUNTIF('Elève (5ème4)'!NR12:NT12,"D"))*1))/(COUNTA(NR12:NT12)),"")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(5ème4)'!NW12:NY12,"A"))*4)+((COUNTIF('Elève (5ème4)'!NW12:NY12,"B"))*3)+((COUNTIF('Elève (5ème4)'!NW12:NY12,"C"))*2)+((COUNTIF('Elève (5ème4)'!NW12:NY12,"D"))*1))/(COUNTA(NW12:NY12)),"")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(5ème4)'!OD12:OF12,"A"))*4)+((COUNTIF('Elève (5ème4)'!OD12:OF12,"B"))*3)+((COUNTIF('Elève (5ème4)'!OD12:OF12,"C"))*2)+((COUNTIF('Elève (5ème4)'!OD12:OF12,"D"))*1))/(COUNTA(OD12:OF12)),"")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(5ème4)'!OI12:OK12,"A"))*4)+((COUNTIF('Elève (5ème4)'!OI12:OK12,"B"))*3)+((COUNTIF('Elève (5ème4)'!OI12:OK12,"C"))*2)+((COUNTIF('Elève (5ème4)'!OI12:OK12,"D"))*1))/(COUNTA(OI12:OK12)),"")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(5ème4)'!ON12:OP12,"A"))*4)+((COUNTIF('Elève (5ème4)'!ON12:OP12,"B"))*3)+((COUNTIF('Elève (5ème4)'!ON12:OP12,"C"))*2)+((COUNTIF('Elève (5ème4)'!ON12:OP12,"D"))*1))/(COUNTA(ON12:OP12)),"")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(5ème4)'!OU12:OW12,"A"))*4)+((COUNTIF('Elève (5ème4)'!OU12:OW12,"B"))*3)+((COUNTIF('Elève (5ème4)'!OU12:OW12,"C"))*2)+((COUNTIF('Elève (5ème4)'!OU12:OW12,"D"))*1))/(COUNTA(OU12:OW12)),"")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(5ème4)'!OZ12:PB12,"A"))*4)+((COUNTIF('Elève (5ème4)'!OZ12:PB12,"B"))*3)+((COUNTIF('Elève (5ème4)'!OZ12:PB12,"C"))*2)+((COUNTIF('Elève (5ème4)'!OZ12:PB12,"D"))*1))/(COUNTA(OZ12:PB12)),"")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(5ème4)'!PE12:PG12,"A"))*4)+((COUNTIF('Elève (5ème4)'!PE12:PG12,"B"))*3)+((COUNTIF('Elève (5ème4)'!PE12:PG12,"C"))*2)+((COUNTIF('Elève (5ème4)'!PE12:PG12,"D"))*1))/(COUNTA(PE12:PG12)),"")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(5ème4)'!PL12:PN12,"A"))*4)+((COUNTIF('Elève (5ème4)'!PL12:PN12,"B"))*3)+((COUNTIF('Elève (5ème4)'!PL12:PN12,"C"))*2)+((COUNTIF('Elève (5ème4)'!PL12:PN12,"D"))*1))/(COUNTA(PL12:PN12)),"")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(5ème4)'!PQ12:PS12,"A"))*4)+((COUNTIF('Elève (5ème4)'!PQ12:PS12,"B"))*3)+((COUNTIF('Elève (5ème4)'!PQ12:PS12,"C"))*2)+((COUNTIF('Elève (5ème4)'!PQ12:PS12,"D"))*1))/(COUNTA(PQ12:PS12)),"")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(5ème4)'!PV12:PX12,"A"))*4)+((COUNTIF('Elève (5ème4)'!PV12:PX12,"B"))*3)+((COUNTIF('Elève (5ème4)'!PV12:PX12,"C"))*2)+((COUNTIF('Elève (5ème4)'!PV12:PX12,"D"))*1))/(COUNTA(PV12:PX12)),"")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(5ème4)'!QC12:QE12,"A"))*4)+((COUNTIF('Elève (5ème4)'!QC12:QE12,"B"))*3)+((COUNTIF('Elève (5ème4)'!QC12:QE12,"C"))*2)+((COUNTIF('Elève (5ème4)'!QC12:QE12,"D"))*1))/(COUNTA(QC12:QE12)),"")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(5ème4)'!QH12:QJ12,"A"))*4)+((COUNTIF('Elève (5ème4)'!QH12:QJ12,"B"))*3)+((COUNTIF('Elève (5ème4)'!QH12:QJ12,"C"))*2)+((COUNTIF('Elève (5ème4)'!QH12:QJ12,"D"))*1))/(COUNTA(QH12:QJ12)),"")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(5ème4)'!QM12:QO12,"A"))*4)+((COUNTIF('Elève (5ème4)'!QM12:QO12,"B"))*3)+((COUNTIF('Elève (5ème4)'!QM12:QO12,"C"))*2)+((COUNTIF('Elève (5ème4)'!QM12:QO12,"D"))*1))/(COUNTA(QM12:QO12)),"")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(5ème4)'!QT12:QV12,"A"))*4)+((COUNTIF('Elève (5ème4)'!QT12:QV12,"B"))*3)+((COUNTIF('Elève (5ème4)'!QT12:QV12,"C"))*2)+((COUNTIF('Elève (5ème4)'!QT12:QV12,"D"))*1))/(COUNTA(QT12:QV12)),"")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(5ème4)'!QY12:RA12,"A"))*4)+((COUNTIF('Elève (5ème4)'!QY12:RA12,"B"))*3)+((COUNTIF('Elève (5ème4)'!QY12:RA12,"C"))*2)+((COUNTIF('Elève (5ème4)'!QY12:RA12,"D"))*1))/(COUNTA(QY12:RA12)),"")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(5ème4)'!RD12:RF12,"A"))*4)+((COUNTIF('Elève (5ème4)'!RD12:RF12,"B"))*3)+((COUNTIF('Elève (5ème4)'!RD12:RF12,"C"))*2)+((COUNTIF('Elève (5ème4)'!RD12:RF12,"D"))*1))/(COUNTA(RD12:RF12)),"")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(5ème4)'!RK12:RM12,"A"))*4)+((COUNTIF('Elève (5ème4)'!RK12:RM12,"B"))*3)+((COUNTIF('Elève (5ème4)'!RK12:RM12,"C"))*2)+((COUNTIF('Elève (5ème4)'!RK12:RM12,"D"))*1))/(COUNTA(RK12:RM12)),"")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(5ème4)'!RP12:RR12,"A"))*4)+((COUNTIF('Elève (5ème4)'!RP12:RR12,"B"))*3)+((COUNTIF('Elève (5ème4)'!RP12:RR12,"C"))*2)+((COUNTIF('Elève (5ème4)'!RP12:RR12,"D"))*1))/(COUNTA(RP12:RR12)),"")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(5ème4)'!RU12:RW12,"A"))*4)+((COUNTIF('Elève (5ème4)'!RU12:RW12,"B"))*3)+((COUNTIF('Elève (5ème4)'!RU12:RW12,"C"))*2)+((COUNTIF('Elève (5ème4)'!RU12:RW12,"D"))*1))/(COUNTA(RU12:RW12)),"")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(5ème4)'!SB12:SD12,"A"))*4)+((COUNTIF('Elève (5ème4)'!SB12:SD12,"B"))*3)+((COUNTIF('Elève (5ème4)'!SB12:SD12,"C"))*2)+((COUNTIF('Elève (5ème4)'!SB12:SD12,"D"))*1))/(COUNTA(SB12:SD12)),"")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(5ème4)'!SG12:SI12,"A"))*4)+((COUNTIF('Elève (5ème4)'!SG12:SI12,"B"))*3)+((COUNTIF('Elève (5ème4)'!SG12:SI12,"C"))*2)+((COUNTIF('Elève (5ème4)'!SG12:SI12,"D"))*1))/(COUNTA(SG12:SI12)),"")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(5ème4)'!SL12:SN12,"A"))*4)+((COUNTIF('Elève (5ème4)'!SL12:SN12,"B"))*3)+((COUNTIF('Elève (5ème4)'!SL12:SN12,"C"))*2)+((COUNTIF('Elève (5ème4)'!SL12:SN12,"D"))*1))/(COUNTA(SL12:SN12)),"")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(5ème4)'!C14:E15,"A"))*4)+((COUNTIF('Elève (5ème4)'!C14:E15,"B"))*3)+((COUNTIF('Elève (5ème4)'!C14:E15,"C"))*2)+((COUNTIF('Elève (5ème4)'!C14:E15,"D"))*1))/(COUNTA(C14:E15)),"")</f>
        <v/>
      </c>
      <c r="G13" s="107" t="str">
        <f t="shared" si="0"/>
        <v/>
      </c>
      <c r="H13" s="204"/>
      <c r="I13" s="186"/>
      <c r="J13" s="205"/>
      <c r="K13" s="106" t="str">
        <f>IFERROR((((COUNTIF('Elève (5ème4)'!H14:J15,"A"))*4)+((COUNTIF('Elève (5ème4)'!H14:J15,"B"))*3)+((COUNTIF('Elève (5ème4)'!H14:J15,"C"))*2)+((COUNTIF('Elève (5ème4)'!H14:J15,"D"))*1))/(COUNTA(H14:J15)),"")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(5ème4)'!M14:O15,"A"))*4)+((COUNTIF('Elève (5ème4)'!M14:O15,"B"))*3)+((COUNTIF('Elève (5ème4)'!M14:O15,"C"))*2)+((COUNTIF('Elève (5ème4)'!M14:O15,"D"))*1))/(COUNTA(M14:O15)),"")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(5ème4)'!T14:V15,"A"))*4)+((COUNTIF('Elève (5ème4)'!T14:V15,"B"))*3)+((COUNTIF('Elève (5ème4)'!T14:V15,"C"))*2)+((COUNTIF('Elève (5ème4)'!T14:V15,"D"))*1))/(COUNTA(T14:V15)),"")</f>
        <v/>
      </c>
      <c r="X13" s="107" t="str">
        <f t="shared" si="4"/>
        <v/>
      </c>
      <c r="Y13" s="204"/>
      <c r="Z13" s="186"/>
      <c r="AA13" s="205"/>
      <c r="AB13" s="106" t="str">
        <f>IFERROR((((COUNTIF('Elève (5ème4)'!Y14:AA15,"A"))*4)+((COUNTIF('Elève (5ème4)'!Y14:AA15,"B"))*3)+((COUNTIF('Elève (5ème4)'!Y14:AA15,"C"))*2)+((COUNTIF('Elève (5ème4)'!Y14:AA15,"D"))*1))/(COUNTA(Y14:AA15)),"")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(5ème4)'!AD14:AF15,"A"))*4)+((COUNTIF('Elève (5ème4)'!AD14:AF15,"B"))*3)+((COUNTIF('Elève (5ème4)'!AD14:AF15,"C"))*2)+((COUNTIF('Elève (5ème4)'!AD14:AF15,"D"))*1))/(COUNTA(AD14:AF15)),"")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(5ème4)'!AK14:AM15,"A"))*4)+((COUNTIF('Elève (5ème4)'!AK14:AM15,"B"))*3)+((COUNTIF('Elève (5ème4)'!AK14:AM15,"C"))*2)+((COUNTIF('Elève (5ème4)'!AK14:AM15,"D"))*1))/(COUNTA(AK14:AM15)),"")</f>
        <v/>
      </c>
      <c r="AO13" s="107" t="str">
        <f t="shared" si="8"/>
        <v/>
      </c>
      <c r="AP13" s="204"/>
      <c r="AQ13" s="186"/>
      <c r="AR13" s="205"/>
      <c r="AS13" s="106" t="str">
        <f>IFERROR((((COUNTIF('Elève (5ème4)'!AP14:AR15,"A"))*4)+((COUNTIF('Elève (5ème4)'!AP14:AR15,"B"))*3)+((COUNTIF('Elève (5ème4)'!AP14:AR15,"C"))*2)+((COUNTIF('Elève (5ème4)'!AP14:AR15,"D"))*1))/(COUNTA(AP14:AR15)),"")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(5ème4)'!AU14:AW15,"A"))*4)+((COUNTIF('Elève (5ème4)'!AU14:AW15,"B"))*3)+((COUNTIF('Elève (5ème4)'!AU14:AW15,"C"))*2)+((COUNTIF('Elève (5ème4)'!AU14:AW15,"D"))*1))/(COUNTA(AU14:AW15)),"")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(5ème4)'!BB14:BD15,"A"))*4)+((COUNTIF('Elève (5ème4)'!BB14:BD15,"B"))*3)+((COUNTIF('Elève (5ème4)'!BB14:BD15,"C"))*2)+((COUNTIF('Elève (5ème4)'!BB14:BD15,"D"))*1))/(COUNTA(BB14:BD15)),"")</f>
        <v/>
      </c>
      <c r="BF13" s="107" t="str">
        <f t="shared" si="12"/>
        <v/>
      </c>
      <c r="BG13" s="204"/>
      <c r="BH13" s="186"/>
      <c r="BI13" s="205"/>
      <c r="BJ13" s="106" t="str">
        <f>IFERROR((((COUNTIF('Elève (5ème4)'!BG14:BI15,"A"))*4)+((COUNTIF('Elève (5ème4)'!BG14:BI15,"B"))*3)+((COUNTIF('Elève (5ème4)'!BG14:BI15,"C"))*2)+((COUNTIF('Elève (5ème4)'!BG14:BI15,"D"))*1))/(COUNTA(BG14:BI15)),"")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(5ème4)'!BL14:BN15,"A"))*4)+((COUNTIF('Elève (5ème4)'!BL14:BN15,"B"))*3)+((COUNTIF('Elève (5ème4)'!BL14:BN15,"C"))*2)+((COUNTIF('Elève (5ème4)'!BL14:BN15,"D"))*1))/(COUNTA(BL14:BN15)),"")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(5ème4)'!BS14:BU15,"A"))*4)+((COUNTIF('Elève (5ème4)'!BS14:BU15,"B"))*3)+((COUNTIF('Elève (5ème4)'!BS14:BU15,"C"))*2)+((COUNTIF('Elève (5ème4)'!BS14:BU15,"D"))*1))/(COUNTA(BS14:BU15)),"")</f>
        <v/>
      </c>
      <c r="BW13" s="107" t="str">
        <f t="shared" si="16"/>
        <v/>
      </c>
      <c r="BX13" s="204"/>
      <c r="BY13" s="186"/>
      <c r="BZ13" s="205"/>
      <c r="CA13" s="106" t="str">
        <f>IFERROR((((COUNTIF('Elève (5ème4)'!BX14:BZ15,"A"))*4)+((COUNTIF('Elève (5ème4)'!BX14:BZ15,"B"))*3)+((COUNTIF('Elève (5ème4)'!BX14:BZ15,"C"))*2)+((COUNTIF('Elève (5ème4)'!BX14:BZ15,"D"))*1))/(COUNTA(BX14:BZ15)),"")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(5ème4)'!CC14:CE15,"A"))*4)+((COUNTIF('Elève (5ème4)'!CC14:CE15,"B"))*3)+((COUNTIF('Elève (5ème4)'!CC14:CE15,"C"))*2)+((COUNTIF('Elève (5ème4)'!CC14:CE15,"D"))*1))/(COUNTA(CC14:CE15)),"")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(5ème4)'!CJ14:CL15,"A"))*4)+((COUNTIF('Elève (5ème4)'!CJ14:CL15,"B"))*3)+((COUNTIF('Elève (5ème4)'!CJ14:CL15,"C"))*2)+((COUNTIF('Elève (5ème4)'!CJ14:CL15,"D"))*1))/(COUNTA(CJ14:CL15)),"")</f>
        <v/>
      </c>
      <c r="CN13" s="107" t="str">
        <f t="shared" si="20"/>
        <v/>
      </c>
      <c r="CO13" s="204"/>
      <c r="CP13" s="186"/>
      <c r="CQ13" s="205"/>
      <c r="CR13" s="106" t="str">
        <f>IFERROR((((COUNTIF('Elève (5ème4)'!CO14:CQ15,"A"))*4)+((COUNTIF('Elève (5ème4)'!CO14:CQ15,"B"))*3)+((COUNTIF('Elève (5ème4)'!CO14:CQ15,"C"))*2)+((COUNTIF('Elève (5ème4)'!CO14:CQ15,"D"))*1))/(COUNTA(CO14:CQ15)),"")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(5ème4)'!CT14:CV15,"A"))*4)+((COUNTIF('Elève (5ème4)'!CT14:CV15,"B"))*3)+((COUNTIF('Elève (5ème4)'!CT14:CV15,"C"))*2)+((COUNTIF('Elève (5ème4)'!CT14:CV15,"D"))*1))/(COUNTA(CT14:CV15)),"")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(5ème4)'!DA14:DC15,"A"))*4)+((COUNTIF('Elève (5ème4)'!DA14:DC15,"B"))*3)+((COUNTIF('Elève (5ème4)'!DA14:DC15,"C"))*2)+((COUNTIF('Elève (5ème4)'!DA14:DC15,"D"))*1))/(COUNTA(DA14:DC15)),"")</f>
        <v/>
      </c>
      <c r="DE13" s="107" t="str">
        <f t="shared" si="24"/>
        <v/>
      </c>
      <c r="DF13" s="204"/>
      <c r="DG13" s="186"/>
      <c r="DH13" s="205"/>
      <c r="DI13" s="106" t="str">
        <f>IFERROR((((COUNTIF('Elève (5ème4)'!DF14:DH15,"A"))*4)+((COUNTIF('Elève (5ème4)'!DF14:DH15,"B"))*3)+((COUNTIF('Elève (5ème4)'!DF14:DH15,"C"))*2)+((COUNTIF('Elève (5ème4)'!DF14:DH15,"D"))*1))/(COUNTA(DF14:DH15)),"")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(5ème4)'!DK14:DM15,"A"))*4)+((COUNTIF('Elève (5ème4)'!DK14:DM15,"B"))*3)+((COUNTIF('Elève (5ème4)'!DK14:DM15,"C"))*2)+((COUNTIF('Elève (5ème4)'!DK14:DM15,"D"))*1))/(COUNTA(DK14:DM15)),"")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(5ème4)'!DR14:DT15,"A"))*4)+((COUNTIF('Elève (5ème4)'!DR14:DT15,"B"))*3)+((COUNTIF('Elève (5ème4)'!DR14:DT15,"C"))*2)+((COUNTIF('Elève (5ème4)'!DR14:DT15,"D"))*1))/(COUNTA(DR14:DT15)),"")</f>
        <v/>
      </c>
      <c r="DV13" s="107" t="str">
        <f t="shared" si="28"/>
        <v/>
      </c>
      <c r="DW13" s="204"/>
      <c r="DX13" s="186"/>
      <c r="DY13" s="205"/>
      <c r="DZ13" s="106" t="str">
        <f>IFERROR((((COUNTIF('Elève (5ème4)'!DW14:DY15,"A"))*4)+((COUNTIF('Elève (5ème4)'!DW14:DY15,"B"))*3)+((COUNTIF('Elève (5ème4)'!DW14:DY15,"C"))*2)+((COUNTIF('Elève (5ème4)'!DW14:DY15,"D"))*1))/(COUNTA(DW14:DY15)),"")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(5ème4)'!EB14:ED15,"A"))*4)+((COUNTIF('Elève (5ème4)'!EB14:ED15,"B"))*3)+((COUNTIF('Elève (5ème4)'!EB14:ED15,"C"))*2)+((COUNTIF('Elève (5ème4)'!EB14:ED15,"D"))*1))/(COUNTA(EB14:ED15)),"")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(5ème4)'!EI14:EK15,"A"))*4)+((COUNTIF('Elève (5ème4)'!EI14:EK15,"B"))*3)+((COUNTIF('Elève (5ème4)'!EI14:EK15,"C"))*2)+((COUNTIF('Elève (5ème4)'!EI14:EK15,"D"))*1))/(COUNTA(EI14:EK15)),"")</f>
        <v/>
      </c>
      <c r="EM13" s="107" t="str">
        <f t="shared" si="32"/>
        <v/>
      </c>
      <c r="EN13" s="204"/>
      <c r="EO13" s="186"/>
      <c r="EP13" s="205"/>
      <c r="EQ13" s="106" t="str">
        <f>IFERROR((((COUNTIF('Elève (5ème4)'!EN14:EP15,"A"))*4)+((COUNTIF('Elève (5ème4)'!EN14:EP15,"B"))*3)+((COUNTIF('Elève (5ème4)'!EN14:EP15,"C"))*2)+((COUNTIF('Elève (5ème4)'!EN14:EP15,"D"))*1))/(COUNTA(EN14:EP15)),"")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(5ème4)'!ES14:EU15,"A"))*4)+((COUNTIF('Elève (5ème4)'!ES14:EU15,"B"))*3)+((COUNTIF('Elève (5ème4)'!ES14:EU15,"C"))*2)+((COUNTIF('Elève (5ème4)'!ES14:EU15,"D"))*1))/(COUNTA(ES14:EU15)),"")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(5ème4)'!EZ14:FB15,"A"))*4)+((COUNTIF('Elève (5ème4)'!EZ14:FB15,"B"))*3)+((COUNTIF('Elève (5ème4)'!EZ14:FB15,"C"))*2)+((COUNTIF('Elève (5ème4)'!EZ14:FB15,"D"))*1))/(COUNTA(EZ14:FB15)),"")</f>
        <v/>
      </c>
      <c r="FD13" s="107" t="str">
        <f t="shared" si="36"/>
        <v/>
      </c>
      <c r="FE13" s="204"/>
      <c r="FF13" s="186"/>
      <c r="FG13" s="205"/>
      <c r="FH13" s="106" t="str">
        <f>IFERROR((((COUNTIF('Elève (5ème4)'!FE14:FG15,"A"))*4)+((COUNTIF('Elève (5ème4)'!FE14:FG15,"B"))*3)+((COUNTIF('Elève (5ème4)'!FE14:FG15,"C"))*2)+((COUNTIF('Elève (5ème4)'!FE14:FG15,"D"))*1))/(COUNTA(FE14:FG15)),"")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(5ème4)'!FJ14:FL15,"A"))*4)+((COUNTIF('Elève (5ème4)'!FJ14:FL15,"B"))*3)+((COUNTIF('Elève (5ème4)'!FJ14:FL15,"C"))*2)+((COUNTIF('Elève (5ème4)'!FJ14:FL15,"D"))*1))/(COUNTA(FJ14:FL15)),"")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(5ème4)'!FQ14:FS15,"A"))*4)+((COUNTIF('Elève (5ème4)'!FQ14:FS15,"B"))*3)+((COUNTIF('Elève (5ème4)'!FQ14:FS15,"C"))*2)+((COUNTIF('Elève (5ème4)'!FQ14:FS15,"D"))*1))/(COUNTA(FQ14:FS15)),"")</f>
        <v/>
      </c>
      <c r="FU13" s="107" t="str">
        <f t="shared" si="40"/>
        <v/>
      </c>
      <c r="FV13" s="204"/>
      <c r="FW13" s="186"/>
      <c r="FX13" s="205"/>
      <c r="FY13" s="106" t="str">
        <f>IFERROR((((COUNTIF('Elève (5ème4)'!FV14:FX15,"A"))*4)+((COUNTIF('Elève (5ème4)'!FV14:FX15,"B"))*3)+((COUNTIF('Elève (5ème4)'!FV14:FX15,"C"))*2)+((COUNTIF('Elève (5ème4)'!FV14:FX15,"D"))*1))/(COUNTA(FV14:FX15)),"")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(5ème4)'!GA14:GC15,"A"))*4)+((COUNTIF('Elève (5ème4)'!GA14:GC15,"B"))*3)+((COUNTIF('Elève (5ème4)'!GA14:GC15,"C"))*2)+((COUNTIF('Elève (5ème4)'!GA14:GC15,"D"))*1))/(COUNTA(GA14:GC15)),"")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(5ème4)'!GH14:GJ15,"A"))*4)+((COUNTIF('Elève (5ème4)'!GH14:GJ15,"B"))*3)+((COUNTIF('Elève (5ème4)'!GH14:GJ15,"C"))*2)+((COUNTIF('Elève (5ème4)'!GH14:GJ15,"D"))*1))/(COUNTA(GH14:GJ15)),"")</f>
        <v/>
      </c>
      <c r="GL13" s="107" t="str">
        <f t="shared" si="44"/>
        <v/>
      </c>
      <c r="GM13" s="204"/>
      <c r="GN13" s="186"/>
      <c r="GO13" s="205"/>
      <c r="GP13" s="106" t="str">
        <f>IFERROR((((COUNTIF('Elève (5ème4)'!GM14:GO15,"A"))*4)+((COUNTIF('Elève (5ème4)'!GM14:GO15,"B"))*3)+((COUNTIF('Elève (5ème4)'!GM14:GO15,"C"))*2)+((COUNTIF('Elève (5ème4)'!GM14:GO15,"D"))*1))/(COUNTA(GM14:GO15)),"")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(5ème4)'!GR14:GT15,"A"))*4)+((COUNTIF('Elève (5ème4)'!GR14:GT15,"B"))*3)+((COUNTIF('Elève (5ème4)'!GR14:GT15,"C"))*2)+((COUNTIF('Elève (5ème4)'!GR14:GT15,"D"))*1))/(COUNTA(GR14:GT15)),"")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(5ème4)'!GY14:HA15,"A"))*4)+((COUNTIF('Elève (5ème4)'!GY14:HA15,"B"))*3)+((COUNTIF('Elève (5ème4)'!GY14:HA15,"C"))*2)+((COUNTIF('Elève (5ème4)'!GY14:HA15,"D"))*1))/(COUNTA(GY14:HA15)),"")</f>
        <v/>
      </c>
      <c r="HC13" s="107" t="str">
        <f t="shared" si="48"/>
        <v/>
      </c>
      <c r="HD13" s="204"/>
      <c r="HE13" s="186"/>
      <c r="HF13" s="205"/>
      <c r="HG13" s="106" t="str">
        <f>IFERROR((((COUNTIF('Elève (5ème4)'!HD14:HF15,"A"))*4)+((COUNTIF('Elève (5ème4)'!HD14:HF15,"B"))*3)+((COUNTIF('Elève (5ème4)'!HD14:HF15,"C"))*2)+((COUNTIF('Elève (5ème4)'!HD14:HF15,"D"))*1))/(COUNTA(HD14:HF15)),"")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(5ème4)'!HI14:HK15,"A"))*4)+((COUNTIF('Elève (5ème4)'!HI14:HK15,"B"))*3)+((COUNTIF('Elève (5ème4)'!HI14:HK15,"C"))*2)+((COUNTIF('Elève (5ème4)'!HI14:HK15,"D"))*1))/(COUNTA(HI14:HK15)),"")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(5ème4)'!HP14:HR15,"A"))*4)+((COUNTIF('Elève (5ème4)'!HP14:HR15,"B"))*3)+((COUNTIF('Elève (5ème4)'!HP14:HR15,"C"))*2)+((COUNTIF('Elève (5ème4)'!HP14:HR15,"D"))*1))/(COUNTA(HP14:HR15)),"")</f>
        <v/>
      </c>
      <c r="HT13" s="107" t="str">
        <f t="shared" si="52"/>
        <v/>
      </c>
      <c r="HU13" s="204"/>
      <c r="HV13" s="186"/>
      <c r="HW13" s="205"/>
      <c r="HX13" s="106" t="str">
        <f>IFERROR((((COUNTIF('Elève (5ème4)'!HU14:HW15,"A"))*4)+((COUNTIF('Elève (5ème4)'!HU14:HW15,"B"))*3)+((COUNTIF('Elève (5ème4)'!HU14:HW15,"C"))*2)+((COUNTIF('Elève (5ème4)'!HU14:HW15,"D"))*1))/(COUNTA(HU14:HW15)),"")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(5ème4)'!HZ14:IB15,"A"))*4)+((COUNTIF('Elève (5ème4)'!HZ14:IB15,"B"))*3)+((COUNTIF('Elève (5ème4)'!HZ14:IB15,"C"))*2)+((COUNTIF('Elève (5ème4)'!HZ14:IB15,"D"))*1))/(COUNTA(HZ14:IB15)),"")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(5ème4)'!IG14:II15,"A"))*4)+((COUNTIF('Elève (5ème4)'!IG14:II15,"B"))*3)+((COUNTIF('Elève (5ème4)'!IG14:II15,"C"))*2)+((COUNTIF('Elève (5ème4)'!IG14:II15,"D"))*1))/(COUNTA(IG14:II15)),"")</f>
        <v/>
      </c>
      <c r="IK13" s="107" t="str">
        <f t="shared" si="56"/>
        <v/>
      </c>
      <c r="IL13" s="204"/>
      <c r="IM13" s="186"/>
      <c r="IN13" s="205"/>
      <c r="IO13" s="106" t="str">
        <f>IFERROR((((COUNTIF('Elève (5ème4)'!IL14:IN15,"A"))*4)+((COUNTIF('Elève (5ème4)'!IL14:IN15,"B"))*3)+((COUNTIF('Elève (5ème4)'!IL14:IN15,"C"))*2)+((COUNTIF('Elève (5ème4)'!IL14:IN15,"D"))*1))/(COUNTA(IL14:IN15)),"")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(5ème4)'!IQ14:IS15,"A"))*4)+((COUNTIF('Elève (5ème4)'!IQ14:IS15,"B"))*3)+((COUNTIF('Elève (5ème4)'!IQ14:IS15,"C"))*2)+((COUNTIF('Elève (5ème4)'!IQ14:IS15,"D"))*1))/(COUNTA(IQ14:IS15)),"")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(5ème4)'!IX14:IZ15,"A"))*4)+((COUNTIF('Elève (5ème4)'!IX14:IZ15,"B"))*3)+((COUNTIF('Elève (5ème4)'!IX14:IZ15,"C"))*2)+((COUNTIF('Elève (5ème4)'!IX14:IZ15,"D"))*1))/(COUNTA(IX14:IZ15)),"")</f>
        <v/>
      </c>
      <c r="JB13" s="107" t="str">
        <f t="shared" si="60"/>
        <v/>
      </c>
      <c r="JC13" s="204"/>
      <c r="JD13" s="186"/>
      <c r="JE13" s="205"/>
      <c r="JF13" s="106" t="str">
        <f>IFERROR((((COUNTIF('Elève (5ème4)'!JC14:JE15,"A"))*4)+((COUNTIF('Elève (5ème4)'!JC14:JE15,"B"))*3)+((COUNTIF('Elève (5ème4)'!JC14:JE15,"C"))*2)+((COUNTIF('Elève (5ème4)'!JC14:JE15,"D"))*1))/(COUNTA(JC14:JE15)),"")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(5ème4)'!JH14:JJ15,"A"))*4)+((COUNTIF('Elève (5ème4)'!JH14:JJ15,"B"))*3)+((COUNTIF('Elève (5ème4)'!JH14:JJ15,"C"))*2)+((COUNTIF('Elève (5ème4)'!JH14:JJ15,"D"))*1))/(COUNTA(JH14:JJ15)),"")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(5ème4)'!JO14:JQ15,"A"))*4)+((COUNTIF('Elève (5ème4)'!JO14:JQ15,"B"))*3)+((COUNTIF('Elève (5ème4)'!JO14:JQ15,"C"))*2)+((COUNTIF('Elève (5ème4)'!JO14:JQ15,"D"))*1))/(COUNTA(JO14:JQ15)),"")</f>
        <v/>
      </c>
      <c r="JS13" s="107" t="str">
        <f t="shared" si="64"/>
        <v/>
      </c>
      <c r="JT13" s="204"/>
      <c r="JU13" s="186"/>
      <c r="JV13" s="205"/>
      <c r="JW13" s="106" t="str">
        <f>IFERROR((((COUNTIF('Elève (5ème4)'!JT14:JV15,"A"))*4)+((COUNTIF('Elève (5ème4)'!JT14:JV15,"B"))*3)+((COUNTIF('Elève (5ème4)'!JT14:JV15,"C"))*2)+((COUNTIF('Elève (5ème4)'!JT14:JV15,"D"))*1))/(COUNTA(JT14:JV15)),"")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(5ème4)'!JY14:KA15,"A"))*4)+((COUNTIF('Elève (5ème4)'!JY14:KA15,"B"))*3)+((COUNTIF('Elève (5ème4)'!JY14:KA15,"C"))*2)+((COUNTIF('Elève (5ème4)'!JY14:KA15,"D"))*1))/(COUNTA(JY14:KA15)),"")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(5ème4)'!KF14:KH15,"A"))*4)+((COUNTIF('Elève (5ème4)'!KF14:KH15,"B"))*3)+((COUNTIF('Elève (5ème4)'!KF14:KH15,"C"))*2)+((COUNTIF('Elève (5ème4)'!KF14:KH15,"D"))*1))/(COUNTA(KF14:KH15)),"")</f>
        <v/>
      </c>
      <c r="KJ13" s="107" t="str">
        <f t="shared" si="68"/>
        <v/>
      </c>
      <c r="KK13" s="204"/>
      <c r="KL13" s="186"/>
      <c r="KM13" s="205"/>
      <c r="KN13" s="106" t="str">
        <f>IFERROR((((COUNTIF('Elève (5ème4)'!KK14:KM15,"A"))*4)+((COUNTIF('Elève (5ème4)'!KK14:KM15,"B"))*3)+((COUNTIF('Elève (5ème4)'!KK14:KM15,"C"))*2)+((COUNTIF('Elève (5ème4)'!KK14:KM15,"D"))*1))/(COUNTA(KK14:KM15)),"")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(5ème4)'!KP14:KR15,"A"))*4)+((COUNTIF('Elève (5ème4)'!KP14:KR15,"B"))*3)+((COUNTIF('Elève (5ème4)'!KP14:KR15,"C"))*2)+((COUNTIF('Elève (5ème4)'!KP14:KR15,"D"))*1))/(COUNTA(KP14:KR15)),"")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(5ème4)'!KW14:KY15,"A"))*4)+((COUNTIF('Elève (5ème4)'!KW14:KY15,"B"))*3)+((COUNTIF('Elève (5ème4)'!KW14:KY15,"C"))*2)+((COUNTIF('Elève (5ème4)'!KW14:KY15,"D"))*1))/(COUNTA(KW14:KY15)),"")</f>
        <v/>
      </c>
      <c r="LA13" s="107" t="str">
        <f t="shared" si="72"/>
        <v/>
      </c>
      <c r="LB13" s="204"/>
      <c r="LC13" s="186"/>
      <c r="LD13" s="205"/>
      <c r="LE13" s="106" t="str">
        <f>IFERROR((((COUNTIF('Elève (5ème4)'!LB14:LD15,"A"))*4)+((COUNTIF('Elève (5ème4)'!LB14:LD15,"B"))*3)+((COUNTIF('Elève (5ème4)'!LB14:LD15,"C"))*2)+((COUNTIF('Elève (5ème4)'!LB14:LD15,"D"))*1))/(COUNTA(LB14:LD15)),"")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(5ème4)'!LG14:LI15,"A"))*4)+((COUNTIF('Elève (5ème4)'!LG14:LI15,"B"))*3)+((COUNTIF('Elève (5ème4)'!LG14:LI15,"C"))*2)+((COUNTIF('Elève (5ème4)'!LG14:LI15,"D"))*1))/(COUNTA(LG14:LI15)),"")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(5ème4)'!LN14:LP15,"A"))*4)+((COUNTIF('Elève (5ème4)'!LN14:LP15,"B"))*3)+((COUNTIF('Elève (5ème4)'!LN14:LP15,"C"))*2)+((COUNTIF('Elève (5ème4)'!LN14:LP15,"D"))*1))/(COUNTA(LN14:LP15)),"")</f>
        <v/>
      </c>
      <c r="LR13" s="107" t="str">
        <f t="shared" si="76"/>
        <v/>
      </c>
      <c r="LS13" s="204"/>
      <c r="LT13" s="186"/>
      <c r="LU13" s="205"/>
      <c r="LV13" s="106" t="str">
        <f>IFERROR((((COUNTIF('Elève (5ème4)'!LS14:LU15,"A"))*4)+((COUNTIF('Elève (5ème4)'!LS14:LU15,"B"))*3)+((COUNTIF('Elève (5ème4)'!LS14:LU15,"C"))*2)+((COUNTIF('Elève (5ème4)'!LS14:LU15,"D"))*1))/(COUNTA(LS14:LU15)),"")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(5ème4)'!LX14:LZ15,"A"))*4)+((COUNTIF('Elève (5ème4)'!LX14:LZ15,"B"))*3)+((COUNTIF('Elève (5ème4)'!LX14:LZ15,"C"))*2)+((COUNTIF('Elève (5ème4)'!LX14:LZ15,"D"))*1))/(COUNTA(LX14:LZ15)),"")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(5ème4)'!ME14:MG15,"A"))*4)+((COUNTIF('Elève (5ème4)'!ME14:MG15,"B"))*3)+((COUNTIF('Elève (5ème4)'!ME14:MG15,"C"))*2)+((COUNTIF('Elève (5ème4)'!ME14:MG15,"D"))*1))/(COUNTA(ME14:MG15)),"")</f>
        <v/>
      </c>
      <c r="MI13" s="107" t="str">
        <f t="shared" si="80"/>
        <v/>
      </c>
      <c r="MJ13" s="204"/>
      <c r="MK13" s="186"/>
      <c r="ML13" s="205"/>
      <c r="MM13" s="106" t="str">
        <f>IFERROR((((COUNTIF('Elève (5ème4)'!MJ14:ML15,"A"))*4)+((COUNTIF('Elève (5ème4)'!MJ14:ML15,"B"))*3)+((COUNTIF('Elève (5ème4)'!MJ14:ML15,"C"))*2)+((COUNTIF('Elève (5ème4)'!MJ14:ML15,"D"))*1))/(COUNTA(MJ14:ML15)),"")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(5ème4)'!MO14:MQ15,"A"))*4)+((COUNTIF('Elève (5ème4)'!MO14:MQ15,"B"))*3)+((COUNTIF('Elève (5ème4)'!MO14:MQ15,"C"))*2)+((COUNTIF('Elève (5ème4)'!MO14:MQ15,"D"))*1))/(COUNTA(MO14:MQ15)),"")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(5ème4)'!MV14:MX15,"A"))*4)+((COUNTIF('Elève (5ème4)'!MV14:MX15,"B"))*3)+((COUNTIF('Elève (5ème4)'!MV14:MX15,"C"))*2)+((COUNTIF('Elève (5ème4)'!MV14:MX15,"D"))*1))/(COUNTA(MV14:MX15)),"")</f>
        <v/>
      </c>
      <c r="MZ13" s="107" t="str">
        <f t="shared" si="84"/>
        <v/>
      </c>
      <c r="NA13" s="204"/>
      <c r="NB13" s="186"/>
      <c r="NC13" s="205"/>
      <c r="ND13" s="106" t="str">
        <f>IFERROR((((COUNTIF('Elève (5ème4)'!NA14:NC15,"A"))*4)+((COUNTIF('Elève (5ème4)'!NA14:NC15,"B"))*3)+((COUNTIF('Elève (5ème4)'!NA14:NC15,"C"))*2)+((COUNTIF('Elève (5ème4)'!NA14:NC15,"D"))*1))/(COUNTA(NA14:NC15)),"")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(5ème4)'!NF14:NH15,"A"))*4)+((COUNTIF('Elève (5ème4)'!NF14:NH15,"B"))*3)+((COUNTIF('Elève (5ème4)'!NF14:NH15,"C"))*2)+((COUNTIF('Elève (5ème4)'!NF14:NH15,"D"))*1))/(COUNTA(NF14:NH15)),"")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(5ème4)'!NM14:NO15,"A"))*4)+((COUNTIF('Elève (5ème4)'!NM14:NO15,"B"))*3)+((COUNTIF('Elève (5ème4)'!NM14:NO15,"C"))*2)+((COUNTIF('Elève (5ème4)'!NM14:NO15,"D"))*1))/(COUNTA(NM14:NO15)),"")</f>
        <v/>
      </c>
      <c r="NQ13" s="107" t="str">
        <f t="shared" si="88"/>
        <v/>
      </c>
      <c r="NR13" s="204"/>
      <c r="NS13" s="186"/>
      <c r="NT13" s="205"/>
      <c r="NU13" s="106" t="str">
        <f>IFERROR((((COUNTIF('Elève (5ème4)'!NR14:NT15,"A"))*4)+((COUNTIF('Elève (5ème4)'!NR14:NT15,"B"))*3)+((COUNTIF('Elève (5ème4)'!NR14:NT15,"C"))*2)+((COUNTIF('Elève (5ème4)'!NR14:NT15,"D"))*1))/(COUNTA(NR14:NT15)),"")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(5ème4)'!NW14:NY15,"A"))*4)+((COUNTIF('Elève (5ème4)'!NW14:NY15,"B"))*3)+((COUNTIF('Elève (5ème4)'!NW14:NY15,"C"))*2)+((COUNTIF('Elève (5ème4)'!NW14:NY15,"D"))*1))/(COUNTA(NW14:NY15)),"")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(5ème4)'!OD14:OF15,"A"))*4)+((COUNTIF('Elève (5ème4)'!OD14:OF15,"B"))*3)+((COUNTIF('Elève (5ème4)'!OD14:OF15,"C"))*2)+((COUNTIF('Elève (5ème4)'!OD14:OF15,"D"))*1))/(COUNTA(OD14:OF15)),"")</f>
        <v/>
      </c>
      <c r="OH13" s="107" t="str">
        <f t="shared" si="92"/>
        <v/>
      </c>
      <c r="OI13" s="204"/>
      <c r="OJ13" s="186"/>
      <c r="OK13" s="205"/>
      <c r="OL13" s="106" t="str">
        <f>IFERROR((((COUNTIF('Elève (5ème4)'!OI14:OK15,"A"))*4)+((COUNTIF('Elève (5ème4)'!OI14:OK15,"B"))*3)+((COUNTIF('Elève (5ème4)'!OI14:OK15,"C"))*2)+((COUNTIF('Elève (5ème4)'!OI14:OK15,"D"))*1))/(COUNTA(OI14:OK15)),"")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(5ème4)'!ON14:OP15,"A"))*4)+((COUNTIF('Elève (5ème4)'!ON14:OP15,"B"))*3)+((COUNTIF('Elève (5ème4)'!ON14:OP15,"C"))*2)+((COUNTIF('Elève (5ème4)'!ON14:OP15,"D"))*1))/(COUNTA(ON14:OP15)),"")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(5ème4)'!OU14:OW15,"A"))*4)+((COUNTIF('Elève (5ème4)'!OU14:OW15,"B"))*3)+((COUNTIF('Elève (5ème4)'!OU14:OW15,"C"))*2)+((COUNTIF('Elève (5ème4)'!OU14:OW15,"D"))*1))/(COUNTA(OU14:OW15)),"")</f>
        <v/>
      </c>
      <c r="OY13" s="107" t="str">
        <f t="shared" si="96"/>
        <v/>
      </c>
      <c r="OZ13" s="204"/>
      <c r="PA13" s="186"/>
      <c r="PB13" s="205"/>
      <c r="PC13" s="106" t="str">
        <f>IFERROR((((COUNTIF('Elève (5ème4)'!OZ14:PB15,"A"))*4)+((COUNTIF('Elève (5ème4)'!OZ14:PB15,"B"))*3)+((COUNTIF('Elève (5ème4)'!OZ14:PB15,"C"))*2)+((COUNTIF('Elève (5ème4)'!OZ14:PB15,"D"))*1))/(COUNTA(OZ14:PB15)),"")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(5ème4)'!PE14:PG15,"A"))*4)+((COUNTIF('Elève (5ème4)'!PE14:PG15,"B"))*3)+((COUNTIF('Elève (5ème4)'!PE14:PG15,"C"))*2)+((COUNTIF('Elève (5ème4)'!PE14:PG15,"D"))*1))/(COUNTA(PE14:PG15)),"")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(5ème4)'!PL14:PN15,"A"))*4)+((COUNTIF('Elève (5ème4)'!PL14:PN15,"B"))*3)+((COUNTIF('Elève (5ème4)'!PL14:PN15,"C"))*2)+((COUNTIF('Elève (5ème4)'!PL14:PN15,"D"))*1))/(COUNTA(PL14:PN15)),"")</f>
        <v/>
      </c>
      <c r="PP13" s="107" t="str">
        <f t="shared" si="100"/>
        <v/>
      </c>
      <c r="PQ13" s="204"/>
      <c r="PR13" s="186"/>
      <c r="PS13" s="205"/>
      <c r="PT13" s="106" t="str">
        <f>IFERROR((((COUNTIF('Elève (5ème4)'!PQ14:PS15,"A"))*4)+((COUNTIF('Elève (5ème4)'!PQ14:PS15,"B"))*3)+((COUNTIF('Elève (5ème4)'!PQ14:PS15,"C"))*2)+((COUNTIF('Elève (5ème4)'!PQ14:PS15,"D"))*1))/(COUNTA(PQ14:PS15)),"")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(5ème4)'!PV14:PX15,"A"))*4)+((COUNTIF('Elève (5ème4)'!PV14:PX15,"B"))*3)+((COUNTIF('Elève (5ème4)'!PV14:PX15,"C"))*2)+((COUNTIF('Elève (5ème4)'!PV14:PX15,"D"))*1))/(COUNTA(PV14:PX15)),"")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(5ème4)'!QC14:QE15,"A"))*4)+((COUNTIF('Elève (5ème4)'!QC14:QE15,"B"))*3)+((COUNTIF('Elève (5ème4)'!QC14:QE15,"C"))*2)+((COUNTIF('Elève (5ème4)'!QC14:QE15,"D"))*1))/(COUNTA(QC14:QE15)),"")</f>
        <v/>
      </c>
      <c r="QG13" s="107" t="str">
        <f t="shared" si="104"/>
        <v/>
      </c>
      <c r="QH13" s="204"/>
      <c r="QI13" s="186"/>
      <c r="QJ13" s="205"/>
      <c r="QK13" s="106" t="str">
        <f>IFERROR((((COUNTIF('Elève (5ème4)'!QH14:QJ15,"A"))*4)+((COUNTIF('Elève (5ème4)'!QH14:QJ15,"B"))*3)+((COUNTIF('Elève (5ème4)'!QH14:QJ15,"C"))*2)+((COUNTIF('Elève (5ème4)'!QH14:QJ15,"D"))*1))/(COUNTA(QH14:QJ15)),"")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(5ème4)'!QM14:QO15,"A"))*4)+((COUNTIF('Elève (5ème4)'!QM14:QO15,"B"))*3)+((COUNTIF('Elève (5ème4)'!QM14:QO15,"C"))*2)+((COUNTIF('Elève (5ème4)'!QM14:QO15,"D"))*1))/(COUNTA(QM14:QO15)),"")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(5ème4)'!QT14:QV15,"A"))*4)+((COUNTIF('Elève (5ème4)'!QT14:QV15,"B"))*3)+((COUNTIF('Elève (5ème4)'!QT14:QV15,"C"))*2)+((COUNTIF('Elève (5ème4)'!QT14:QV15,"D"))*1))/(COUNTA(QT14:QV15)),"")</f>
        <v/>
      </c>
      <c r="QX13" s="107" t="str">
        <f t="shared" si="108"/>
        <v/>
      </c>
      <c r="QY13" s="204"/>
      <c r="QZ13" s="186"/>
      <c r="RA13" s="205"/>
      <c r="RB13" s="106" t="str">
        <f>IFERROR((((COUNTIF('Elève (5ème4)'!QY14:RA15,"A"))*4)+((COUNTIF('Elève (5ème4)'!QY14:RA15,"B"))*3)+((COUNTIF('Elève (5ème4)'!QY14:RA15,"C"))*2)+((COUNTIF('Elève (5ème4)'!QY14:RA15,"D"))*1))/(COUNTA(QY14:RA15)),"")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(5ème4)'!RD14:RF15,"A"))*4)+((COUNTIF('Elève (5ème4)'!RD14:RF15,"B"))*3)+((COUNTIF('Elève (5ème4)'!RD14:RF15,"C"))*2)+((COUNTIF('Elève (5ème4)'!RD14:RF15,"D"))*1))/(COUNTA(RD14:RF15)),"")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(5ème4)'!RK14:RM15,"A"))*4)+((COUNTIF('Elève (5ème4)'!RK14:RM15,"B"))*3)+((COUNTIF('Elève (5ème4)'!RK14:RM15,"C"))*2)+((COUNTIF('Elève (5ème4)'!RK14:RM15,"D"))*1))/(COUNTA(RK14:RM15)),"")</f>
        <v/>
      </c>
      <c r="RO13" s="107" t="str">
        <f t="shared" si="112"/>
        <v/>
      </c>
      <c r="RP13" s="204"/>
      <c r="RQ13" s="186"/>
      <c r="RR13" s="205"/>
      <c r="RS13" s="106" t="str">
        <f>IFERROR((((COUNTIF('Elève (5ème4)'!RP14:RR15,"A"))*4)+((COUNTIF('Elève (5ème4)'!RP14:RR15,"B"))*3)+((COUNTIF('Elève (5ème4)'!RP14:RR15,"C"))*2)+((COUNTIF('Elève (5ème4)'!RP14:RR15,"D"))*1))/(COUNTA(RP14:RR15)),"")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(5ème4)'!RU14:RW15,"A"))*4)+((COUNTIF('Elève (5ème4)'!RU14:RW15,"B"))*3)+((COUNTIF('Elève (5ème4)'!RU14:RW15,"C"))*2)+((COUNTIF('Elève (5ème4)'!RU14:RW15,"D"))*1))/(COUNTA(RU14:RW15)),"")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(5ème4)'!SB14:SD15,"A"))*4)+((COUNTIF('Elève (5ème4)'!SB14:SD15,"B"))*3)+((COUNTIF('Elève (5ème4)'!SB14:SD15,"C"))*2)+((COUNTIF('Elève (5ème4)'!SB14:SD15,"D"))*1))/(COUNTA(SB14:SD15)),"")</f>
        <v/>
      </c>
      <c r="SF13" s="107" t="str">
        <f t="shared" si="116"/>
        <v/>
      </c>
      <c r="SG13" s="204"/>
      <c r="SH13" s="186"/>
      <c r="SI13" s="205"/>
      <c r="SJ13" s="106" t="str">
        <f>IFERROR((((COUNTIF('Elève (5ème4)'!SG14:SI15,"A"))*4)+((COUNTIF('Elève (5ème4)'!SG14:SI15,"B"))*3)+((COUNTIF('Elève (5ème4)'!SG14:SI15,"C"))*2)+((COUNTIF('Elève (5ème4)'!SG14:SI15,"D"))*1))/(COUNTA(SG14:SI15)),"")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(5ème4)'!SL14:SN15,"A"))*4)+((COUNTIF('Elève (5ème4)'!SL14:SN15,"B"))*3)+((COUNTIF('Elève (5ème4)'!SL14:SN15,"C"))*2)+((COUNTIF('Elève (5ème4)'!SL14:SN15,"D"))*1))/(COUNTA(SL14:SN15)),"")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1" t="s">
        <v>19</v>
      </c>
      <c r="B14" s="222"/>
      <c r="C14" s="156"/>
      <c r="D14" s="157"/>
      <c r="E14" s="158"/>
      <c r="F14" s="108" t="str">
        <f>IFERROR((((COUNTIF('Elève (5ème4)'!C14:E14,"A"))*4)+((COUNTIF('Elève (5ème4)'!C14:E14,"B"))*3)+((COUNTIF('Elève (5ème4)'!C14:E14,"C"))*2)+((COUNTIF('Elève (5ème4)'!C14:E14,"D"))*1))/(COUNTA(C14:E14)),"")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(5ème4)'!H14:J14,"A"))*4)+((COUNTIF('Elève (5ème4)'!H14:J14,"B"))*3)+((COUNTIF('Elève (5ème4)'!H14:J14,"C"))*2)+((COUNTIF('Elève (5ème4)'!H14:J14,"D"))*1))/(COUNTA(H14:J14)),"")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(5ème4)'!M14:O14,"A"))*4)+((COUNTIF('Elève (5ème4)'!M14:O14,"B"))*3)+((COUNTIF('Elève (5ème4)'!M14:O14,"C"))*2)+((COUNTIF('Elève (5ème4)'!M14:O14,"D"))*1))/(COUNTA(M14:O14)),"")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(5ème4)'!T14:V14,"A"))*4)+((COUNTIF('Elève (5ème4)'!T14:V14,"B"))*3)+((COUNTIF('Elève (5ème4)'!T14:V14,"C"))*2)+((COUNTIF('Elève (5ème4)'!T14:V14,"D"))*1))/(COUNTA(T14:V14)),"")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(5ème4)'!Y14:AA14,"A"))*4)+((COUNTIF('Elève (5ème4)'!Y14:AA14,"B"))*3)+((COUNTIF('Elève (5ème4)'!Y14:AA14,"C"))*2)+((COUNTIF('Elève (5ème4)'!Y14:AA14,"D"))*1))/(COUNTA(Y14:AA14)),"")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(5ème4)'!AD14:AF14,"A"))*4)+((COUNTIF('Elève (5ème4)'!AD14:AF14,"B"))*3)+((COUNTIF('Elève (5ème4)'!AD14:AF14,"C"))*2)+((COUNTIF('Elève (5ème4)'!AD14:AF14,"D"))*1))/(COUNTA(AD14:AF14)),"")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(5ème4)'!AK14:AM14,"A"))*4)+((COUNTIF('Elève (5ème4)'!AK14:AM14,"B"))*3)+((COUNTIF('Elève (5ème4)'!AK14:AM14,"C"))*2)+((COUNTIF('Elève (5ème4)'!AK14:AM14,"D"))*1))/(COUNTA(AK14:AM14)),"")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(5ème4)'!AP14:AR14,"A"))*4)+((COUNTIF('Elève (5ème4)'!AP14:AR14,"B"))*3)+((COUNTIF('Elève (5ème4)'!AP14:AR14,"C"))*2)+((COUNTIF('Elève (5ème4)'!AP14:AR14,"D"))*1))/(COUNTA(AP14:AR14)),"")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(5ème4)'!AU14:AW14,"A"))*4)+((COUNTIF('Elève (5ème4)'!AU14:AW14,"B"))*3)+((COUNTIF('Elève (5ème4)'!AU14:AW14,"C"))*2)+((COUNTIF('Elève (5ème4)'!AU14:AW14,"D"))*1))/(COUNTA(AU14:AW14)),"")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(5ème4)'!BB14:BD14,"A"))*4)+((COUNTIF('Elève (5ème4)'!BB14:BD14,"B"))*3)+((COUNTIF('Elève (5ème4)'!BB14:BD14,"C"))*2)+((COUNTIF('Elève (5ème4)'!BB14:BD14,"D"))*1))/(COUNTA(BB14:BD14)),"")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(5ème4)'!BG14:BI14,"A"))*4)+((COUNTIF('Elève (5ème4)'!BG14:BI14,"B"))*3)+((COUNTIF('Elève (5ème4)'!BG14:BI14,"C"))*2)+((COUNTIF('Elève (5ème4)'!BG14:BI14,"D"))*1))/(COUNTA(BG14:BI14)),"")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(5ème4)'!BL14:BN14,"A"))*4)+((COUNTIF('Elève (5ème4)'!BL14:BN14,"B"))*3)+((COUNTIF('Elève (5ème4)'!BL14:BN14,"C"))*2)+((COUNTIF('Elève (5ème4)'!BL14:BN14,"D"))*1))/(COUNTA(BL14:BN14)),"")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(5ème4)'!BS14:BU14,"A"))*4)+((COUNTIF('Elève (5ème4)'!BS14:BU14,"B"))*3)+((COUNTIF('Elève (5ème4)'!BS14:BU14,"C"))*2)+((COUNTIF('Elève (5ème4)'!BS14:BU14,"D"))*1))/(COUNTA(BS14:BU14)),"")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(5ème4)'!BX14:BZ14,"A"))*4)+((COUNTIF('Elève (5ème4)'!BX14:BZ14,"B"))*3)+((COUNTIF('Elève (5ème4)'!BX14:BZ14,"C"))*2)+((COUNTIF('Elève (5ème4)'!BX14:BZ14,"D"))*1))/(COUNTA(BX14:BZ14)),"")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(5ème4)'!CC14:CE14,"A"))*4)+((COUNTIF('Elève (5ème4)'!CC14:CE14,"B"))*3)+((COUNTIF('Elève (5ème4)'!CC14:CE14,"C"))*2)+((COUNTIF('Elève (5ème4)'!CC14:CE14,"D"))*1))/(COUNTA(CC14:CE14)),"")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(5ème4)'!CJ14:CL14,"A"))*4)+((COUNTIF('Elève (5ème4)'!CJ14:CL14,"B"))*3)+((COUNTIF('Elève (5ème4)'!CJ14:CL14,"C"))*2)+((COUNTIF('Elève (5ème4)'!CJ14:CL14,"D"))*1))/(COUNTA(CJ14:CL14)),"")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(5ème4)'!CO14:CQ14,"A"))*4)+((COUNTIF('Elève (5ème4)'!CO14:CQ14,"B"))*3)+((COUNTIF('Elève (5ème4)'!CO14:CQ14,"C"))*2)+((COUNTIF('Elève (5ème4)'!CO14:CQ14,"D"))*1))/(COUNTA(CO14:CQ14)),"")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(5ème4)'!CT14:CV14,"A"))*4)+((COUNTIF('Elève (5ème4)'!CT14:CV14,"B"))*3)+((COUNTIF('Elève (5ème4)'!CT14:CV14,"C"))*2)+((COUNTIF('Elève (5ème4)'!CT14:CV14,"D"))*1))/(COUNTA(CT14:CV14)),"")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(5ème4)'!DA14:DC14,"A"))*4)+((COUNTIF('Elève (5ème4)'!DA14:DC14,"B"))*3)+((COUNTIF('Elève (5ème4)'!DA14:DC14,"C"))*2)+((COUNTIF('Elève (5ème4)'!DA14:DC14,"D"))*1))/(COUNTA(DA14:DC14)),"")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(5ème4)'!DF14:DH14,"A"))*4)+((COUNTIF('Elève (5ème4)'!DF14:DH14,"B"))*3)+((COUNTIF('Elève (5ème4)'!DF14:DH14,"C"))*2)+((COUNTIF('Elève (5ème4)'!DF14:DH14,"D"))*1))/(COUNTA(DF14:DH14)),"")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(5ème4)'!DK14:DM14,"A"))*4)+((COUNTIF('Elève (5ème4)'!DK14:DM14,"B"))*3)+((COUNTIF('Elève (5ème4)'!DK14:DM14,"C"))*2)+((COUNTIF('Elève (5ème4)'!DK14:DM14,"D"))*1))/(COUNTA(DK14:DM14)),"")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(5ème4)'!DR14:DT14,"A"))*4)+((COUNTIF('Elève (5ème4)'!DR14:DT14,"B"))*3)+((COUNTIF('Elève (5ème4)'!DR14:DT14,"C"))*2)+((COUNTIF('Elève (5ème4)'!DR14:DT14,"D"))*1))/(COUNTA(DR14:DT14)),"")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(5ème4)'!DW14:DY14,"A"))*4)+((COUNTIF('Elève (5ème4)'!DW14:DY14,"B"))*3)+((COUNTIF('Elève (5ème4)'!DW14:DY14,"C"))*2)+((COUNTIF('Elève (5ème4)'!DW14:DY14,"D"))*1))/(COUNTA(DW14:DY14)),"")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(5ème4)'!EB14:ED14,"A"))*4)+((COUNTIF('Elève (5ème4)'!EB14:ED14,"B"))*3)+((COUNTIF('Elève (5ème4)'!EB14:ED14,"C"))*2)+((COUNTIF('Elève (5ème4)'!EB14:ED14,"D"))*1))/(COUNTA(EB14:ED14)),"")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(5ème4)'!EI14:EK14,"A"))*4)+((COUNTIF('Elève (5ème4)'!EI14:EK14,"B"))*3)+((COUNTIF('Elève (5ème4)'!EI14:EK14,"C"))*2)+((COUNTIF('Elève (5ème4)'!EI14:EK14,"D"))*1))/(COUNTA(EI14:EK14)),"")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(5ème4)'!EN14:EP14,"A"))*4)+((COUNTIF('Elève (5ème4)'!EN14:EP14,"B"))*3)+((COUNTIF('Elève (5ème4)'!EN14:EP14,"C"))*2)+((COUNTIF('Elève (5ème4)'!EN14:EP14,"D"))*1))/(COUNTA(EN14:EP14)),"")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(5ème4)'!ES14:EU14,"A"))*4)+((COUNTIF('Elève (5ème4)'!ES14:EU14,"B"))*3)+((COUNTIF('Elève (5ème4)'!ES14:EU14,"C"))*2)+((COUNTIF('Elève (5ème4)'!ES14:EU14,"D"))*1))/(COUNTA(ES14:EU14)),"")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(5ème4)'!EZ14:FB14,"A"))*4)+((COUNTIF('Elève (5ème4)'!EZ14:FB14,"B"))*3)+((COUNTIF('Elève (5ème4)'!EZ14:FB14,"C"))*2)+((COUNTIF('Elève (5ème4)'!EZ14:FB14,"D"))*1))/(COUNTA(EZ14:FB14)),"")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(5ème4)'!FE14:FG14,"A"))*4)+((COUNTIF('Elève (5ème4)'!FE14:FG14,"B"))*3)+((COUNTIF('Elève (5ème4)'!FE14:FG14,"C"))*2)+((COUNTIF('Elève (5ème4)'!FE14:FG14,"D"))*1))/(COUNTA(FE14:FG14)),"")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(5ème4)'!FJ14:FL14,"A"))*4)+((COUNTIF('Elève (5ème4)'!FJ14:FL14,"B"))*3)+((COUNTIF('Elève (5ème4)'!FJ14:FL14,"C"))*2)+((COUNTIF('Elève (5ème4)'!FJ14:FL14,"D"))*1))/(COUNTA(FJ14:FL14)),"")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(5ème4)'!FQ14:FS14,"A"))*4)+((COUNTIF('Elève (5ème4)'!FQ14:FS14,"B"))*3)+((COUNTIF('Elève (5ème4)'!FQ14:FS14,"C"))*2)+((COUNTIF('Elève (5ème4)'!FQ14:FS14,"D"))*1))/(COUNTA(FQ14:FS14)),"")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(5ème4)'!FV14:FX14,"A"))*4)+((COUNTIF('Elève (5ème4)'!FV14:FX14,"B"))*3)+((COUNTIF('Elève (5ème4)'!FV14:FX14,"C"))*2)+((COUNTIF('Elève (5ème4)'!FV14:FX14,"D"))*1))/(COUNTA(FV14:FX14)),"")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(5ème4)'!GA14:GC14,"A"))*4)+((COUNTIF('Elève (5ème4)'!GA14:GC14,"B"))*3)+((COUNTIF('Elève (5ème4)'!GA14:GC14,"C"))*2)+((COUNTIF('Elève (5ème4)'!GA14:GC14,"D"))*1))/(COUNTA(GA14:GC14)),"")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(5ème4)'!GH14:GJ14,"A"))*4)+((COUNTIF('Elève (5ème4)'!GH14:GJ14,"B"))*3)+((COUNTIF('Elève (5ème4)'!GH14:GJ14,"C"))*2)+((COUNTIF('Elève (5ème4)'!GH14:GJ14,"D"))*1))/(COUNTA(GH14:GJ14)),"")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(5ème4)'!GM14:GO14,"A"))*4)+((COUNTIF('Elève (5ème4)'!GM14:GO14,"B"))*3)+((COUNTIF('Elève (5ème4)'!GM14:GO14,"C"))*2)+((COUNTIF('Elève (5ème4)'!GM14:GO14,"D"))*1))/(COUNTA(GM14:GO14)),"")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(5ème4)'!GR14:GT14,"A"))*4)+((COUNTIF('Elève (5ème4)'!GR14:GT14,"B"))*3)+((COUNTIF('Elève (5ème4)'!GR14:GT14,"C"))*2)+((COUNTIF('Elève (5ème4)'!GR14:GT14,"D"))*1))/(COUNTA(GR14:GT14)),"")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(5ème4)'!GY14:HA14,"A"))*4)+((COUNTIF('Elève (5ème4)'!GY14:HA14,"B"))*3)+((COUNTIF('Elève (5ème4)'!GY14:HA14,"C"))*2)+((COUNTIF('Elève (5ème4)'!GY14:HA14,"D"))*1))/(COUNTA(GY14:HA14)),"")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(5ème4)'!HD14:HF14,"A"))*4)+((COUNTIF('Elève (5ème4)'!HD14:HF14,"B"))*3)+((COUNTIF('Elève (5ème4)'!HD14:HF14,"C"))*2)+((COUNTIF('Elève (5ème4)'!HD14:HF14,"D"))*1))/(COUNTA(HD14:HF14)),"")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(5ème4)'!HI14:HK14,"A"))*4)+((COUNTIF('Elève (5ème4)'!HI14:HK14,"B"))*3)+((COUNTIF('Elève (5ème4)'!HI14:HK14,"C"))*2)+((COUNTIF('Elève (5ème4)'!HI14:HK14,"D"))*1))/(COUNTA(HI14:HK14)),"")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(5ème4)'!HP14:HR14,"A"))*4)+((COUNTIF('Elève (5ème4)'!HP14:HR14,"B"))*3)+((COUNTIF('Elève (5ème4)'!HP14:HR14,"C"))*2)+((COUNTIF('Elève (5ème4)'!HP14:HR14,"D"))*1))/(COUNTA(HP14:HR14)),"")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(5ème4)'!HU14:HW14,"A"))*4)+((COUNTIF('Elève (5ème4)'!HU14:HW14,"B"))*3)+((COUNTIF('Elève (5ème4)'!HU14:HW14,"C"))*2)+((COUNTIF('Elève (5ème4)'!HU14:HW14,"D"))*1))/(COUNTA(HU14:HW14)),"")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(5ème4)'!HZ14:IB14,"A"))*4)+((COUNTIF('Elève (5ème4)'!HZ14:IB14,"B"))*3)+((COUNTIF('Elève (5ème4)'!HZ14:IB14,"C"))*2)+((COUNTIF('Elève (5ème4)'!HZ14:IB14,"D"))*1))/(COUNTA(HZ14:IB14)),"")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(5ème4)'!IG14:II14,"A"))*4)+((COUNTIF('Elève (5ème4)'!IG14:II14,"B"))*3)+((COUNTIF('Elève (5ème4)'!IG14:II14,"C"))*2)+((COUNTIF('Elève (5ème4)'!IG14:II14,"D"))*1))/(COUNTA(IG14:II14)),"")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(5ème4)'!IL14:IN14,"A"))*4)+((COUNTIF('Elève (5ème4)'!IL14:IN14,"B"))*3)+((COUNTIF('Elève (5ème4)'!IL14:IN14,"C"))*2)+((COUNTIF('Elève (5ème4)'!IL14:IN14,"D"))*1))/(COUNTA(IL14:IN14)),"")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(5ème4)'!IQ14:IS14,"A"))*4)+((COUNTIF('Elève (5ème4)'!IQ14:IS14,"B"))*3)+((COUNTIF('Elève (5ème4)'!IQ14:IS14,"C"))*2)+((COUNTIF('Elève (5ème4)'!IQ14:IS14,"D"))*1))/(COUNTA(IQ14:IS14)),"")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(5ème4)'!IX14:IZ14,"A"))*4)+((COUNTIF('Elève (5ème4)'!IX14:IZ14,"B"))*3)+((COUNTIF('Elève (5ème4)'!IX14:IZ14,"C"))*2)+((COUNTIF('Elève (5ème4)'!IX14:IZ14,"D"))*1))/(COUNTA(IX14:IZ14)),"")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(5ème4)'!JC14:JE14,"A"))*4)+((COUNTIF('Elève (5ème4)'!JC14:JE14,"B"))*3)+((COUNTIF('Elève (5ème4)'!JC14:JE14,"C"))*2)+((COUNTIF('Elève (5ème4)'!JC14:JE14,"D"))*1))/(COUNTA(JC14:JE14)),"")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(5ème4)'!JH14:JJ14,"A"))*4)+((COUNTIF('Elève (5ème4)'!JH14:JJ14,"B"))*3)+((COUNTIF('Elève (5ème4)'!JH14:JJ14,"C"))*2)+((COUNTIF('Elève (5ème4)'!JH14:JJ14,"D"))*1))/(COUNTA(JH14:JJ14)),"")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(5ème4)'!JO14:JQ14,"A"))*4)+((COUNTIF('Elève (5ème4)'!JO14:JQ14,"B"))*3)+((COUNTIF('Elève (5ème4)'!JO14:JQ14,"C"))*2)+((COUNTIF('Elève (5ème4)'!JO14:JQ14,"D"))*1))/(COUNTA(JO14:JQ14)),"")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(5ème4)'!JT14:JV14,"A"))*4)+((COUNTIF('Elève (5ème4)'!JT14:JV14,"B"))*3)+((COUNTIF('Elève (5ème4)'!JT14:JV14,"C"))*2)+((COUNTIF('Elève (5ème4)'!JT14:JV14,"D"))*1))/(COUNTA(JT14:JV14)),"")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(5ème4)'!JY14:KA14,"A"))*4)+((COUNTIF('Elève (5ème4)'!JY14:KA14,"B"))*3)+((COUNTIF('Elève (5ème4)'!JY14:KA14,"C"))*2)+((COUNTIF('Elève (5ème4)'!JY14:KA14,"D"))*1))/(COUNTA(JY14:KA14)),"")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(5ème4)'!KF14:KH14,"A"))*4)+((COUNTIF('Elève (5ème4)'!KF14:KH14,"B"))*3)+((COUNTIF('Elève (5ème4)'!KF14:KH14,"C"))*2)+((COUNTIF('Elève (5ème4)'!KF14:KH14,"D"))*1))/(COUNTA(KF14:KH14)),"")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(5ème4)'!KK14:KM14,"A"))*4)+((COUNTIF('Elève (5ème4)'!KK14:KM14,"B"))*3)+((COUNTIF('Elève (5ème4)'!KK14:KM14,"C"))*2)+((COUNTIF('Elève (5ème4)'!KK14:KM14,"D"))*1))/(COUNTA(KK14:KM14)),"")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(5ème4)'!KP14:KR14,"A"))*4)+((COUNTIF('Elève (5ème4)'!KP14:KR14,"B"))*3)+((COUNTIF('Elève (5ème4)'!KP14:KR14,"C"))*2)+((COUNTIF('Elève (5ème4)'!KP14:KR14,"D"))*1))/(COUNTA(KP14:KR14)),"")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(5ème4)'!KW14:KY14,"A"))*4)+((COUNTIF('Elève (5ème4)'!KW14:KY14,"B"))*3)+((COUNTIF('Elève (5ème4)'!KW14:KY14,"C"))*2)+((COUNTIF('Elève (5ème4)'!KW14:KY14,"D"))*1))/(COUNTA(KW14:KY14)),"")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(5ème4)'!LB14:LD14,"A"))*4)+((COUNTIF('Elève (5ème4)'!LB14:LD14,"B"))*3)+((COUNTIF('Elève (5ème4)'!LB14:LD14,"C"))*2)+((COUNTIF('Elève (5ème4)'!LB14:LD14,"D"))*1))/(COUNTA(LB14:LD14)),"")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(5ème4)'!LG14:LI14,"A"))*4)+((COUNTIF('Elève (5ème4)'!LG14:LI14,"B"))*3)+((COUNTIF('Elève (5ème4)'!LG14:LI14,"C"))*2)+((COUNTIF('Elève (5ème4)'!LG14:LI14,"D"))*1))/(COUNTA(LG14:LI14)),"")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(5ème4)'!LN14:LP14,"A"))*4)+((COUNTIF('Elève (5ème4)'!LN14:LP14,"B"))*3)+((COUNTIF('Elève (5ème4)'!LN14:LP14,"C"))*2)+((COUNTIF('Elève (5ème4)'!LN14:LP14,"D"))*1))/(COUNTA(LN14:LP14)),"")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(5ème4)'!LS14:LU14,"A"))*4)+((COUNTIF('Elève (5ème4)'!LS14:LU14,"B"))*3)+((COUNTIF('Elève (5ème4)'!LS14:LU14,"C"))*2)+((COUNTIF('Elève (5ème4)'!LS14:LU14,"D"))*1))/(COUNTA(LS14:LU14)),"")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(5ème4)'!LX14:LZ14,"A"))*4)+((COUNTIF('Elève (5ème4)'!LX14:LZ14,"B"))*3)+((COUNTIF('Elève (5ème4)'!LX14:LZ14,"C"))*2)+((COUNTIF('Elève (5ème4)'!LX14:LZ14,"D"))*1))/(COUNTA(LX14:LZ14)),"")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(5ème4)'!ME14:MG14,"A"))*4)+((COUNTIF('Elève (5ème4)'!ME14:MG14,"B"))*3)+((COUNTIF('Elève (5ème4)'!ME14:MG14,"C"))*2)+((COUNTIF('Elève (5ème4)'!ME14:MG14,"D"))*1))/(COUNTA(ME14:MG14)),"")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(5ème4)'!MJ14:ML14,"A"))*4)+((COUNTIF('Elève (5ème4)'!MJ14:ML14,"B"))*3)+((COUNTIF('Elève (5ème4)'!MJ14:ML14,"C"))*2)+((COUNTIF('Elève (5ème4)'!MJ14:ML14,"D"))*1))/(COUNTA(MJ14:ML14)),"")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(5ème4)'!MO14:MQ14,"A"))*4)+((COUNTIF('Elève (5ème4)'!MO14:MQ14,"B"))*3)+((COUNTIF('Elève (5ème4)'!MO14:MQ14,"C"))*2)+((COUNTIF('Elève (5ème4)'!MO14:MQ14,"D"))*1))/(COUNTA(MO14:MQ14)),"")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(5ème4)'!MV14:MX14,"A"))*4)+((COUNTIF('Elève (5ème4)'!MV14:MX14,"B"))*3)+((COUNTIF('Elève (5ème4)'!MV14:MX14,"C"))*2)+((COUNTIF('Elève (5ème4)'!MV14:MX14,"D"))*1))/(COUNTA(MV14:MX14)),"")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(5ème4)'!NA14:NC14,"A"))*4)+((COUNTIF('Elève (5ème4)'!NA14:NC14,"B"))*3)+((COUNTIF('Elève (5ème4)'!NA14:NC14,"C"))*2)+((COUNTIF('Elève (5ème4)'!NA14:NC14,"D"))*1))/(COUNTA(NA14:NC14)),"")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(5ème4)'!NF14:NH14,"A"))*4)+((COUNTIF('Elève (5ème4)'!NF14:NH14,"B"))*3)+((COUNTIF('Elève (5ème4)'!NF14:NH14,"C"))*2)+((COUNTIF('Elève (5ème4)'!NF14:NH14,"D"))*1))/(COUNTA(NF14:NH14)),"")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(5ème4)'!NM14:NO14,"A"))*4)+((COUNTIF('Elève (5ème4)'!NM14:NO14,"B"))*3)+((COUNTIF('Elève (5ème4)'!NM14:NO14,"C"))*2)+((COUNTIF('Elève (5ème4)'!NM14:NO14,"D"))*1))/(COUNTA(NM14:NO14)),"")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(5ème4)'!NR14:NT14,"A"))*4)+((COUNTIF('Elève (5ème4)'!NR14:NT14,"B"))*3)+((COUNTIF('Elève (5ème4)'!NR14:NT14,"C"))*2)+((COUNTIF('Elève (5ème4)'!NR14:NT14,"D"))*1))/(COUNTA(NR14:NT14)),"")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(5ème4)'!NW14:NY14,"A"))*4)+((COUNTIF('Elève (5ème4)'!NW14:NY14,"B"))*3)+((COUNTIF('Elève (5ème4)'!NW14:NY14,"C"))*2)+((COUNTIF('Elève (5ème4)'!NW14:NY14,"D"))*1))/(COUNTA(NW14:NY14)),"")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(5ème4)'!OD14:OF14,"A"))*4)+((COUNTIF('Elève (5ème4)'!OD14:OF14,"B"))*3)+((COUNTIF('Elève (5ème4)'!OD14:OF14,"C"))*2)+((COUNTIF('Elève (5ème4)'!OD14:OF14,"D"))*1))/(COUNTA(OD14:OF14)),"")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(5ème4)'!OI14:OK14,"A"))*4)+((COUNTIF('Elève (5ème4)'!OI14:OK14,"B"))*3)+((COUNTIF('Elève (5ème4)'!OI14:OK14,"C"))*2)+((COUNTIF('Elève (5ème4)'!OI14:OK14,"D"))*1))/(COUNTA(OI14:OK14)),"")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(5ème4)'!ON14:OP14,"A"))*4)+((COUNTIF('Elève (5ème4)'!ON14:OP14,"B"))*3)+((COUNTIF('Elève (5ème4)'!ON14:OP14,"C"))*2)+((COUNTIF('Elève (5ème4)'!ON14:OP14,"D"))*1))/(COUNTA(ON14:OP14)),"")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(5ème4)'!OU14:OW14,"A"))*4)+((COUNTIF('Elève (5ème4)'!OU14:OW14,"B"))*3)+((COUNTIF('Elève (5ème4)'!OU14:OW14,"C"))*2)+((COUNTIF('Elève (5ème4)'!OU14:OW14,"D"))*1))/(COUNTA(OU14:OW14)),"")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(5ème4)'!OZ14:PB14,"A"))*4)+((COUNTIF('Elève (5ème4)'!OZ14:PB14,"B"))*3)+((COUNTIF('Elève (5ème4)'!OZ14:PB14,"C"))*2)+((COUNTIF('Elève (5ème4)'!OZ14:PB14,"D"))*1))/(COUNTA(OZ14:PB14)),"")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(5ème4)'!PE14:PG14,"A"))*4)+((COUNTIF('Elève (5ème4)'!PE14:PG14,"B"))*3)+((COUNTIF('Elève (5ème4)'!PE14:PG14,"C"))*2)+((COUNTIF('Elève (5ème4)'!PE14:PG14,"D"))*1))/(COUNTA(PE14:PG14)),"")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(5ème4)'!PL14:PN14,"A"))*4)+((COUNTIF('Elève (5ème4)'!PL14:PN14,"B"))*3)+((COUNTIF('Elève (5ème4)'!PL14:PN14,"C"))*2)+((COUNTIF('Elève (5ème4)'!PL14:PN14,"D"))*1))/(COUNTA(PL14:PN14)),"")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(5ème4)'!PQ14:PS14,"A"))*4)+((COUNTIF('Elève (5ème4)'!PQ14:PS14,"B"))*3)+((COUNTIF('Elève (5ème4)'!PQ14:PS14,"C"))*2)+((COUNTIF('Elève (5ème4)'!PQ14:PS14,"D"))*1))/(COUNTA(PQ14:PS14)),"")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(5ème4)'!PV14:PX14,"A"))*4)+((COUNTIF('Elève (5ème4)'!PV14:PX14,"B"))*3)+((COUNTIF('Elève (5ème4)'!PV14:PX14,"C"))*2)+((COUNTIF('Elève (5ème4)'!PV14:PX14,"D"))*1))/(COUNTA(PV14:PX14)),"")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(5ème4)'!QC14:QE14,"A"))*4)+((COUNTIF('Elève (5ème4)'!QC14:QE14,"B"))*3)+((COUNTIF('Elève (5ème4)'!QC14:QE14,"C"))*2)+((COUNTIF('Elève (5ème4)'!QC14:QE14,"D"))*1))/(COUNTA(QC14:QE14)),"")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(5ème4)'!QH14:QJ14,"A"))*4)+((COUNTIF('Elève (5ème4)'!QH14:QJ14,"B"))*3)+((COUNTIF('Elève (5ème4)'!QH14:QJ14,"C"))*2)+((COUNTIF('Elève (5ème4)'!QH14:QJ14,"D"))*1))/(COUNTA(QH14:QJ14)),"")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(5ème4)'!QM14:QO14,"A"))*4)+((COUNTIF('Elève (5ème4)'!QM14:QO14,"B"))*3)+((COUNTIF('Elève (5ème4)'!QM14:QO14,"C"))*2)+((COUNTIF('Elève (5ème4)'!QM14:QO14,"D"))*1))/(COUNTA(QM14:QO14)),"")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(5ème4)'!QT14:QV14,"A"))*4)+((COUNTIF('Elève (5ème4)'!QT14:QV14,"B"))*3)+((COUNTIF('Elève (5ème4)'!QT14:QV14,"C"))*2)+((COUNTIF('Elève (5ème4)'!QT14:QV14,"D"))*1))/(COUNTA(QT14:QV14)),"")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(5ème4)'!QY14:RA14,"A"))*4)+((COUNTIF('Elève (5ème4)'!QY14:RA14,"B"))*3)+((COUNTIF('Elève (5ème4)'!QY14:RA14,"C"))*2)+((COUNTIF('Elève (5ème4)'!QY14:RA14,"D"))*1))/(COUNTA(QY14:RA14)),"")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(5ème4)'!RD14:RF14,"A"))*4)+((COUNTIF('Elève (5ème4)'!RD14:RF14,"B"))*3)+((COUNTIF('Elève (5ème4)'!RD14:RF14,"C"))*2)+((COUNTIF('Elève (5ème4)'!RD14:RF14,"D"))*1))/(COUNTA(RD14:RF14)),"")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(5ème4)'!RK14:RM14,"A"))*4)+((COUNTIF('Elève (5ème4)'!RK14:RM14,"B"))*3)+((COUNTIF('Elève (5ème4)'!RK14:RM14,"C"))*2)+((COUNTIF('Elève (5ème4)'!RK14:RM14,"D"))*1))/(COUNTA(RK14:RM14)),"")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(5ème4)'!RP14:RR14,"A"))*4)+((COUNTIF('Elève (5ème4)'!RP14:RR14,"B"))*3)+((COUNTIF('Elève (5ème4)'!RP14:RR14,"C"))*2)+((COUNTIF('Elève (5ème4)'!RP14:RR14,"D"))*1))/(COUNTA(RP14:RR14)),"")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(5ème4)'!RU14:RW14,"A"))*4)+((COUNTIF('Elève (5ème4)'!RU14:RW14,"B"))*3)+((COUNTIF('Elève (5ème4)'!RU14:RW14,"C"))*2)+((COUNTIF('Elève (5ème4)'!RU14:RW14,"D"))*1))/(COUNTA(RU14:RW14)),"")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(5ème4)'!SB14:SD14,"A"))*4)+((COUNTIF('Elève (5ème4)'!SB14:SD14,"B"))*3)+((COUNTIF('Elève (5ème4)'!SB14:SD14,"C"))*2)+((COUNTIF('Elève (5ème4)'!SB14:SD14,"D"))*1))/(COUNTA(SB14:SD14)),"")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(5ème4)'!SG14:SI14,"A"))*4)+((COUNTIF('Elève (5ème4)'!SG14:SI14,"B"))*3)+((COUNTIF('Elève (5ème4)'!SG14:SI14,"C"))*2)+((COUNTIF('Elève (5ème4)'!SG14:SI14,"D"))*1))/(COUNTA(SG14:SI14)),"")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(5ème4)'!SL14:SN14,"A"))*4)+((COUNTIF('Elève (5ème4)'!SL14:SN14,"B"))*3)+((COUNTIF('Elève (5ème4)'!SL14:SN14,"C"))*2)+((COUNTIF('Elève (5ème4)'!SL14:SN14,"D"))*1))/(COUNTA(SL14:SN14)),"")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25" t="s">
        <v>37</v>
      </c>
      <c r="B15" s="226"/>
      <c r="C15" s="159"/>
      <c r="D15" s="160"/>
      <c r="E15" s="161"/>
      <c r="F15" s="112" t="str">
        <f>IFERROR((((COUNTIF('Elève (5ème4)'!C15:E15,"A"))*4)+((COUNTIF('Elève (5ème4)'!C15:E15,"B"))*3)+((COUNTIF('Elève (5ème4)'!C15:E15,"C"))*2)+((COUNTIF('Elève (5ème4)'!C15:E15,"D"))*1))/(COUNTA(C15:E15)),"")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(5ème4)'!H15:J15,"A"))*4)+((COUNTIF('Elève (5ème4)'!H15:J15,"B"))*3)+((COUNTIF('Elève (5ème4)'!H15:J15,"C"))*2)+((COUNTIF('Elève (5ème4)'!H15:J15,"D"))*1))/(COUNTA(H15:J15)),"")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(5ème4)'!M15:O15,"A"))*4)+((COUNTIF('Elève (5ème4)'!M15:O15,"B"))*3)+((COUNTIF('Elève (5ème4)'!M15:O15,"C"))*2)+((COUNTIF('Elève (5ème4)'!M15:O15,"D"))*1))/(COUNTA(M15:O15)),"")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(5ème4)'!T15:V15,"A"))*4)+((COUNTIF('Elève (5ème4)'!T15:V15,"B"))*3)+((COUNTIF('Elève (5ème4)'!T15:V15,"C"))*2)+((COUNTIF('Elève (5ème4)'!T15:V15,"D"))*1))/(COUNTA(T15:V15)),"")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(5ème4)'!Y15:AA15,"A"))*4)+((COUNTIF('Elève (5ème4)'!Y15:AA15,"B"))*3)+((COUNTIF('Elève (5ème4)'!Y15:AA15,"C"))*2)+((COUNTIF('Elève (5ème4)'!Y15:AA15,"D"))*1))/(COUNTA(Y15:AA15)),"")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(5ème4)'!AD15:AF15,"A"))*4)+((COUNTIF('Elève (5ème4)'!AD15:AF15,"B"))*3)+((COUNTIF('Elève (5ème4)'!AD15:AF15,"C"))*2)+((COUNTIF('Elève (5ème4)'!AD15:AF15,"D"))*1))/(COUNTA(AD15:AF15)),"")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(5ème4)'!AK15:AM15,"A"))*4)+((COUNTIF('Elève (5ème4)'!AK15:AM15,"B"))*3)+((COUNTIF('Elève (5ème4)'!AK15:AM15,"C"))*2)+((COUNTIF('Elève (5ème4)'!AK15:AM15,"D"))*1))/(COUNTA(AK15:AM15)),"")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(5ème4)'!AP15:AR15,"A"))*4)+((COUNTIF('Elève (5ème4)'!AP15:AR15,"B"))*3)+((COUNTIF('Elève (5ème4)'!AP15:AR15,"C"))*2)+((COUNTIF('Elève (5ème4)'!AP15:AR15,"D"))*1))/(COUNTA(AP15:AR15)),"")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(5ème4)'!AU15:AW15,"A"))*4)+((COUNTIF('Elève (5ème4)'!AU15:AW15,"B"))*3)+((COUNTIF('Elève (5ème4)'!AU15:AW15,"C"))*2)+((COUNTIF('Elève (5ème4)'!AU15:AW15,"D"))*1))/(COUNTA(AU15:AW15)),"")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(5ème4)'!BB15:BD15,"A"))*4)+((COUNTIF('Elève (5ème4)'!BB15:BD15,"B"))*3)+((COUNTIF('Elève (5ème4)'!BB15:BD15,"C"))*2)+((COUNTIF('Elève (5ème4)'!BB15:BD15,"D"))*1))/(COUNTA(BB15:BD15)),"")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(5ème4)'!BG15:BI15,"A"))*4)+((COUNTIF('Elève (5ème4)'!BG15:BI15,"B"))*3)+((COUNTIF('Elève (5ème4)'!BG15:BI15,"C"))*2)+((COUNTIF('Elève (5ème4)'!BG15:BI15,"D"))*1))/(COUNTA(BG15:BI15)),"")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(5ème4)'!BL15:BN15,"A"))*4)+((COUNTIF('Elève (5ème4)'!BL15:BN15,"B"))*3)+((COUNTIF('Elève (5ème4)'!BL15:BN15,"C"))*2)+((COUNTIF('Elève (5ème4)'!BL15:BN15,"D"))*1))/(COUNTA(BL15:BN15)),"")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(5ème4)'!BS15:BU15,"A"))*4)+((COUNTIF('Elève (5ème4)'!BS15:BU15,"B"))*3)+((COUNTIF('Elève (5ème4)'!BS15:BU15,"C"))*2)+((COUNTIF('Elève (5ème4)'!BS15:BU15,"D"))*1))/(COUNTA(BS15:BU15)),"")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(5ème4)'!BX15:BZ15,"A"))*4)+((COUNTIF('Elève (5ème4)'!BX15:BZ15,"B"))*3)+((COUNTIF('Elève (5ème4)'!BX15:BZ15,"C"))*2)+((COUNTIF('Elève (5ème4)'!BX15:BZ15,"D"))*1))/(COUNTA(BX15:BZ15)),"")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(5ème4)'!CC15:CE15,"A"))*4)+((COUNTIF('Elève (5ème4)'!CC15:CE15,"B"))*3)+((COUNTIF('Elève (5ème4)'!CC15:CE15,"C"))*2)+((COUNTIF('Elève (5ème4)'!CC15:CE15,"D"))*1))/(COUNTA(CC15:CE15)),"")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(5ème4)'!CJ15:CL15,"A"))*4)+((COUNTIF('Elève (5ème4)'!CJ15:CL15,"B"))*3)+((COUNTIF('Elève (5ème4)'!CJ15:CL15,"C"))*2)+((COUNTIF('Elève (5ème4)'!CJ15:CL15,"D"))*1))/(COUNTA(CJ15:CL15)),"")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(5ème4)'!CO15:CQ15,"A"))*4)+((COUNTIF('Elève (5ème4)'!CO15:CQ15,"B"))*3)+((COUNTIF('Elève (5ème4)'!CO15:CQ15,"C"))*2)+((COUNTIF('Elève (5ème4)'!CO15:CQ15,"D"))*1))/(COUNTA(CO15:CQ15)),"")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(5ème4)'!CT15:CV15,"A"))*4)+((COUNTIF('Elève (5ème4)'!CT15:CV15,"B"))*3)+((COUNTIF('Elève (5ème4)'!CT15:CV15,"C"))*2)+((COUNTIF('Elève (5ème4)'!CT15:CV15,"D"))*1))/(COUNTA(CT15:CV15)),"")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(5ème4)'!DA15:DC15,"A"))*4)+((COUNTIF('Elève (5ème4)'!DA15:DC15,"B"))*3)+((COUNTIF('Elève (5ème4)'!DA15:DC15,"C"))*2)+((COUNTIF('Elève (5ème4)'!DA15:DC15,"D"))*1))/(COUNTA(DA15:DC15)),"")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(5ème4)'!DF15:DH15,"A"))*4)+((COUNTIF('Elève (5ème4)'!DF15:DH15,"B"))*3)+((COUNTIF('Elève (5ème4)'!DF15:DH15,"C"))*2)+((COUNTIF('Elève (5ème4)'!DF15:DH15,"D"))*1))/(COUNTA(DF15:DH15)),"")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(5ème4)'!DK15:DM15,"A"))*4)+((COUNTIF('Elève (5ème4)'!DK15:DM15,"B"))*3)+((COUNTIF('Elève (5ème4)'!DK15:DM15,"C"))*2)+((COUNTIF('Elève (5ème4)'!DK15:DM15,"D"))*1))/(COUNTA(DK15:DM15)),"")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(5ème4)'!DR15:DT15,"A"))*4)+((COUNTIF('Elève (5ème4)'!DR15:DT15,"B"))*3)+((COUNTIF('Elève (5ème4)'!DR15:DT15,"C"))*2)+((COUNTIF('Elève (5ème4)'!DR15:DT15,"D"))*1))/(COUNTA(DR15:DT15)),"")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(5ème4)'!DW15:DY15,"A"))*4)+((COUNTIF('Elève (5ème4)'!DW15:DY15,"B"))*3)+((COUNTIF('Elève (5ème4)'!DW15:DY15,"C"))*2)+((COUNTIF('Elève (5ème4)'!DW15:DY15,"D"))*1))/(COUNTA(DW15:DY15)),"")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(5ème4)'!EB15:ED15,"A"))*4)+((COUNTIF('Elève (5ème4)'!EB15:ED15,"B"))*3)+((COUNTIF('Elève (5ème4)'!EB15:ED15,"C"))*2)+((COUNTIF('Elève (5ème4)'!EB15:ED15,"D"))*1))/(COUNTA(EB15:ED15)),"")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(5ème4)'!EI15:EK15,"A"))*4)+((COUNTIF('Elève (5ème4)'!EI15:EK15,"B"))*3)+((COUNTIF('Elève (5ème4)'!EI15:EK15,"C"))*2)+((COUNTIF('Elève (5ème4)'!EI15:EK15,"D"))*1))/(COUNTA(EI15:EK15)),"")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(5ème4)'!EN15:EP15,"A"))*4)+((COUNTIF('Elève (5ème4)'!EN15:EP15,"B"))*3)+((COUNTIF('Elève (5ème4)'!EN15:EP15,"C"))*2)+((COUNTIF('Elève (5ème4)'!EN15:EP15,"D"))*1))/(COUNTA(EN15:EP15)),"")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(5ème4)'!ES15:EU15,"A"))*4)+((COUNTIF('Elève (5ème4)'!ES15:EU15,"B"))*3)+((COUNTIF('Elève (5ème4)'!ES15:EU15,"C"))*2)+((COUNTIF('Elève (5ème4)'!ES15:EU15,"D"))*1))/(COUNTA(ES15:EU15)),"")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(5ème4)'!EZ15:FB15,"A"))*4)+((COUNTIF('Elève (5ème4)'!EZ15:FB15,"B"))*3)+((COUNTIF('Elève (5ème4)'!EZ15:FB15,"C"))*2)+((COUNTIF('Elève (5ème4)'!EZ15:FB15,"D"))*1))/(COUNTA(EZ15:FB15)),"")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(5ème4)'!FE15:FG15,"A"))*4)+((COUNTIF('Elève (5ème4)'!FE15:FG15,"B"))*3)+((COUNTIF('Elève (5ème4)'!FE15:FG15,"C"))*2)+((COUNTIF('Elève (5ème4)'!FE15:FG15,"D"))*1))/(COUNTA(FE15:FG15)),"")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(5ème4)'!FJ15:FL15,"A"))*4)+((COUNTIF('Elève (5ème4)'!FJ15:FL15,"B"))*3)+((COUNTIF('Elève (5ème4)'!FJ15:FL15,"C"))*2)+((COUNTIF('Elève (5ème4)'!FJ15:FL15,"D"))*1))/(COUNTA(FJ15:FL15)),"")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(5ème4)'!FQ15:FS15,"A"))*4)+((COUNTIF('Elève (5ème4)'!FQ15:FS15,"B"))*3)+((COUNTIF('Elève (5ème4)'!FQ15:FS15,"C"))*2)+((COUNTIF('Elève (5ème4)'!FQ15:FS15,"D"))*1))/(COUNTA(FQ15:FS15)),"")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(5ème4)'!FV15:FX15,"A"))*4)+((COUNTIF('Elève (5ème4)'!FV15:FX15,"B"))*3)+((COUNTIF('Elève (5ème4)'!FV15:FX15,"C"))*2)+((COUNTIF('Elève (5ème4)'!FV15:FX15,"D"))*1))/(COUNTA(FV15:FX15)),"")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(5ème4)'!GA15:GC15,"A"))*4)+((COUNTIF('Elève (5ème4)'!GA15:GC15,"B"))*3)+((COUNTIF('Elève (5ème4)'!GA15:GC15,"C"))*2)+((COUNTIF('Elève (5ème4)'!GA15:GC15,"D"))*1))/(COUNTA(GA15:GC15)),"")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(5ème4)'!GH15:GJ15,"A"))*4)+((COUNTIF('Elève (5ème4)'!GH15:GJ15,"B"))*3)+((COUNTIF('Elève (5ème4)'!GH15:GJ15,"C"))*2)+((COUNTIF('Elève (5ème4)'!GH15:GJ15,"D"))*1))/(COUNTA(GH15:GJ15)),"")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(5ème4)'!GM15:GO15,"A"))*4)+((COUNTIF('Elève (5ème4)'!GM15:GO15,"B"))*3)+((COUNTIF('Elève (5ème4)'!GM15:GO15,"C"))*2)+((COUNTIF('Elève (5ème4)'!GM15:GO15,"D"))*1))/(COUNTA(GM15:GO15)),"")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(5ème4)'!GR15:GT15,"A"))*4)+((COUNTIF('Elève (5ème4)'!GR15:GT15,"B"))*3)+((COUNTIF('Elève (5ème4)'!GR15:GT15,"C"))*2)+((COUNTIF('Elève (5ème4)'!GR15:GT15,"D"))*1))/(COUNTA(GR15:GT15)),"")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(5ème4)'!GY15:HA15,"A"))*4)+((COUNTIF('Elève (5ème4)'!GY15:HA15,"B"))*3)+((COUNTIF('Elève (5ème4)'!GY15:HA15,"C"))*2)+((COUNTIF('Elève (5ème4)'!GY15:HA15,"D"))*1))/(COUNTA(GY15:HA15)),"")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(5ème4)'!HD15:HF15,"A"))*4)+((COUNTIF('Elève (5ème4)'!HD15:HF15,"B"))*3)+((COUNTIF('Elève (5ème4)'!HD15:HF15,"C"))*2)+((COUNTIF('Elève (5ème4)'!HD15:HF15,"D"))*1))/(COUNTA(HD15:HF15)),"")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(5ème4)'!HI15:HK15,"A"))*4)+((COUNTIF('Elève (5ème4)'!HI15:HK15,"B"))*3)+((COUNTIF('Elève (5ème4)'!HI15:HK15,"C"))*2)+((COUNTIF('Elève (5ème4)'!HI15:HK15,"D"))*1))/(COUNTA(HI15:HK15)),"")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(5ème4)'!HP15:HR15,"A"))*4)+((COUNTIF('Elève (5ème4)'!HP15:HR15,"B"))*3)+((COUNTIF('Elève (5ème4)'!HP15:HR15,"C"))*2)+((COUNTIF('Elève (5ème4)'!HP15:HR15,"D"))*1))/(COUNTA(HP15:HR15)),"")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(5ème4)'!HU15:HW15,"A"))*4)+((COUNTIF('Elève (5ème4)'!HU15:HW15,"B"))*3)+((COUNTIF('Elève (5ème4)'!HU15:HW15,"C"))*2)+((COUNTIF('Elève (5ème4)'!HU15:HW15,"D"))*1))/(COUNTA(HU15:HW15)),"")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(5ème4)'!HZ15:IB15,"A"))*4)+((COUNTIF('Elève (5ème4)'!HZ15:IB15,"B"))*3)+((COUNTIF('Elève (5ème4)'!HZ15:IB15,"C"))*2)+((COUNTIF('Elève (5ème4)'!HZ15:IB15,"D"))*1))/(COUNTA(HZ15:IB15)),"")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(5ème4)'!IG15:II15,"A"))*4)+((COUNTIF('Elève (5ème4)'!IG15:II15,"B"))*3)+((COUNTIF('Elève (5ème4)'!IG15:II15,"C"))*2)+((COUNTIF('Elève (5ème4)'!IG15:II15,"D"))*1))/(COUNTA(IG15:II15)),"")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(5ème4)'!IL15:IN15,"A"))*4)+((COUNTIF('Elève (5ème4)'!IL15:IN15,"B"))*3)+((COUNTIF('Elève (5ème4)'!IL15:IN15,"C"))*2)+((COUNTIF('Elève (5ème4)'!IL15:IN15,"D"))*1))/(COUNTA(IL15:IN15)),"")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(5ème4)'!IQ15:IS15,"A"))*4)+((COUNTIF('Elève (5ème4)'!IQ15:IS15,"B"))*3)+((COUNTIF('Elève (5ème4)'!IQ15:IS15,"C"))*2)+((COUNTIF('Elève (5ème4)'!IQ15:IS15,"D"))*1))/(COUNTA(IQ15:IS15)),"")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(5ème4)'!IX15:IZ15,"A"))*4)+((COUNTIF('Elève (5ème4)'!IX15:IZ15,"B"))*3)+((COUNTIF('Elève (5ème4)'!IX15:IZ15,"C"))*2)+((COUNTIF('Elève (5ème4)'!IX15:IZ15,"D"))*1))/(COUNTA(IX15:IZ15)),"")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(5ème4)'!JC15:JE15,"A"))*4)+((COUNTIF('Elève (5ème4)'!JC15:JE15,"B"))*3)+((COUNTIF('Elève (5ème4)'!JC15:JE15,"C"))*2)+((COUNTIF('Elève (5ème4)'!JC15:JE15,"D"))*1))/(COUNTA(JC15:JE15)),"")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(5ème4)'!JH15:JJ15,"A"))*4)+((COUNTIF('Elève (5ème4)'!JH15:JJ15,"B"))*3)+((COUNTIF('Elève (5ème4)'!JH15:JJ15,"C"))*2)+((COUNTIF('Elève (5ème4)'!JH15:JJ15,"D"))*1))/(COUNTA(JH15:JJ15)),"")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(5ème4)'!JO15:JQ15,"A"))*4)+((COUNTIF('Elève (5ème4)'!JO15:JQ15,"B"))*3)+((COUNTIF('Elève (5ème4)'!JO15:JQ15,"C"))*2)+((COUNTIF('Elève (5ème4)'!JO15:JQ15,"D"))*1))/(COUNTA(JO15:JQ15)),"")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(5ème4)'!JT15:JV15,"A"))*4)+((COUNTIF('Elève (5ème4)'!JT15:JV15,"B"))*3)+((COUNTIF('Elève (5ème4)'!JT15:JV15,"C"))*2)+((COUNTIF('Elève (5ème4)'!JT15:JV15,"D"))*1))/(COUNTA(JT15:JV15)),"")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(5ème4)'!JY15:KA15,"A"))*4)+((COUNTIF('Elève (5ème4)'!JY15:KA15,"B"))*3)+((COUNTIF('Elève (5ème4)'!JY15:KA15,"C"))*2)+((COUNTIF('Elève (5ème4)'!JY15:KA15,"D"))*1))/(COUNTA(JY15:KA15)),"")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(5ème4)'!KF15:KH15,"A"))*4)+((COUNTIF('Elève (5ème4)'!KF15:KH15,"B"))*3)+((COUNTIF('Elève (5ème4)'!KF15:KH15,"C"))*2)+((COUNTIF('Elève (5ème4)'!KF15:KH15,"D"))*1))/(COUNTA(KF15:KH15)),"")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(5ème4)'!KK15:KM15,"A"))*4)+((COUNTIF('Elève (5ème4)'!KK15:KM15,"B"))*3)+((COUNTIF('Elève (5ème4)'!KK15:KM15,"C"))*2)+((COUNTIF('Elève (5ème4)'!KK15:KM15,"D"))*1))/(COUNTA(KK15:KM15)),"")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(5ème4)'!KP15:KR15,"A"))*4)+((COUNTIF('Elève (5ème4)'!KP15:KR15,"B"))*3)+((COUNTIF('Elève (5ème4)'!KP15:KR15,"C"))*2)+((COUNTIF('Elève (5ème4)'!KP15:KR15,"D"))*1))/(COUNTA(KP15:KR15)),"")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(5ème4)'!KW15:KY15,"A"))*4)+((COUNTIF('Elève (5ème4)'!KW15:KY15,"B"))*3)+((COUNTIF('Elève (5ème4)'!KW15:KY15,"C"))*2)+((COUNTIF('Elève (5ème4)'!KW15:KY15,"D"))*1))/(COUNTA(KW15:KY15)),"")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(5ème4)'!LB15:LD15,"A"))*4)+((COUNTIF('Elève (5ème4)'!LB15:LD15,"B"))*3)+((COUNTIF('Elève (5ème4)'!LB15:LD15,"C"))*2)+((COUNTIF('Elève (5ème4)'!LB15:LD15,"D"))*1))/(COUNTA(LB15:LD15)),"")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(5ème4)'!LG15:LI15,"A"))*4)+((COUNTIF('Elève (5ème4)'!LG15:LI15,"B"))*3)+((COUNTIF('Elève (5ème4)'!LG15:LI15,"C"))*2)+((COUNTIF('Elève (5ème4)'!LG15:LI15,"D"))*1))/(COUNTA(LG15:LI15)),"")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(5ème4)'!LN15:LP15,"A"))*4)+((COUNTIF('Elève (5ème4)'!LN15:LP15,"B"))*3)+((COUNTIF('Elève (5ème4)'!LN15:LP15,"C"))*2)+((COUNTIF('Elève (5ème4)'!LN15:LP15,"D"))*1))/(COUNTA(LN15:LP15)),"")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(5ème4)'!LS15:LU15,"A"))*4)+((COUNTIF('Elève (5ème4)'!LS15:LU15,"B"))*3)+((COUNTIF('Elève (5ème4)'!LS15:LU15,"C"))*2)+((COUNTIF('Elève (5ème4)'!LS15:LU15,"D"))*1))/(COUNTA(LS15:LU15)),"")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(5ème4)'!LX15:LZ15,"A"))*4)+((COUNTIF('Elève (5ème4)'!LX15:LZ15,"B"))*3)+((COUNTIF('Elève (5ème4)'!LX15:LZ15,"C"))*2)+((COUNTIF('Elève (5ème4)'!LX15:LZ15,"D"))*1))/(COUNTA(LX15:LZ15)),"")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(5ème4)'!ME15:MG15,"A"))*4)+((COUNTIF('Elève (5ème4)'!ME15:MG15,"B"))*3)+((COUNTIF('Elève (5ème4)'!ME15:MG15,"C"))*2)+((COUNTIF('Elève (5ème4)'!ME15:MG15,"D"))*1))/(COUNTA(ME15:MG15)),"")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(5ème4)'!MJ15:ML15,"A"))*4)+((COUNTIF('Elève (5ème4)'!MJ15:ML15,"B"))*3)+((COUNTIF('Elève (5ème4)'!MJ15:ML15,"C"))*2)+((COUNTIF('Elève (5ème4)'!MJ15:ML15,"D"))*1))/(COUNTA(MJ15:ML15)),"")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(5ème4)'!MO15:MQ15,"A"))*4)+((COUNTIF('Elève (5ème4)'!MO15:MQ15,"B"))*3)+((COUNTIF('Elève (5ème4)'!MO15:MQ15,"C"))*2)+((COUNTIF('Elève (5ème4)'!MO15:MQ15,"D"))*1))/(COUNTA(MO15:MQ15)),"")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(5ème4)'!MV15:MX15,"A"))*4)+((COUNTIF('Elève (5ème4)'!MV15:MX15,"B"))*3)+((COUNTIF('Elève (5ème4)'!MV15:MX15,"C"))*2)+((COUNTIF('Elève (5ème4)'!MV15:MX15,"D"))*1))/(COUNTA(MV15:MX15)),"")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(5ème4)'!NA15:NC15,"A"))*4)+((COUNTIF('Elève (5ème4)'!NA15:NC15,"B"))*3)+((COUNTIF('Elève (5ème4)'!NA15:NC15,"C"))*2)+((COUNTIF('Elève (5ème4)'!NA15:NC15,"D"))*1))/(COUNTA(NA15:NC15)),"")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(5ème4)'!NF15:NH15,"A"))*4)+((COUNTIF('Elève (5ème4)'!NF15:NH15,"B"))*3)+((COUNTIF('Elève (5ème4)'!NF15:NH15,"C"))*2)+((COUNTIF('Elève (5ème4)'!NF15:NH15,"D"))*1))/(COUNTA(NF15:NH15)),"")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(5ème4)'!NM15:NO15,"A"))*4)+((COUNTIF('Elève (5ème4)'!NM15:NO15,"B"))*3)+((COUNTIF('Elève (5ème4)'!NM15:NO15,"C"))*2)+((COUNTIF('Elève (5ème4)'!NM15:NO15,"D"))*1))/(COUNTA(NM15:NO15)),"")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(5ème4)'!NR15:NT15,"A"))*4)+((COUNTIF('Elève (5ème4)'!NR15:NT15,"B"))*3)+((COUNTIF('Elève (5ème4)'!NR15:NT15,"C"))*2)+((COUNTIF('Elève (5ème4)'!NR15:NT15,"D"))*1))/(COUNTA(NR15:NT15)),"")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(5ème4)'!NW15:NY15,"A"))*4)+((COUNTIF('Elève (5ème4)'!NW15:NY15,"B"))*3)+((COUNTIF('Elève (5ème4)'!NW15:NY15,"C"))*2)+((COUNTIF('Elève (5ème4)'!NW15:NY15,"D"))*1))/(COUNTA(NW15:NY15)),"")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(5ème4)'!OD15:OF15,"A"))*4)+((COUNTIF('Elève (5ème4)'!OD15:OF15,"B"))*3)+((COUNTIF('Elève (5ème4)'!OD15:OF15,"C"))*2)+((COUNTIF('Elève (5ème4)'!OD15:OF15,"D"))*1))/(COUNTA(OD15:OF15)),"")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(5ème4)'!OI15:OK15,"A"))*4)+((COUNTIF('Elève (5ème4)'!OI15:OK15,"B"))*3)+((COUNTIF('Elève (5ème4)'!OI15:OK15,"C"))*2)+((COUNTIF('Elève (5ème4)'!OI15:OK15,"D"))*1))/(COUNTA(OI15:OK15)),"")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(5ème4)'!ON15:OP15,"A"))*4)+((COUNTIF('Elève (5ème4)'!ON15:OP15,"B"))*3)+((COUNTIF('Elève (5ème4)'!ON15:OP15,"C"))*2)+((COUNTIF('Elève (5ème4)'!ON15:OP15,"D"))*1))/(COUNTA(ON15:OP15)),"")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(5ème4)'!OU15:OW15,"A"))*4)+((COUNTIF('Elève (5ème4)'!OU15:OW15,"B"))*3)+((COUNTIF('Elève (5ème4)'!OU15:OW15,"C"))*2)+((COUNTIF('Elève (5ème4)'!OU15:OW15,"D"))*1))/(COUNTA(OU15:OW15)),"")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(5ème4)'!OZ15:PB15,"A"))*4)+((COUNTIF('Elève (5ème4)'!OZ15:PB15,"B"))*3)+((COUNTIF('Elève (5ème4)'!OZ15:PB15,"C"))*2)+((COUNTIF('Elève (5ème4)'!OZ15:PB15,"D"))*1))/(COUNTA(OZ15:PB15)),"")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(5ème4)'!PE15:PG15,"A"))*4)+((COUNTIF('Elève (5ème4)'!PE15:PG15,"B"))*3)+((COUNTIF('Elève (5ème4)'!PE15:PG15,"C"))*2)+((COUNTIF('Elève (5ème4)'!PE15:PG15,"D"))*1))/(COUNTA(PE15:PG15)),"")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(5ème4)'!PL15:PN15,"A"))*4)+((COUNTIF('Elève (5ème4)'!PL15:PN15,"B"))*3)+((COUNTIF('Elève (5ème4)'!PL15:PN15,"C"))*2)+((COUNTIF('Elève (5ème4)'!PL15:PN15,"D"))*1))/(COUNTA(PL15:PN15)),"")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(5ème4)'!PQ15:PS15,"A"))*4)+((COUNTIF('Elève (5ème4)'!PQ15:PS15,"B"))*3)+((COUNTIF('Elève (5ème4)'!PQ15:PS15,"C"))*2)+((COUNTIF('Elève (5ème4)'!PQ15:PS15,"D"))*1))/(COUNTA(PQ15:PS15)),"")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(5ème4)'!PV15:PX15,"A"))*4)+((COUNTIF('Elève (5ème4)'!PV15:PX15,"B"))*3)+((COUNTIF('Elève (5ème4)'!PV15:PX15,"C"))*2)+((COUNTIF('Elève (5ème4)'!PV15:PX15,"D"))*1))/(COUNTA(PV15:PX15)),"")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(5ème4)'!QC15:QE15,"A"))*4)+((COUNTIF('Elève (5ème4)'!QC15:QE15,"B"))*3)+((COUNTIF('Elève (5ème4)'!QC15:QE15,"C"))*2)+((COUNTIF('Elève (5ème4)'!QC15:QE15,"D"))*1))/(COUNTA(QC15:QE15)),"")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(5ème4)'!QH15:QJ15,"A"))*4)+((COUNTIF('Elève (5ème4)'!QH15:QJ15,"B"))*3)+((COUNTIF('Elève (5ème4)'!QH15:QJ15,"C"))*2)+((COUNTIF('Elève (5ème4)'!QH15:QJ15,"D"))*1))/(COUNTA(QH15:QJ15)),"")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(5ème4)'!QM15:QO15,"A"))*4)+((COUNTIF('Elève (5ème4)'!QM15:QO15,"B"))*3)+((COUNTIF('Elève (5ème4)'!QM15:QO15,"C"))*2)+((COUNTIF('Elève (5ème4)'!QM15:QO15,"D"))*1))/(COUNTA(QM15:QO15)),"")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(5ème4)'!QT15:QV15,"A"))*4)+((COUNTIF('Elève (5ème4)'!QT15:QV15,"B"))*3)+((COUNTIF('Elève (5ème4)'!QT15:QV15,"C"))*2)+((COUNTIF('Elève (5ème4)'!QT15:QV15,"D"))*1))/(COUNTA(QT15:QV15)),"")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(5ème4)'!QY15:RA15,"A"))*4)+((COUNTIF('Elève (5ème4)'!QY15:RA15,"B"))*3)+((COUNTIF('Elève (5ème4)'!QY15:RA15,"C"))*2)+((COUNTIF('Elève (5ème4)'!QY15:RA15,"D"))*1))/(COUNTA(QY15:RA15)),"")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(5ème4)'!RD15:RF15,"A"))*4)+((COUNTIF('Elève (5ème4)'!RD15:RF15,"B"))*3)+((COUNTIF('Elève (5ème4)'!RD15:RF15,"C"))*2)+((COUNTIF('Elève (5ème4)'!RD15:RF15,"D"))*1))/(COUNTA(RD15:RF15)),"")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(5ème4)'!RK15:RM15,"A"))*4)+((COUNTIF('Elève (5ème4)'!RK15:RM15,"B"))*3)+((COUNTIF('Elève (5ème4)'!RK15:RM15,"C"))*2)+((COUNTIF('Elève (5ème4)'!RK15:RM15,"D"))*1))/(COUNTA(RK15:RM15)),"")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(5ème4)'!RP15:RR15,"A"))*4)+((COUNTIF('Elève (5ème4)'!RP15:RR15,"B"))*3)+((COUNTIF('Elève (5ème4)'!RP15:RR15,"C"))*2)+((COUNTIF('Elève (5ème4)'!RP15:RR15,"D"))*1))/(COUNTA(RP15:RR15)),"")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(5ème4)'!RU15:RW15,"A"))*4)+((COUNTIF('Elève (5ème4)'!RU15:RW15,"B"))*3)+((COUNTIF('Elève (5ème4)'!RU15:RW15,"C"))*2)+((COUNTIF('Elève (5ème4)'!RU15:RW15,"D"))*1))/(COUNTA(RU15:RW15)),"")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(5ème4)'!SB15:SD15,"A"))*4)+((COUNTIF('Elève (5ème4)'!SB15:SD15,"B"))*3)+((COUNTIF('Elève (5ème4)'!SB15:SD15,"C"))*2)+((COUNTIF('Elève (5ème4)'!SB15:SD15,"D"))*1))/(COUNTA(SB15:SD15)),"")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(5ème4)'!SG15:SI15,"A"))*4)+((COUNTIF('Elève (5ème4)'!SG15:SI15,"B"))*3)+((COUNTIF('Elève (5ème4)'!SG15:SI15,"C"))*2)+((COUNTIF('Elève (5ème4)'!SG15:SI15,"D"))*1))/(COUNTA(SG15:SI15)),"")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(5ème4)'!SL15:SN15,"A"))*4)+((COUNTIF('Elève (5ème4)'!SL15:SN15,"B"))*3)+((COUNTIF('Elève (5ème4)'!SL15:SN15,"C"))*2)+((COUNTIF('Elève (5ème4)'!SL15:SN15,"D"))*1))/(COUNTA(SL15:SN15)),"")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3</v>
      </c>
      <c r="C16" s="152"/>
      <c r="D16" s="185"/>
      <c r="E16" s="185"/>
      <c r="F16" s="106" t="str">
        <f>IFERROR((((COUNTIF('Elève (5ème4)'!C17:E19,"A"))*4)+((COUNTIF('Elève (5ème4)'!C17:E19,"B"))*3)+((COUNTIF('Elève (5ème4)'!C17:E19,"C"))*2)+((COUNTIF('Elève (5ème4)'!C17:E19,"D"))*1))/(COUNTA(C17:E19)),"")</f>
        <v/>
      </c>
      <c r="G16" s="107" t="str">
        <f t="shared" si="0"/>
        <v/>
      </c>
      <c r="H16" s="204"/>
      <c r="I16" s="186"/>
      <c r="J16" s="205"/>
      <c r="K16" s="106" t="str">
        <f>IFERROR((((COUNTIF('Elève (5ème4)'!H17:J19,"A"))*4)+((COUNTIF('Elève (5ème4)'!H17:J19,"B"))*3)+((COUNTIF('Elève (5ème4)'!H17:J19,"C"))*2)+((COUNTIF('Elève (5ème4)'!H17:J19,"D"))*1))/(COUNTA(H17:J19)),"")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(5ème4)'!M17:O19,"A"))*4)+((COUNTIF('Elève (5ème4)'!M17:O19,"B"))*3)+((COUNTIF('Elève (5ème4)'!M17:O19,"C"))*2)+((COUNTIF('Elève (5ème4)'!M17:O19,"D"))*1))/(COUNTA(M17:O19)),"")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(5ème4)'!T17:V19,"A"))*4)+((COUNTIF('Elève (5ème4)'!T17:V19,"B"))*3)+((COUNTIF('Elève (5ème4)'!T17:V19,"C"))*2)+((COUNTIF('Elève (5ème4)'!T17:V19,"D"))*1))/(COUNTA(T17:V19)),"")</f>
        <v/>
      </c>
      <c r="X16" s="107" t="str">
        <f t="shared" si="4"/>
        <v/>
      </c>
      <c r="Y16" s="204"/>
      <c r="Z16" s="186"/>
      <c r="AA16" s="205"/>
      <c r="AB16" s="106" t="str">
        <f>IFERROR((((COUNTIF('Elève (5ème4)'!Y17:AA19,"A"))*4)+((COUNTIF('Elève (5ème4)'!Y17:AA19,"B"))*3)+((COUNTIF('Elève (5ème4)'!Y17:AA19,"C"))*2)+((COUNTIF('Elève (5ème4)'!Y17:AA19,"D"))*1))/(COUNTA(Y17:AA19)),"")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(5ème4)'!AD17:AF19,"A"))*4)+((COUNTIF('Elève (5ème4)'!AD17:AF19,"B"))*3)+((COUNTIF('Elève (5ème4)'!AD17:AF19,"C"))*2)+((COUNTIF('Elève (5ème4)'!AD17:AF19,"D"))*1))/(COUNTA(AD17:AF19)),"")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(5ème4)'!AK17:AM19,"A"))*4)+((COUNTIF('Elève (5ème4)'!AK17:AM19,"B"))*3)+((COUNTIF('Elève (5ème4)'!AK17:AM19,"C"))*2)+((COUNTIF('Elève (5ème4)'!AK17:AM19,"D"))*1))/(COUNTA(AK17:AM19)),"")</f>
        <v/>
      </c>
      <c r="AO16" s="107" t="str">
        <f t="shared" si="8"/>
        <v/>
      </c>
      <c r="AP16" s="204"/>
      <c r="AQ16" s="186"/>
      <c r="AR16" s="205"/>
      <c r="AS16" s="106" t="str">
        <f>IFERROR((((COUNTIF('Elève (5ème4)'!AP17:AR19,"A"))*4)+((COUNTIF('Elève (5ème4)'!AP17:AR19,"B"))*3)+((COUNTIF('Elève (5ème4)'!AP17:AR19,"C"))*2)+((COUNTIF('Elève (5ème4)'!AP17:AR19,"D"))*1))/(COUNTA(AP17:AR19)),"")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(5ème4)'!AU17:AW19,"A"))*4)+((COUNTIF('Elève (5ème4)'!AU17:AW19,"B"))*3)+((COUNTIF('Elève (5ème4)'!AU17:AW19,"C"))*2)+((COUNTIF('Elève (5ème4)'!AU17:AW19,"D"))*1))/(COUNTA(AU17:AW19)),"")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(5ème4)'!BB17:BD19,"A"))*4)+((COUNTIF('Elève (5ème4)'!BB17:BD19,"B"))*3)+((COUNTIF('Elève (5ème4)'!BB17:BD19,"C"))*2)+((COUNTIF('Elève (5ème4)'!BB17:BD19,"D"))*1))/(COUNTA(BB17:BD19)),"")</f>
        <v/>
      </c>
      <c r="BF16" s="107" t="str">
        <f t="shared" si="12"/>
        <v/>
      </c>
      <c r="BG16" s="204"/>
      <c r="BH16" s="186"/>
      <c r="BI16" s="205"/>
      <c r="BJ16" s="106" t="str">
        <f>IFERROR((((COUNTIF('Elève (5ème4)'!BG17:BI19,"A"))*4)+((COUNTIF('Elève (5ème4)'!BG17:BI19,"B"))*3)+((COUNTIF('Elève (5ème4)'!BG17:BI19,"C"))*2)+((COUNTIF('Elève (5ème4)'!BG17:BI19,"D"))*1))/(COUNTA(BG17:BI19)),"")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(5ème4)'!BL17:BN19,"A"))*4)+((COUNTIF('Elève (5ème4)'!BL17:BN19,"B"))*3)+((COUNTIF('Elève (5ème4)'!BL17:BN19,"C"))*2)+((COUNTIF('Elève (5ème4)'!BL17:BN19,"D"))*1))/(COUNTA(BL17:BN19)),"")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(5ème4)'!BS17:BU19,"A"))*4)+((COUNTIF('Elève (5ème4)'!BS17:BU19,"B"))*3)+((COUNTIF('Elève (5ème4)'!BS17:BU19,"C"))*2)+((COUNTIF('Elève (5ème4)'!BS17:BU19,"D"))*1))/(COUNTA(BS17:BU19)),"")</f>
        <v/>
      </c>
      <c r="BW16" s="107" t="str">
        <f t="shared" si="16"/>
        <v/>
      </c>
      <c r="BX16" s="204"/>
      <c r="BY16" s="186"/>
      <c r="BZ16" s="205"/>
      <c r="CA16" s="106" t="str">
        <f>IFERROR((((COUNTIF('Elève (5ème4)'!BX17:BZ19,"A"))*4)+((COUNTIF('Elève (5ème4)'!BX17:BZ19,"B"))*3)+((COUNTIF('Elève (5ème4)'!BX17:BZ19,"C"))*2)+((COUNTIF('Elève (5ème4)'!BX17:BZ19,"D"))*1))/(COUNTA(BX17:BZ19)),"")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(5ème4)'!CC17:CE19,"A"))*4)+((COUNTIF('Elève (5ème4)'!CC17:CE19,"B"))*3)+((COUNTIF('Elève (5ème4)'!CC17:CE19,"C"))*2)+((COUNTIF('Elève (5ème4)'!CC17:CE19,"D"))*1))/(COUNTA(CC17:CE19)),"")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(5ème4)'!CJ17:CL19,"A"))*4)+((COUNTIF('Elève (5ème4)'!CJ17:CL19,"B"))*3)+((COUNTIF('Elève (5ème4)'!CJ17:CL19,"C"))*2)+((COUNTIF('Elève (5ème4)'!CJ17:CL19,"D"))*1))/(COUNTA(CJ17:CL19)),"")</f>
        <v/>
      </c>
      <c r="CN16" s="107" t="str">
        <f t="shared" si="20"/>
        <v/>
      </c>
      <c r="CO16" s="204"/>
      <c r="CP16" s="186"/>
      <c r="CQ16" s="205"/>
      <c r="CR16" s="106" t="str">
        <f>IFERROR((((COUNTIF('Elève (5ème4)'!CO17:CQ19,"A"))*4)+((COUNTIF('Elève (5ème4)'!CO17:CQ19,"B"))*3)+((COUNTIF('Elève (5ème4)'!CO17:CQ19,"C"))*2)+((COUNTIF('Elève (5ème4)'!CO17:CQ19,"D"))*1))/(COUNTA(CO17:CQ19)),"")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(5ème4)'!CT17:CV19,"A"))*4)+((COUNTIF('Elève (5ème4)'!CT17:CV19,"B"))*3)+((COUNTIF('Elève (5ème4)'!CT17:CV19,"C"))*2)+((COUNTIF('Elève (5ème4)'!CT17:CV19,"D"))*1))/(COUNTA(CT17:CV19)),"")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(5ème4)'!DA17:DC19,"A"))*4)+((COUNTIF('Elève (5ème4)'!DA17:DC19,"B"))*3)+((COUNTIF('Elève (5ème4)'!DA17:DC19,"C"))*2)+((COUNTIF('Elève (5ème4)'!DA17:DC19,"D"))*1))/(COUNTA(DA17:DC19)),"")</f>
        <v/>
      </c>
      <c r="DE16" s="107" t="str">
        <f t="shared" si="24"/>
        <v/>
      </c>
      <c r="DF16" s="204"/>
      <c r="DG16" s="186"/>
      <c r="DH16" s="205"/>
      <c r="DI16" s="106" t="str">
        <f>IFERROR((((COUNTIF('Elève (5ème4)'!DF17:DH19,"A"))*4)+((COUNTIF('Elève (5ème4)'!DF17:DH19,"B"))*3)+((COUNTIF('Elève (5ème4)'!DF17:DH19,"C"))*2)+((COUNTIF('Elève (5ème4)'!DF17:DH19,"D"))*1))/(COUNTA(DF17:DH19)),"")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(5ème4)'!DK17:DM19,"A"))*4)+((COUNTIF('Elève (5ème4)'!DK17:DM19,"B"))*3)+((COUNTIF('Elève (5ème4)'!DK17:DM19,"C"))*2)+((COUNTIF('Elève (5ème4)'!DK17:DM19,"D"))*1))/(COUNTA(DK17:DM19)),"")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(5ème4)'!DR17:DT19,"A"))*4)+((COUNTIF('Elève (5ème4)'!DR17:DT19,"B"))*3)+((COUNTIF('Elève (5ème4)'!DR17:DT19,"C"))*2)+((COUNTIF('Elève (5ème4)'!DR17:DT19,"D"))*1))/(COUNTA(DR17:DT19)),"")</f>
        <v/>
      </c>
      <c r="DV16" s="107" t="str">
        <f t="shared" si="28"/>
        <v/>
      </c>
      <c r="DW16" s="204"/>
      <c r="DX16" s="186"/>
      <c r="DY16" s="205"/>
      <c r="DZ16" s="106" t="str">
        <f>IFERROR((((COUNTIF('Elève (5ème4)'!DW17:DY19,"A"))*4)+((COUNTIF('Elève (5ème4)'!DW17:DY19,"B"))*3)+((COUNTIF('Elève (5ème4)'!DW17:DY19,"C"))*2)+((COUNTIF('Elève (5ème4)'!DW17:DY19,"D"))*1))/(COUNTA(DW17:DY19)),"")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(5ème4)'!EB17:ED19,"A"))*4)+((COUNTIF('Elève (5ème4)'!EB17:ED19,"B"))*3)+((COUNTIF('Elève (5ème4)'!EB17:ED19,"C"))*2)+((COUNTIF('Elève (5ème4)'!EB17:ED19,"D"))*1))/(COUNTA(EB17:ED19)),"")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(5ème4)'!EI17:EK19,"A"))*4)+((COUNTIF('Elève (5ème4)'!EI17:EK19,"B"))*3)+((COUNTIF('Elève (5ème4)'!EI17:EK19,"C"))*2)+((COUNTIF('Elève (5ème4)'!EI17:EK19,"D"))*1))/(COUNTA(EI17:EK19)),"")</f>
        <v/>
      </c>
      <c r="EM16" s="107" t="str">
        <f t="shared" si="32"/>
        <v/>
      </c>
      <c r="EN16" s="204"/>
      <c r="EO16" s="186"/>
      <c r="EP16" s="205"/>
      <c r="EQ16" s="106" t="str">
        <f>IFERROR((((COUNTIF('Elève (5ème4)'!EN17:EP19,"A"))*4)+((COUNTIF('Elève (5ème4)'!EN17:EP19,"B"))*3)+((COUNTIF('Elève (5ème4)'!EN17:EP19,"C"))*2)+((COUNTIF('Elève (5ème4)'!EN17:EP19,"D"))*1))/(COUNTA(EN17:EP19)),"")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(5ème4)'!ES17:EU19,"A"))*4)+((COUNTIF('Elève (5ème4)'!ES17:EU19,"B"))*3)+((COUNTIF('Elève (5ème4)'!ES17:EU19,"C"))*2)+((COUNTIF('Elève (5ème4)'!ES17:EU19,"D"))*1))/(COUNTA(ES17:EU19)),"")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(5ème4)'!EZ17:FB19,"A"))*4)+((COUNTIF('Elève (5ème4)'!EZ17:FB19,"B"))*3)+((COUNTIF('Elève (5ème4)'!EZ17:FB19,"C"))*2)+((COUNTIF('Elève (5ème4)'!EZ17:FB19,"D"))*1))/(COUNTA(EZ17:FB19)),"")</f>
        <v/>
      </c>
      <c r="FD16" s="107" t="str">
        <f t="shared" si="36"/>
        <v/>
      </c>
      <c r="FE16" s="204"/>
      <c r="FF16" s="186"/>
      <c r="FG16" s="205"/>
      <c r="FH16" s="106" t="str">
        <f>IFERROR((((COUNTIF('Elève (5ème4)'!FE17:FG19,"A"))*4)+((COUNTIF('Elève (5ème4)'!FE17:FG19,"B"))*3)+((COUNTIF('Elève (5ème4)'!FE17:FG19,"C"))*2)+((COUNTIF('Elève (5ème4)'!FE17:FG19,"D"))*1))/(COUNTA(FE17:FG19)),"")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(5ème4)'!FJ17:FL19,"A"))*4)+((COUNTIF('Elève (5ème4)'!FJ17:FL19,"B"))*3)+((COUNTIF('Elève (5ème4)'!FJ17:FL19,"C"))*2)+((COUNTIF('Elève (5ème4)'!FJ17:FL19,"D"))*1))/(COUNTA(FJ17:FL19)),"")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(5ème4)'!FQ17:FS19,"A"))*4)+((COUNTIF('Elève (5ème4)'!FQ17:FS19,"B"))*3)+((COUNTIF('Elève (5ème4)'!FQ17:FS19,"C"))*2)+((COUNTIF('Elève (5ème4)'!FQ17:FS19,"D"))*1))/(COUNTA(FQ17:FS19)),"")</f>
        <v/>
      </c>
      <c r="FU16" s="107" t="str">
        <f t="shared" si="40"/>
        <v/>
      </c>
      <c r="FV16" s="204"/>
      <c r="FW16" s="186"/>
      <c r="FX16" s="205"/>
      <c r="FY16" s="106" t="str">
        <f>IFERROR((((COUNTIF('Elève (5ème4)'!FV17:FX19,"A"))*4)+((COUNTIF('Elève (5ème4)'!FV17:FX19,"B"))*3)+((COUNTIF('Elève (5ème4)'!FV17:FX19,"C"))*2)+((COUNTIF('Elève (5ème4)'!FV17:FX19,"D"))*1))/(COUNTA(FV17:FX19)),"")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(5ème4)'!GA17:GC19,"A"))*4)+((COUNTIF('Elève (5ème4)'!GA17:GC19,"B"))*3)+((COUNTIF('Elève (5ème4)'!GA17:GC19,"C"))*2)+((COUNTIF('Elève (5ème4)'!GA17:GC19,"D"))*1))/(COUNTA(GA17:GC19)),"")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(5ème4)'!GH17:GJ19,"A"))*4)+((COUNTIF('Elève (5ème4)'!GH17:GJ19,"B"))*3)+((COUNTIF('Elève (5ème4)'!GH17:GJ19,"C"))*2)+((COUNTIF('Elève (5ème4)'!GH17:GJ19,"D"))*1))/(COUNTA(GH17:GJ19)),"")</f>
        <v/>
      </c>
      <c r="GL16" s="107" t="str">
        <f t="shared" si="44"/>
        <v/>
      </c>
      <c r="GM16" s="204"/>
      <c r="GN16" s="186"/>
      <c r="GO16" s="205"/>
      <c r="GP16" s="106" t="str">
        <f>IFERROR((((COUNTIF('Elève (5ème4)'!GM17:GO19,"A"))*4)+((COUNTIF('Elève (5ème4)'!GM17:GO19,"B"))*3)+((COUNTIF('Elève (5ème4)'!GM17:GO19,"C"))*2)+((COUNTIF('Elève (5ème4)'!GM17:GO19,"D"))*1))/(COUNTA(GM17:GO19)),"")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(5ème4)'!GR17:GT19,"A"))*4)+((COUNTIF('Elève (5ème4)'!GR17:GT19,"B"))*3)+((COUNTIF('Elève (5ème4)'!GR17:GT19,"C"))*2)+((COUNTIF('Elève (5ème4)'!GR17:GT19,"D"))*1))/(COUNTA(GR17:GT19)),"")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(5ème4)'!GY17:HA19,"A"))*4)+((COUNTIF('Elève (5ème4)'!GY17:HA19,"B"))*3)+((COUNTIF('Elève (5ème4)'!GY17:HA19,"C"))*2)+((COUNTIF('Elève (5ème4)'!GY17:HA19,"D"))*1))/(COUNTA(GY17:HA19)),"")</f>
        <v/>
      </c>
      <c r="HC16" s="107" t="str">
        <f t="shared" si="48"/>
        <v/>
      </c>
      <c r="HD16" s="204"/>
      <c r="HE16" s="186"/>
      <c r="HF16" s="205"/>
      <c r="HG16" s="106" t="str">
        <f>IFERROR((((COUNTIF('Elève (5ème4)'!HD17:HF19,"A"))*4)+((COUNTIF('Elève (5ème4)'!HD17:HF19,"B"))*3)+((COUNTIF('Elève (5ème4)'!HD17:HF19,"C"))*2)+((COUNTIF('Elève (5ème4)'!HD17:HF19,"D"))*1))/(COUNTA(HD17:HF19)),"")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(5ème4)'!HI17:HK19,"A"))*4)+((COUNTIF('Elève (5ème4)'!HI17:HK19,"B"))*3)+((COUNTIF('Elève (5ème4)'!HI17:HK19,"C"))*2)+((COUNTIF('Elève (5ème4)'!HI17:HK19,"D"))*1))/(COUNTA(HI17:HK19)),"")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(5ème4)'!HP17:HR19,"A"))*4)+((COUNTIF('Elève (5ème4)'!HP17:HR19,"B"))*3)+((COUNTIF('Elève (5ème4)'!HP17:HR19,"C"))*2)+((COUNTIF('Elève (5ème4)'!HP17:HR19,"D"))*1))/(COUNTA(HP17:HR19)),"")</f>
        <v/>
      </c>
      <c r="HT16" s="107" t="str">
        <f t="shared" si="52"/>
        <v/>
      </c>
      <c r="HU16" s="204"/>
      <c r="HV16" s="186"/>
      <c r="HW16" s="205"/>
      <c r="HX16" s="106" t="str">
        <f>IFERROR((((COUNTIF('Elève (5ème4)'!HU17:HW19,"A"))*4)+((COUNTIF('Elève (5ème4)'!HU17:HW19,"B"))*3)+((COUNTIF('Elève (5ème4)'!HU17:HW19,"C"))*2)+((COUNTIF('Elève (5ème4)'!HU17:HW19,"D"))*1))/(COUNTA(HU17:HW19)),"")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(5ème4)'!HZ17:IB19,"A"))*4)+((COUNTIF('Elève (5ème4)'!HZ17:IB19,"B"))*3)+((COUNTIF('Elève (5ème4)'!HZ17:IB19,"C"))*2)+((COUNTIF('Elève (5ème4)'!HZ17:IB19,"D"))*1))/(COUNTA(HZ17:IB19)),"")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(5ème4)'!IG17:II19,"A"))*4)+((COUNTIF('Elève (5ème4)'!IG17:II19,"B"))*3)+((COUNTIF('Elève (5ème4)'!IG17:II19,"C"))*2)+((COUNTIF('Elève (5ème4)'!IG17:II19,"D"))*1))/(COUNTA(IG17:II19)),"")</f>
        <v/>
      </c>
      <c r="IK16" s="107" t="str">
        <f t="shared" si="56"/>
        <v/>
      </c>
      <c r="IL16" s="204"/>
      <c r="IM16" s="186"/>
      <c r="IN16" s="205"/>
      <c r="IO16" s="106" t="str">
        <f>IFERROR((((COUNTIF('Elève (5ème4)'!IL17:IN19,"A"))*4)+((COUNTIF('Elève (5ème4)'!IL17:IN19,"B"))*3)+((COUNTIF('Elève (5ème4)'!IL17:IN19,"C"))*2)+((COUNTIF('Elève (5ème4)'!IL17:IN19,"D"))*1))/(COUNTA(IL17:IN19)),"")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(5ème4)'!IQ17:IS19,"A"))*4)+((COUNTIF('Elève (5ème4)'!IQ17:IS19,"B"))*3)+((COUNTIF('Elève (5ème4)'!IQ17:IS19,"C"))*2)+((COUNTIF('Elève (5ème4)'!IQ17:IS19,"D"))*1))/(COUNTA(IQ17:IS19)),"")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(5ème4)'!IX17:IZ19,"A"))*4)+((COUNTIF('Elève (5ème4)'!IX17:IZ19,"B"))*3)+((COUNTIF('Elève (5ème4)'!IX17:IZ19,"C"))*2)+((COUNTIF('Elève (5ème4)'!IX17:IZ19,"D"))*1))/(COUNTA(IX17:IZ19)),"")</f>
        <v/>
      </c>
      <c r="JB16" s="107" t="str">
        <f t="shared" si="60"/>
        <v/>
      </c>
      <c r="JC16" s="204"/>
      <c r="JD16" s="186"/>
      <c r="JE16" s="205"/>
      <c r="JF16" s="106" t="str">
        <f>IFERROR((((COUNTIF('Elève (5ème4)'!JC17:JE19,"A"))*4)+((COUNTIF('Elève (5ème4)'!JC17:JE19,"B"))*3)+((COUNTIF('Elève (5ème4)'!JC17:JE19,"C"))*2)+((COUNTIF('Elève (5ème4)'!JC17:JE19,"D"))*1))/(COUNTA(JC17:JE19)),"")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(5ème4)'!JH17:JJ19,"A"))*4)+((COUNTIF('Elève (5ème4)'!JH17:JJ19,"B"))*3)+((COUNTIF('Elève (5ème4)'!JH17:JJ19,"C"))*2)+((COUNTIF('Elève (5ème4)'!JH17:JJ19,"D"))*1))/(COUNTA(JH17:JJ19)),"")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(5ème4)'!JO17:JQ19,"A"))*4)+((COUNTIF('Elève (5ème4)'!JO17:JQ19,"B"))*3)+((COUNTIF('Elève (5ème4)'!JO17:JQ19,"C"))*2)+((COUNTIF('Elève (5ème4)'!JO17:JQ19,"D"))*1))/(COUNTA(JO17:JQ19)),"")</f>
        <v/>
      </c>
      <c r="JS16" s="107" t="str">
        <f t="shared" si="64"/>
        <v/>
      </c>
      <c r="JT16" s="204"/>
      <c r="JU16" s="186"/>
      <c r="JV16" s="205"/>
      <c r="JW16" s="106" t="str">
        <f>IFERROR((((COUNTIF('Elève (5ème4)'!JT17:JV19,"A"))*4)+((COUNTIF('Elève (5ème4)'!JT17:JV19,"B"))*3)+((COUNTIF('Elève (5ème4)'!JT17:JV19,"C"))*2)+((COUNTIF('Elève (5ème4)'!JT17:JV19,"D"))*1))/(COUNTA(JT17:JV19)),"")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(5ème4)'!JY17:KA19,"A"))*4)+((COUNTIF('Elève (5ème4)'!JY17:KA19,"B"))*3)+((COUNTIF('Elève (5ème4)'!JY17:KA19,"C"))*2)+((COUNTIF('Elève (5ème4)'!JY17:KA19,"D"))*1))/(COUNTA(JY17:KA19)),"")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(5ème4)'!KF17:KH19,"A"))*4)+((COUNTIF('Elève (5ème4)'!KF17:KH19,"B"))*3)+((COUNTIF('Elève (5ème4)'!KF17:KH19,"C"))*2)+((COUNTIF('Elève (5ème4)'!KF17:KH19,"D"))*1))/(COUNTA(KF17:KH19)),"")</f>
        <v/>
      </c>
      <c r="KJ16" s="107" t="str">
        <f t="shared" si="68"/>
        <v/>
      </c>
      <c r="KK16" s="204"/>
      <c r="KL16" s="186"/>
      <c r="KM16" s="205"/>
      <c r="KN16" s="106" t="str">
        <f>IFERROR((((COUNTIF('Elève (5ème4)'!KK17:KM19,"A"))*4)+((COUNTIF('Elève (5ème4)'!KK17:KM19,"B"))*3)+((COUNTIF('Elève (5ème4)'!KK17:KM19,"C"))*2)+((COUNTIF('Elève (5ème4)'!KK17:KM19,"D"))*1))/(COUNTA(KK17:KM19)),"")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(5ème4)'!KP17:KR19,"A"))*4)+((COUNTIF('Elève (5ème4)'!KP17:KR19,"B"))*3)+((COUNTIF('Elève (5ème4)'!KP17:KR19,"C"))*2)+((COUNTIF('Elève (5ème4)'!KP17:KR19,"D"))*1))/(COUNTA(KP17:KR19)),"")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(5ème4)'!KW17:KY19,"A"))*4)+((COUNTIF('Elève (5ème4)'!KW17:KY19,"B"))*3)+((COUNTIF('Elève (5ème4)'!KW17:KY19,"C"))*2)+((COUNTIF('Elève (5ème4)'!KW17:KY19,"D"))*1))/(COUNTA(KW17:KY19)),"")</f>
        <v/>
      </c>
      <c r="LA16" s="107" t="str">
        <f t="shared" si="72"/>
        <v/>
      </c>
      <c r="LB16" s="204"/>
      <c r="LC16" s="186"/>
      <c r="LD16" s="205"/>
      <c r="LE16" s="106" t="str">
        <f>IFERROR((((COUNTIF('Elève (5ème4)'!LB17:LD19,"A"))*4)+((COUNTIF('Elève (5ème4)'!LB17:LD19,"B"))*3)+((COUNTIF('Elève (5ème4)'!LB17:LD19,"C"))*2)+((COUNTIF('Elève (5ème4)'!LB17:LD19,"D"))*1))/(COUNTA(LB17:LD19)),"")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(5ème4)'!LG17:LI19,"A"))*4)+((COUNTIF('Elève (5ème4)'!LG17:LI19,"B"))*3)+((COUNTIF('Elève (5ème4)'!LG17:LI19,"C"))*2)+((COUNTIF('Elève (5ème4)'!LG17:LI19,"D"))*1))/(COUNTA(LG17:LI19)),"")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(5ème4)'!LN17:LP19,"A"))*4)+((COUNTIF('Elève (5ème4)'!LN17:LP19,"B"))*3)+((COUNTIF('Elève (5ème4)'!LN17:LP19,"C"))*2)+((COUNTIF('Elève (5ème4)'!LN17:LP19,"D"))*1))/(COUNTA(LN17:LP19)),"")</f>
        <v/>
      </c>
      <c r="LR16" s="107" t="str">
        <f t="shared" si="76"/>
        <v/>
      </c>
      <c r="LS16" s="204"/>
      <c r="LT16" s="186"/>
      <c r="LU16" s="205"/>
      <c r="LV16" s="106" t="str">
        <f>IFERROR((((COUNTIF('Elève (5ème4)'!LS17:LU19,"A"))*4)+((COUNTIF('Elève (5ème4)'!LS17:LU19,"B"))*3)+((COUNTIF('Elève (5ème4)'!LS17:LU19,"C"))*2)+((COUNTIF('Elève (5ème4)'!LS17:LU19,"D"))*1))/(COUNTA(LS17:LU19)),"")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(5ème4)'!LX17:LZ19,"A"))*4)+((COUNTIF('Elève (5ème4)'!LX17:LZ19,"B"))*3)+((COUNTIF('Elève (5ème4)'!LX17:LZ19,"C"))*2)+((COUNTIF('Elève (5ème4)'!LX17:LZ19,"D"))*1))/(COUNTA(LX17:LZ19)),"")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(5ème4)'!ME17:MG19,"A"))*4)+((COUNTIF('Elève (5ème4)'!ME17:MG19,"B"))*3)+((COUNTIF('Elève (5ème4)'!ME17:MG19,"C"))*2)+((COUNTIF('Elève (5ème4)'!ME17:MG19,"D"))*1))/(COUNTA(ME17:MG19)),"")</f>
        <v/>
      </c>
      <c r="MI16" s="107" t="str">
        <f t="shared" si="80"/>
        <v/>
      </c>
      <c r="MJ16" s="204"/>
      <c r="MK16" s="186"/>
      <c r="ML16" s="205"/>
      <c r="MM16" s="106" t="str">
        <f>IFERROR((((COUNTIF('Elève (5ème4)'!MJ17:ML19,"A"))*4)+((COUNTIF('Elève (5ème4)'!MJ17:ML19,"B"))*3)+((COUNTIF('Elève (5ème4)'!MJ17:ML19,"C"))*2)+((COUNTIF('Elève (5ème4)'!MJ17:ML19,"D"))*1))/(COUNTA(MJ17:ML19)),"")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(5ème4)'!MO17:MQ19,"A"))*4)+((COUNTIF('Elève (5ème4)'!MO17:MQ19,"B"))*3)+((COUNTIF('Elève (5ème4)'!MO17:MQ19,"C"))*2)+((COUNTIF('Elève (5ème4)'!MO17:MQ19,"D"))*1))/(COUNTA(MO17:MQ19)),"")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(5ème4)'!MV17:MX19,"A"))*4)+((COUNTIF('Elève (5ème4)'!MV17:MX19,"B"))*3)+((COUNTIF('Elève (5ème4)'!MV17:MX19,"C"))*2)+((COUNTIF('Elève (5ème4)'!MV17:MX19,"D"))*1))/(COUNTA(MV17:MX19)),"")</f>
        <v/>
      </c>
      <c r="MZ16" s="107" t="str">
        <f t="shared" si="84"/>
        <v/>
      </c>
      <c r="NA16" s="204"/>
      <c r="NB16" s="186"/>
      <c r="NC16" s="205"/>
      <c r="ND16" s="106" t="str">
        <f>IFERROR((((COUNTIF('Elève (5ème4)'!NA17:NC19,"A"))*4)+((COUNTIF('Elève (5ème4)'!NA17:NC19,"B"))*3)+((COUNTIF('Elève (5ème4)'!NA17:NC19,"C"))*2)+((COUNTIF('Elève (5ème4)'!NA17:NC19,"D"))*1))/(COUNTA(NA17:NC19)),"")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(5ème4)'!NF17:NH19,"A"))*4)+((COUNTIF('Elève (5ème4)'!NF17:NH19,"B"))*3)+((COUNTIF('Elève (5ème4)'!NF17:NH19,"C"))*2)+((COUNTIF('Elève (5ème4)'!NF17:NH19,"D"))*1))/(COUNTA(NF17:NH19)),"")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(5ème4)'!NM17:NO19,"A"))*4)+((COUNTIF('Elève (5ème4)'!NM17:NO19,"B"))*3)+((COUNTIF('Elève (5ème4)'!NM17:NO19,"C"))*2)+((COUNTIF('Elève (5ème4)'!NM17:NO19,"D"))*1))/(COUNTA(NM17:NO19)),"")</f>
        <v/>
      </c>
      <c r="NQ16" s="107" t="str">
        <f t="shared" si="88"/>
        <v/>
      </c>
      <c r="NR16" s="204"/>
      <c r="NS16" s="186"/>
      <c r="NT16" s="205"/>
      <c r="NU16" s="106" t="str">
        <f>IFERROR((((COUNTIF('Elève (5ème4)'!NR17:NT19,"A"))*4)+((COUNTIF('Elève (5ème4)'!NR17:NT19,"B"))*3)+((COUNTIF('Elève (5ème4)'!NR17:NT19,"C"))*2)+((COUNTIF('Elève (5ème4)'!NR17:NT19,"D"))*1))/(COUNTA(NR17:NT19)),"")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(5ème4)'!NW17:NY19,"A"))*4)+((COUNTIF('Elève (5ème4)'!NW17:NY19,"B"))*3)+((COUNTIF('Elève (5ème4)'!NW17:NY19,"C"))*2)+((COUNTIF('Elève (5ème4)'!NW17:NY19,"D"))*1))/(COUNTA(NW17:NY19)),"")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(5ème4)'!OD17:OF19,"A"))*4)+((COUNTIF('Elève (5ème4)'!OD17:OF19,"B"))*3)+((COUNTIF('Elève (5ème4)'!OD17:OF19,"C"))*2)+((COUNTIF('Elève (5ème4)'!OD17:OF19,"D"))*1))/(COUNTA(OD17:OF19)),"")</f>
        <v/>
      </c>
      <c r="OH16" s="107" t="str">
        <f t="shared" si="92"/>
        <v/>
      </c>
      <c r="OI16" s="204"/>
      <c r="OJ16" s="186"/>
      <c r="OK16" s="205"/>
      <c r="OL16" s="106" t="str">
        <f>IFERROR((((COUNTIF('Elève (5ème4)'!OI17:OK19,"A"))*4)+((COUNTIF('Elève (5ème4)'!OI17:OK19,"B"))*3)+((COUNTIF('Elève (5ème4)'!OI17:OK19,"C"))*2)+((COUNTIF('Elève (5ème4)'!OI17:OK19,"D"))*1))/(COUNTA(OI17:OK19)),"")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(5ème4)'!ON17:OP19,"A"))*4)+((COUNTIF('Elève (5ème4)'!ON17:OP19,"B"))*3)+((COUNTIF('Elève (5ème4)'!ON17:OP19,"C"))*2)+((COUNTIF('Elève (5ème4)'!ON17:OP19,"D"))*1))/(COUNTA(ON17:OP19)),"")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(5ème4)'!OU17:OW19,"A"))*4)+((COUNTIF('Elève (5ème4)'!OU17:OW19,"B"))*3)+((COUNTIF('Elève (5ème4)'!OU17:OW19,"C"))*2)+((COUNTIF('Elève (5ème4)'!OU17:OW19,"D"))*1))/(COUNTA(OU17:OW19)),"")</f>
        <v/>
      </c>
      <c r="OY16" s="107" t="str">
        <f t="shared" si="96"/>
        <v/>
      </c>
      <c r="OZ16" s="204"/>
      <c r="PA16" s="186"/>
      <c r="PB16" s="205"/>
      <c r="PC16" s="106" t="str">
        <f>IFERROR((((COUNTIF('Elève (5ème4)'!OZ17:PB19,"A"))*4)+((COUNTIF('Elève (5ème4)'!OZ17:PB19,"B"))*3)+((COUNTIF('Elève (5ème4)'!OZ17:PB19,"C"))*2)+((COUNTIF('Elève (5ème4)'!OZ17:PB19,"D"))*1))/(COUNTA(OZ17:PB19)),"")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(5ème4)'!PE17:PG19,"A"))*4)+((COUNTIF('Elève (5ème4)'!PE17:PG19,"B"))*3)+((COUNTIF('Elève (5ème4)'!PE17:PG19,"C"))*2)+((COUNTIF('Elève (5ème4)'!PE17:PG19,"D"))*1))/(COUNTA(PE17:PG19)),"")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(5ème4)'!PL17:PN19,"A"))*4)+((COUNTIF('Elève (5ème4)'!PL17:PN19,"B"))*3)+((COUNTIF('Elève (5ème4)'!PL17:PN19,"C"))*2)+((COUNTIF('Elève (5ème4)'!PL17:PN19,"D"))*1))/(COUNTA(PL17:PN19)),"")</f>
        <v/>
      </c>
      <c r="PP16" s="107" t="str">
        <f t="shared" si="100"/>
        <v/>
      </c>
      <c r="PQ16" s="204"/>
      <c r="PR16" s="186"/>
      <c r="PS16" s="205"/>
      <c r="PT16" s="106" t="str">
        <f>IFERROR((((COUNTIF('Elève (5ème4)'!PQ17:PS19,"A"))*4)+((COUNTIF('Elève (5ème4)'!PQ17:PS19,"B"))*3)+((COUNTIF('Elève (5ème4)'!PQ17:PS19,"C"))*2)+((COUNTIF('Elève (5ème4)'!PQ17:PS19,"D"))*1))/(COUNTA(PQ17:PS19)),"")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(5ème4)'!PV17:PX19,"A"))*4)+((COUNTIF('Elève (5ème4)'!PV17:PX19,"B"))*3)+((COUNTIF('Elève (5ème4)'!PV17:PX19,"C"))*2)+((COUNTIF('Elève (5ème4)'!PV17:PX19,"D"))*1))/(COUNTA(PV17:PX19)),"")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(5ème4)'!QC17:QE19,"A"))*4)+((COUNTIF('Elève (5ème4)'!QC17:QE19,"B"))*3)+((COUNTIF('Elève (5ème4)'!QC17:QE19,"C"))*2)+((COUNTIF('Elève (5ème4)'!QC17:QE19,"D"))*1))/(COUNTA(QC17:QE19)),"")</f>
        <v/>
      </c>
      <c r="QG16" s="107" t="str">
        <f t="shared" si="104"/>
        <v/>
      </c>
      <c r="QH16" s="204"/>
      <c r="QI16" s="186"/>
      <c r="QJ16" s="205"/>
      <c r="QK16" s="106" t="str">
        <f>IFERROR((((COUNTIF('Elève (5ème4)'!QH17:QJ19,"A"))*4)+((COUNTIF('Elève (5ème4)'!QH17:QJ19,"B"))*3)+((COUNTIF('Elève (5ème4)'!QH17:QJ19,"C"))*2)+((COUNTIF('Elève (5ème4)'!QH17:QJ19,"D"))*1))/(COUNTA(QH17:QJ19)),"")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(5ème4)'!QM17:QO19,"A"))*4)+((COUNTIF('Elève (5ème4)'!QM17:QO19,"B"))*3)+((COUNTIF('Elève (5ème4)'!QM17:QO19,"C"))*2)+((COUNTIF('Elève (5ème4)'!QM17:QO19,"D"))*1))/(COUNTA(QM17:QO19)),"")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(5ème4)'!QT17:QV19,"A"))*4)+((COUNTIF('Elève (5ème4)'!QT17:QV19,"B"))*3)+((COUNTIF('Elève (5ème4)'!QT17:QV19,"C"))*2)+((COUNTIF('Elève (5ème4)'!QT17:QV19,"D"))*1))/(COUNTA(QT17:QV19)),"")</f>
        <v/>
      </c>
      <c r="QX16" s="107" t="str">
        <f t="shared" si="108"/>
        <v/>
      </c>
      <c r="QY16" s="204"/>
      <c r="QZ16" s="186"/>
      <c r="RA16" s="205"/>
      <c r="RB16" s="106" t="str">
        <f>IFERROR((((COUNTIF('Elève (5ème4)'!QY17:RA19,"A"))*4)+((COUNTIF('Elève (5ème4)'!QY17:RA19,"B"))*3)+((COUNTIF('Elève (5ème4)'!QY17:RA19,"C"))*2)+((COUNTIF('Elève (5ème4)'!QY17:RA19,"D"))*1))/(COUNTA(QY17:RA19)),"")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(5ème4)'!RD17:RF19,"A"))*4)+((COUNTIF('Elève (5ème4)'!RD17:RF19,"B"))*3)+((COUNTIF('Elève (5ème4)'!RD17:RF19,"C"))*2)+((COUNTIF('Elève (5ème4)'!RD17:RF19,"D"))*1))/(COUNTA(RD17:RF19)),"")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(5ème4)'!RK17:RM19,"A"))*4)+((COUNTIF('Elève (5ème4)'!RK17:RM19,"B"))*3)+((COUNTIF('Elève (5ème4)'!RK17:RM19,"C"))*2)+((COUNTIF('Elève (5ème4)'!RK17:RM19,"D"))*1))/(COUNTA(RK17:RM19)),"")</f>
        <v/>
      </c>
      <c r="RO16" s="107" t="str">
        <f t="shared" si="112"/>
        <v/>
      </c>
      <c r="RP16" s="204"/>
      <c r="RQ16" s="186"/>
      <c r="RR16" s="205"/>
      <c r="RS16" s="106" t="str">
        <f>IFERROR((((COUNTIF('Elève (5ème4)'!RP17:RR19,"A"))*4)+((COUNTIF('Elève (5ème4)'!RP17:RR19,"B"))*3)+((COUNTIF('Elève (5ème4)'!RP17:RR19,"C"))*2)+((COUNTIF('Elève (5ème4)'!RP17:RR19,"D"))*1))/(COUNTA(RP17:RR19)),"")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(5ème4)'!RU17:RW19,"A"))*4)+((COUNTIF('Elève (5ème4)'!RU17:RW19,"B"))*3)+((COUNTIF('Elève (5ème4)'!RU17:RW19,"C"))*2)+((COUNTIF('Elève (5ème4)'!RU17:RW19,"D"))*1))/(COUNTA(RU17:RW19)),"")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(5ème4)'!SB17:SD19,"A"))*4)+((COUNTIF('Elève (5ème4)'!SB17:SD19,"B"))*3)+((COUNTIF('Elève (5ème4)'!SB17:SD19,"C"))*2)+((COUNTIF('Elève (5ème4)'!SB17:SD19,"D"))*1))/(COUNTA(SB17:SD19)),"")</f>
        <v/>
      </c>
      <c r="SF16" s="107" t="str">
        <f t="shared" si="116"/>
        <v/>
      </c>
      <c r="SG16" s="204"/>
      <c r="SH16" s="186"/>
      <c r="SI16" s="205"/>
      <c r="SJ16" s="106" t="str">
        <f>IFERROR((((COUNTIF('Elève (5ème4)'!SG17:SI19,"A"))*4)+((COUNTIF('Elève (5ème4)'!SG17:SI19,"B"))*3)+((COUNTIF('Elève (5ème4)'!SG17:SI19,"C"))*2)+((COUNTIF('Elève (5ème4)'!SG17:SI19,"D"))*1))/(COUNTA(SG17:SI19)),"")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(5ème4)'!SL17:SN19,"A"))*4)+((COUNTIF('Elève (5ème4)'!SL17:SN19,"B"))*3)+((COUNTIF('Elève (5ème4)'!SL17:SN19,"C"))*2)+((COUNTIF('Elève (5ème4)'!SL17:SN19,"D"))*1))/(COUNTA(SL17:SN19)),"")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1" t="s">
        <v>21</v>
      </c>
      <c r="B17" s="222"/>
      <c r="C17" s="156"/>
      <c r="D17" s="157"/>
      <c r="E17" s="158"/>
      <c r="F17" s="108" t="str">
        <f>IFERROR((((COUNTIF('Elève (5ème4)'!C17:E17,"A"))*4)+((COUNTIF('Elève (5ème4)'!C17:E17,"B"))*3)+((COUNTIF('Elève (5ème4)'!C17:E17,"C"))*2)+((COUNTIF('Elève (5ème4)'!C17:E17,"D"))*1))/(COUNTA(C17:E17)),"")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(5ème4)'!H17:J17,"A"))*4)+((COUNTIF('Elève (5ème4)'!H17:J17,"B"))*3)+((COUNTIF('Elève (5ème4)'!H17:J17,"C"))*2)+((COUNTIF('Elève (5ème4)'!H17:J17,"D"))*1))/(COUNTA(H17:J17)),"")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(5ème4)'!M17:O17,"A"))*4)+((COUNTIF('Elève (5ème4)'!M17:O17,"B"))*3)+((COUNTIF('Elève (5ème4)'!M17:O17,"C"))*2)+((COUNTIF('Elève (5ème4)'!M17:O17,"D"))*1))/(COUNTA(M17:O17)),"")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(5ème4)'!T17:V17,"A"))*4)+((COUNTIF('Elève (5ème4)'!T17:V17,"B"))*3)+((COUNTIF('Elève (5ème4)'!T17:V17,"C"))*2)+((COUNTIF('Elève (5ème4)'!T17:V17,"D"))*1))/(COUNTA(T17:V17)),"")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(5ème4)'!Y17:AA17,"A"))*4)+((COUNTIF('Elève (5ème4)'!Y17:AA17,"B"))*3)+((COUNTIF('Elève (5ème4)'!Y17:AA17,"C"))*2)+((COUNTIF('Elève (5ème4)'!Y17:AA17,"D"))*1))/(COUNTA(Y17:AA17)),"")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(5ème4)'!AD17:AF17,"A"))*4)+((COUNTIF('Elève (5ème4)'!AD17:AF17,"B"))*3)+((COUNTIF('Elève (5ème4)'!AD17:AF17,"C"))*2)+((COUNTIF('Elève (5ème4)'!AD17:AF17,"D"))*1))/(COUNTA(AD17:AF17)),"")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(5ème4)'!AK17:AM17,"A"))*4)+((COUNTIF('Elève (5ème4)'!AK17:AM17,"B"))*3)+((COUNTIF('Elève (5ème4)'!AK17:AM17,"C"))*2)+((COUNTIF('Elève (5ème4)'!AK17:AM17,"D"))*1))/(COUNTA(AK17:AM17)),"")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(5ème4)'!AP17:AR17,"A"))*4)+((COUNTIF('Elève (5ème4)'!AP17:AR17,"B"))*3)+((COUNTIF('Elève (5ème4)'!AP17:AR17,"C"))*2)+((COUNTIF('Elève (5ème4)'!AP17:AR17,"D"))*1))/(COUNTA(AP17:AR17)),"")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(5ème4)'!AU17:AW17,"A"))*4)+((COUNTIF('Elève (5ème4)'!AU17:AW17,"B"))*3)+((COUNTIF('Elève (5ème4)'!AU17:AW17,"C"))*2)+((COUNTIF('Elève (5ème4)'!AU17:AW17,"D"))*1))/(COUNTA(AU17:AW17)),"")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(5ème4)'!BB17:BD17,"A"))*4)+((COUNTIF('Elève (5ème4)'!BB17:BD17,"B"))*3)+((COUNTIF('Elève (5ème4)'!BB17:BD17,"C"))*2)+((COUNTIF('Elève (5ème4)'!BB17:BD17,"D"))*1))/(COUNTA(BB17:BD17)),"")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(5ème4)'!BG17:BI17,"A"))*4)+((COUNTIF('Elève (5ème4)'!BG17:BI17,"B"))*3)+((COUNTIF('Elève (5ème4)'!BG17:BI17,"C"))*2)+((COUNTIF('Elève (5ème4)'!BG17:BI17,"D"))*1))/(COUNTA(BG17:BI17)),"")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(5ème4)'!BL17:BN17,"A"))*4)+((COUNTIF('Elève (5ème4)'!BL17:BN17,"B"))*3)+((COUNTIF('Elève (5ème4)'!BL17:BN17,"C"))*2)+((COUNTIF('Elève (5ème4)'!BL17:BN17,"D"))*1))/(COUNTA(BL17:BN17)),"")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(5ème4)'!BS17:BU17,"A"))*4)+((COUNTIF('Elève (5ème4)'!BS17:BU17,"B"))*3)+((COUNTIF('Elève (5ème4)'!BS17:BU17,"C"))*2)+((COUNTIF('Elève (5ème4)'!BS17:BU17,"D"))*1))/(COUNTA(BS17:BU17)),"")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(5ème4)'!BX17:BZ17,"A"))*4)+((COUNTIF('Elève (5ème4)'!BX17:BZ17,"B"))*3)+((COUNTIF('Elève (5ème4)'!BX17:BZ17,"C"))*2)+((COUNTIF('Elève (5ème4)'!BX17:BZ17,"D"))*1))/(COUNTA(BX17:BZ17)),"")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(5ème4)'!CC17:CE17,"A"))*4)+((COUNTIF('Elève (5ème4)'!CC17:CE17,"B"))*3)+((COUNTIF('Elève (5ème4)'!CC17:CE17,"C"))*2)+((COUNTIF('Elève (5ème4)'!CC17:CE17,"D"))*1))/(COUNTA(CC17:CE17)),"")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(5ème4)'!CJ17:CL17,"A"))*4)+((COUNTIF('Elève (5ème4)'!CJ17:CL17,"B"))*3)+((COUNTIF('Elève (5ème4)'!CJ17:CL17,"C"))*2)+((COUNTIF('Elève (5ème4)'!CJ17:CL17,"D"))*1))/(COUNTA(CJ17:CL17)),"")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(5ème4)'!CO17:CQ17,"A"))*4)+((COUNTIF('Elève (5ème4)'!CO17:CQ17,"B"))*3)+((COUNTIF('Elève (5ème4)'!CO17:CQ17,"C"))*2)+((COUNTIF('Elève (5ème4)'!CO17:CQ17,"D"))*1))/(COUNTA(CO17:CQ17)),"")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(5ème4)'!CT17:CV17,"A"))*4)+((COUNTIF('Elève (5ème4)'!CT17:CV17,"B"))*3)+((COUNTIF('Elève (5ème4)'!CT17:CV17,"C"))*2)+((COUNTIF('Elève (5ème4)'!CT17:CV17,"D"))*1))/(COUNTA(CT17:CV17)),"")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(5ème4)'!DA17:DC17,"A"))*4)+((COUNTIF('Elève (5ème4)'!DA17:DC17,"B"))*3)+((COUNTIF('Elève (5ème4)'!DA17:DC17,"C"))*2)+((COUNTIF('Elève (5ème4)'!DA17:DC17,"D"))*1))/(COUNTA(DA17:DC17)),"")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(5ème4)'!DF17:DH17,"A"))*4)+((COUNTIF('Elève (5ème4)'!DF17:DH17,"B"))*3)+((COUNTIF('Elève (5ème4)'!DF17:DH17,"C"))*2)+((COUNTIF('Elève (5ème4)'!DF17:DH17,"D"))*1))/(COUNTA(DF17:DH17)),"")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(5ème4)'!DK17:DM17,"A"))*4)+((COUNTIF('Elève (5ème4)'!DK17:DM17,"B"))*3)+((COUNTIF('Elève (5ème4)'!DK17:DM17,"C"))*2)+((COUNTIF('Elève (5ème4)'!DK17:DM17,"D"))*1))/(COUNTA(DK17:DM17)),"")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(5ème4)'!DR17:DT17,"A"))*4)+((COUNTIF('Elève (5ème4)'!DR17:DT17,"B"))*3)+((COUNTIF('Elève (5ème4)'!DR17:DT17,"C"))*2)+((COUNTIF('Elève (5ème4)'!DR17:DT17,"D"))*1))/(COUNTA(DR17:DT17)),"")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(5ème4)'!DW17:DY17,"A"))*4)+((COUNTIF('Elève (5ème4)'!DW17:DY17,"B"))*3)+((COUNTIF('Elève (5ème4)'!DW17:DY17,"C"))*2)+((COUNTIF('Elève (5ème4)'!DW17:DY17,"D"))*1))/(COUNTA(DW17:DY17)),"")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(5ème4)'!EB17:ED17,"A"))*4)+((COUNTIF('Elève (5ème4)'!EB17:ED17,"B"))*3)+((COUNTIF('Elève (5ème4)'!EB17:ED17,"C"))*2)+((COUNTIF('Elève (5ème4)'!EB17:ED17,"D"))*1))/(COUNTA(EB17:ED17)),"")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(5ème4)'!EI17:EK17,"A"))*4)+((COUNTIF('Elève (5ème4)'!EI17:EK17,"B"))*3)+((COUNTIF('Elève (5ème4)'!EI17:EK17,"C"))*2)+((COUNTIF('Elève (5ème4)'!EI17:EK17,"D"))*1))/(COUNTA(EI17:EK17)),"")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(5ème4)'!EN17:EP17,"A"))*4)+((COUNTIF('Elève (5ème4)'!EN17:EP17,"B"))*3)+((COUNTIF('Elève (5ème4)'!EN17:EP17,"C"))*2)+((COUNTIF('Elève (5ème4)'!EN17:EP17,"D"))*1))/(COUNTA(EN17:EP17)),"")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(5ème4)'!ES17:EU17,"A"))*4)+((COUNTIF('Elève (5ème4)'!ES17:EU17,"B"))*3)+((COUNTIF('Elève (5ème4)'!ES17:EU17,"C"))*2)+((COUNTIF('Elève (5ème4)'!ES17:EU17,"D"))*1))/(COUNTA(ES17:EU17)),"")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(5ème4)'!EZ17:FB17,"A"))*4)+((COUNTIF('Elève (5ème4)'!EZ17:FB17,"B"))*3)+((COUNTIF('Elève (5ème4)'!EZ17:FB17,"C"))*2)+((COUNTIF('Elève (5ème4)'!EZ17:FB17,"D"))*1))/(COUNTA(EZ17:FB17)),"")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(5ème4)'!FE17:FG17,"A"))*4)+((COUNTIF('Elève (5ème4)'!FE17:FG17,"B"))*3)+((COUNTIF('Elève (5ème4)'!FE17:FG17,"C"))*2)+((COUNTIF('Elève (5ème4)'!FE17:FG17,"D"))*1))/(COUNTA(FE17:FG17)),"")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(5ème4)'!FJ17:FL17,"A"))*4)+((COUNTIF('Elève (5ème4)'!FJ17:FL17,"B"))*3)+((COUNTIF('Elève (5ème4)'!FJ17:FL17,"C"))*2)+((COUNTIF('Elève (5ème4)'!FJ17:FL17,"D"))*1))/(COUNTA(FJ17:FL17)),"")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(5ème4)'!FQ17:FS17,"A"))*4)+((COUNTIF('Elève (5ème4)'!FQ17:FS17,"B"))*3)+((COUNTIF('Elève (5ème4)'!FQ17:FS17,"C"))*2)+((COUNTIF('Elève (5ème4)'!FQ17:FS17,"D"))*1))/(COUNTA(FQ17:FS17)),"")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(5ème4)'!FV17:FX17,"A"))*4)+((COUNTIF('Elève (5ème4)'!FV17:FX17,"B"))*3)+((COUNTIF('Elève (5ème4)'!FV17:FX17,"C"))*2)+((COUNTIF('Elève (5ème4)'!FV17:FX17,"D"))*1))/(COUNTA(FV17:FX17)),"")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(5ème4)'!GA17:GC17,"A"))*4)+((COUNTIF('Elève (5ème4)'!GA17:GC17,"B"))*3)+((COUNTIF('Elève (5ème4)'!GA17:GC17,"C"))*2)+((COUNTIF('Elève (5ème4)'!GA17:GC17,"D"))*1))/(COUNTA(GA17:GC17)),"")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(5ème4)'!GH17:GJ17,"A"))*4)+((COUNTIF('Elève (5ème4)'!GH17:GJ17,"B"))*3)+((COUNTIF('Elève (5ème4)'!GH17:GJ17,"C"))*2)+((COUNTIF('Elève (5ème4)'!GH17:GJ17,"D"))*1))/(COUNTA(GH17:GJ17)),"")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(5ème4)'!GM17:GO17,"A"))*4)+((COUNTIF('Elève (5ème4)'!GM17:GO17,"B"))*3)+((COUNTIF('Elève (5ème4)'!GM17:GO17,"C"))*2)+((COUNTIF('Elève (5ème4)'!GM17:GO17,"D"))*1))/(COUNTA(GM17:GO17)),"")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(5ème4)'!GR17:GT17,"A"))*4)+((COUNTIF('Elève (5ème4)'!GR17:GT17,"B"))*3)+((COUNTIF('Elève (5ème4)'!GR17:GT17,"C"))*2)+((COUNTIF('Elève (5ème4)'!GR17:GT17,"D"))*1))/(COUNTA(GR17:GT17)),"")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(5ème4)'!GY17:HA17,"A"))*4)+((COUNTIF('Elève (5ème4)'!GY17:HA17,"B"))*3)+((COUNTIF('Elève (5ème4)'!GY17:HA17,"C"))*2)+((COUNTIF('Elève (5ème4)'!GY17:HA17,"D"))*1))/(COUNTA(GY17:HA17)),"")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(5ème4)'!HD17:HF17,"A"))*4)+((COUNTIF('Elève (5ème4)'!HD17:HF17,"B"))*3)+((COUNTIF('Elève (5ème4)'!HD17:HF17,"C"))*2)+((COUNTIF('Elève (5ème4)'!HD17:HF17,"D"))*1))/(COUNTA(HD17:HF17)),"")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(5ème4)'!HI17:HK17,"A"))*4)+((COUNTIF('Elève (5ème4)'!HI17:HK17,"B"))*3)+((COUNTIF('Elève (5ème4)'!HI17:HK17,"C"))*2)+((COUNTIF('Elève (5ème4)'!HI17:HK17,"D"))*1))/(COUNTA(HI17:HK17)),"")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(5ème4)'!HP17:HR17,"A"))*4)+((COUNTIF('Elève (5ème4)'!HP17:HR17,"B"))*3)+((COUNTIF('Elève (5ème4)'!HP17:HR17,"C"))*2)+((COUNTIF('Elève (5ème4)'!HP17:HR17,"D"))*1))/(COUNTA(HP17:HR17)),"")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(5ème4)'!HU17:HW17,"A"))*4)+((COUNTIF('Elève (5ème4)'!HU17:HW17,"B"))*3)+((COUNTIF('Elève (5ème4)'!HU17:HW17,"C"))*2)+((COUNTIF('Elève (5ème4)'!HU17:HW17,"D"))*1))/(COUNTA(HU17:HW17)),"")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(5ème4)'!HZ17:IB17,"A"))*4)+((COUNTIF('Elève (5ème4)'!HZ17:IB17,"B"))*3)+((COUNTIF('Elève (5ème4)'!HZ17:IB17,"C"))*2)+((COUNTIF('Elève (5ème4)'!HZ17:IB17,"D"))*1))/(COUNTA(HZ17:IB17)),"")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(5ème4)'!IG17:II17,"A"))*4)+((COUNTIF('Elève (5ème4)'!IG17:II17,"B"))*3)+((COUNTIF('Elève (5ème4)'!IG17:II17,"C"))*2)+((COUNTIF('Elève (5ème4)'!IG17:II17,"D"))*1))/(COUNTA(IG17:II17)),"")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(5ème4)'!IL17:IN17,"A"))*4)+((COUNTIF('Elève (5ème4)'!IL17:IN17,"B"))*3)+((COUNTIF('Elève (5ème4)'!IL17:IN17,"C"))*2)+((COUNTIF('Elève (5ème4)'!IL17:IN17,"D"))*1))/(COUNTA(IL17:IN17)),"")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(5ème4)'!IQ17:IS17,"A"))*4)+((COUNTIF('Elève (5ème4)'!IQ17:IS17,"B"))*3)+((COUNTIF('Elève (5ème4)'!IQ17:IS17,"C"))*2)+((COUNTIF('Elève (5ème4)'!IQ17:IS17,"D"))*1))/(COUNTA(IQ17:IS17)),"")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(5ème4)'!IX17:IZ17,"A"))*4)+((COUNTIF('Elève (5ème4)'!IX17:IZ17,"B"))*3)+((COUNTIF('Elève (5ème4)'!IX17:IZ17,"C"))*2)+((COUNTIF('Elève (5ème4)'!IX17:IZ17,"D"))*1))/(COUNTA(IX17:IZ17)),"")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(5ème4)'!JC17:JE17,"A"))*4)+((COUNTIF('Elève (5ème4)'!JC17:JE17,"B"))*3)+((COUNTIF('Elève (5ème4)'!JC17:JE17,"C"))*2)+((COUNTIF('Elève (5ème4)'!JC17:JE17,"D"))*1))/(COUNTA(JC17:JE17)),"")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(5ème4)'!JH17:JJ17,"A"))*4)+((COUNTIF('Elève (5ème4)'!JH17:JJ17,"B"))*3)+((COUNTIF('Elève (5ème4)'!JH17:JJ17,"C"))*2)+((COUNTIF('Elève (5ème4)'!JH17:JJ17,"D"))*1))/(COUNTA(JH17:JJ17)),"")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(5ème4)'!JO17:JQ17,"A"))*4)+((COUNTIF('Elève (5ème4)'!JO17:JQ17,"B"))*3)+((COUNTIF('Elève (5ème4)'!JO17:JQ17,"C"))*2)+((COUNTIF('Elève (5ème4)'!JO17:JQ17,"D"))*1))/(COUNTA(JO17:JQ17)),"")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(5ème4)'!JT17:JV17,"A"))*4)+((COUNTIF('Elève (5ème4)'!JT17:JV17,"B"))*3)+((COUNTIF('Elève (5ème4)'!JT17:JV17,"C"))*2)+((COUNTIF('Elève (5ème4)'!JT17:JV17,"D"))*1))/(COUNTA(JT17:JV17)),"")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(5ème4)'!JY17:KA17,"A"))*4)+((COUNTIF('Elève (5ème4)'!JY17:KA17,"B"))*3)+((COUNTIF('Elève (5ème4)'!JY17:KA17,"C"))*2)+((COUNTIF('Elève (5ème4)'!JY17:KA17,"D"))*1))/(COUNTA(JY17:KA17)),"")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(5ème4)'!KF17:KH17,"A"))*4)+((COUNTIF('Elève (5ème4)'!KF17:KH17,"B"))*3)+((COUNTIF('Elève (5ème4)'!KF17:KH17,"C"))*2)+((COUNTIF('Elève (5ème4)'!KF17:KH17,"D"))*1))/(COUNTA(KF17:KH17)),"")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(5ème4)'!KK17:KM17,"A"))*4)+((COUNTIF('Elève (5ème4)'!KK17:KM17,"B"))*3)+((COUNTIF('Elève (5ème4)'!KK17:KM17,"C"))*2)+((COUNTIF('Elève (5ème4)'!KK17:KM17,"D"))*1))/(COUNTA(KK17:KM17)),"")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(5ème4)'!KP17:KR17,"A"))*4)+((COUNTIF('Elève (5ème4)'!KP17:KR17,"B"))*3)+((COUNTIF('Elève (5ème4)'!KP17:KR17,"C"))*2)+((COUNTIF('Elève (5ème4)'!KP17:KR17,"D"))*1))/(COUNTA(KP17:KR17)),"")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(5ème4)'!KW17:KY17,"A"))*4)+((COUNTIF('Elève (5ème4)'!KW17:KY17,"B"))*3)+((COUNTIF('Elève (5ème4)'!KW17:KY17,"C"))*2)+((COUNTIF('Elève (5ème4)'!KW17:KY17,"D"))*1))/(COUNTA(KW17:KY17)),"")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(5ème4)'!LB17:LD17,"A"))*4)+((COUNTIF('Elève (5ème4)'!LB17:LD17,"B"))*3)+((COUNTIF('Elève (5ème4)'!LB17:LD17,"C"))*2)+((COUNTIF('Elève (5ème4)'!LB17:LD17,"D"))*1))/(COUNTA(LB17:LD17)),"")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(5ème4)'!LG17:LI17,"A"))*4)+((COUNTIF('Elève (5ème4)'!LG17:LI17,"B"))*3)+((COUNTIF('Elève (5ème4)'!LG17:LI17,"C"))*2)+((COUNTIF('Elève (5ème4)'!LG17:LI17,"D"))*1))/(COUNTA(LG17:LI17)),"")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(5ème4)'!LN17:LP17,"A"))*4)+((COUNTIF('Elève (5ème4)'!LN17:LP17,"B"))*3)+((COUNTIF('Elève (5ème4)'!LN17:LP17,"C"))*2)+((COUNTIF('Elève (5ème4)'!LN17:LP17,"D"))*1))/(COUNTA(LN17:LP17)),"")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(5ème4)'!LS17:LU17,"A"))*4)+((COUNTIF('Elève (5ème4)'!LS17:LU17,"B"))*3)+((COUNTIF('Elève (5ème4)'!LS17:LU17,"C"))*2)+((COUNTIF('Elève (5ème4)'!LS17:LU17,"D"))*1))/(COUNTA(LS17:LU17)),"")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(5ème4)'!LX17:LZ17,"A"))*4)+((COUNTIF('Elève (5ème4)'!LX17:LZ17,"B"))*3)+((COUNTIF('Elève (5ème4)'!LX17:LZ17,"C"))*2)+((COUNTIF('Elève (5ème4)'!LX17:LZ17,"D"))*1))/(COUNTA(LX17:LZ17)),"")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(5ème4)'!ME17:MG17,"A"))*4)+((COUNTIF('Elève (5ème4)'!ME17:MG17,"B"))*3)+((COUNTIF('Elève (5ème4)'!ME17:MG17,"C"))*2)+((COUNTIF('Elève (5ème4)'!ME17:MG17,"D"))*1))/(COUNTA(ME17:MG17)),"")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(5ème4)'!MJ17:ML17,"A"))*4)+((COUNTIF('Elève (5ème4)'!MJ17:ML17,"B"))*3)+((COUNTIF('Elève (5ème4)'!MJ17:ML17,"C"))*2)+((COUNTIF('Elève (5ème4)'!MJ17:ML17,"D"))*1))/(COUNTA(MJ17:ML17)),"")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(5ème4)'!MO17:MQ17,"A"))*4)+((COUNTIF('Elève (5ème4)'!MO17:MQ17,"B"))*3)+((COUNTIF('Elève (5ème4)'!MO17:MQ17,"C"))*2)+((COUNTIF('Elève (5ème4)'!MO17:MQ17,"D"))*1))/(COUNTA(MO17:MQ17)),"")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(5ème4)'!MV17:MX17,"A"))*4)+((COUNTIF('Elève (5ème4)'!MV17:MX17,"B"))*3)+((COUNTIF('Elève (5ème4)'!MV17:MX17,"C"))*2)+((COUNTIF('Elève (5ème4)'!MV17:MX17,"D"))*1))/(COUNTA(MV17:MX17)),"")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(5ème4)'!NA17:NC17,"A"))*4)+((COUNTIF('Elève (5ème4)'!NA17:NC17,"B"))*3)+((COUNTIF('Elève (5ème4)'!NA17:NC17,"C"))*2)+((COUNTIF('Elève (5ème4)'!NA17:NC17,"D"))*1))/(COUNTA(NA17:NC17)),"")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(5ème4)'!NF17:NH17,"A"))*4)+((COUNTIF('Elève (5ème4)'!NF17:NH17,"B"))*3)+((COUNTIF('Elève (5ème4)'!NF17:NH17,"C"))*2)+((COUNTIF('Elève (5ème4)'!NF17:NH17,"D"))*1))/(COUNTA(NF17:NH17)),"")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(5ème4)'!NM17:NO17,"A"))*4)+((COUNTIF('Elève (5ème4)'!NM17:NO17,"B"))*3)+((COUNTIF('Elève (5ème4)'!NM17:NO17,"C"))*2)+((COUNTIF('Elève (5ème4)'!NM17:NO17,"D"))*1))/(COUNTA(NM17:NO17)),"")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(5ème4)'!NR17:NT17,"A"))*4)+((COUNTIF('Elève (5ème4)'!NR17:NT17,"B"))*3)+((COUNTIF('Elève (5ème4)'!NR17:NT17,"C"))*2)+((COUNTIF('Elève (5ème4)'!NR17:NT17,"D"))*1))/(COUNTA(NR17:NT17)),"")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(5ème4)'!NW17:NY17,"A"))*4)+((COUNTIF('Elève (5ème4)'!NW17:NY17,"B"))*3)+((COUNTIF('Elève (5ème4)'!NW17:NY17,"C"))*2)+((COUNTIF('Elève (5ème4)'!NW17:NY17,"D"))*1))/(COUNTA(NW17:NY17)),"")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(5ème4)'!OD17:OF17,"A"))*4)+((COUNTIF('Elève (5ème4)'!OD17:OF17,"B"))*3)+((COUNTIF('Elève (5ème4)'!OD17:OF17,"C"))*2)+((COUNTIF('Elève (5ème4)'!OD17:OF17,"D"))*1))/(COUNTA(OD17:OF17)),"")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(5ème4)'!OI17:OK17,"A"))*4)+((COUNTIF('Elève (5ème4)'!OI17:OK17,"B"))*3)+((COUNTIF('Elève (5ème4)'!OI17:OK17,"C"))*2)+((COUNTIF('Elève (5ème4)'!OI17:OK17,"D"))*1))/(COUNTA(OI17:OK17)),"")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(5ème4)'!ON17:OP17,"A"))*4)+((COUNTIF('Elève (5ème4)'!ON17:OP17,"B"))*3)+((COUNTIF('Elève (5ème4)'!ON17:OP17,"C"))*2)+((COUNTIF('Elève (5ème4)'!ON17:OP17,"D"))*1))/(COUNTA(ON17:OP17)),"")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(5ème4)'!OU17:OW17,"A"))*4)+((COUNTIF('Elève (5ème4)'!OU17:OW17,"B"))*3)+((COUNTIF('Elève (5ème4)'!OU17:OW17,"C"))*2)+((COUNTIF('Elève (5ème4)'!OU17:OW17,"D"))*1))/(COUNTA(OU17:OW17)),"")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(5ème4)'!OZ17:PB17,"A"))*4)+((COUNTIF('Elève (5ème4)'!OZ17:PB17,"B"))*3)+((COUNTIF('Elève (5ème4)'!OZ17:PB17,"C"))*2)+((COUNTIF('Elève (5ème4)'!OZ17:PB17,"D"))*1))/(COUNTA(OZ17:PB17)),"")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(5ème4)'!PE17:PG17,"A"))*4)+((COUNTIF('Elève (5ème4)'!PE17:PG17,"B"))*3)+((COUNTIF('Elève (5ème4)'!PE17:PG17,"C"))*2)+((COUNTIF('Elève (5ème4)'!PE17:PG17,"D"))*1))/(COUNTA(PE17:PG17)),"")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(5ème4)'!PL17:PN17,"A"))*4)+((COUNTIF('Elève (5ème4)'!PL17:PN17,"B"))*3)+((COUNTIF('Elève (5ème4)'!PL17:PN17,"C"))*2)+((COUNTIF('Elève (5ème4)'!PL17:PN17,"D"))*1))/(COUNTA(PL17:PN17)),"")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(5ème4)'!PQ17:PS17,"A"))*4)+((COUNTIF('Elève (5ème4)'!PQ17:PS17,"B"))*3)+((COUNTIF('Elève (5ème4)'!PQ17:PS17,"C"))*2)+((COUNTIF('Elève (5ème4)'!PQ17:PS17,"D"))*1))/(COUNTA(PQ17:PS17)),"")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(5ème4)'!PV17:PX17,"A"))*4)+((COUNTIF('Elève (5ème4)'!PV17:PX17,"B"))*3)+((COUNTIF('Elève (5ème4)'!PV17:PX17,"C"))*2)+((COUNTIF('Elève (5ème4)'!PV17:PX17,"D"))*1))/(COUNTA(PV17:PX17)),"")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(5ème4)'!QC17:QE17,"A"))*4)+((COUNTIF('Elève (5ème4)'!QC17:QE17,"B"))*3)+((COUNTIF('Elève (5ème4)'!QC17:QE17,"C"))*2)+((COUNTIF('Elève (5ème4)'!QC17:QE17,"D"))*1))/(COUNTA(QC17:QE17)),"")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(5ème4)'!QH17:QJ17,"A"))*4)+((COUNTIF('Elève (5ème4)'!QH17:QJ17,"B"))*3)+((COUNTIF('Elève (5ème4)'!QH17:QJ17,"C"))*2)+((COUNTIF('Elève (5ème4)'!QH17:QJ17,"D"))*1))/(COUNTA(QH17:QJ17)),"")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(5ème4)'!QM17:QO17,"A"))*4)+((COUNTIF('Elève (5ème4)'!QM17:QO17,"B"))*3)+((COUNTIF('Elève (5ème4)'!QM17:QO17,"C"))*2)+((COUNTIF('Elève (5ème4)'!QM17:QO17,"D"))*1))/(COUNTA(QM17:QO17)),"")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(5ème4)'!QT17:QV17,"A"))*4)+((COUNTIF('Elève (5ème4)'!QT17:QV17,"B"))*3)+((COUNTIF('Elève (5ème4)'!QT17:QV17,"C"))*2)+((COUNTIF('Elève (5ème4)'!QT17:QV17,"D"))*1))/(COUNTA(QT17:QV17)),"")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(5ème4)'!QY17:RA17,"A"))*4)+((COUNTIF('Elève (5ème4)'!QY17:RA17,"B"))*3)+((COUNTIF('Elève (5ème4)'!QY17:RA17,"C"))*2)+((COUNTIF('Elève (5ème4)'!QY17:RA17,"D"))*1))/(COUNTA(QY17:RA17)),"")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(5ème4)'!RD17:RF17,"A"))*4)+((COUNTIF('Elève (5ème4)'!RD17:RF17,"B"))*3)+((COUNTIF('Elève (5ème4)'!RD17:RF17,"C"))*2)+((COUNTIF('Elève (5ème4)'!RD17:RF17,"D"))*1))/(COUNTA(RD17:RF17)),"")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(5ème4)'!RK17:RM17,"A"))*4)+((COUNTIF('Elève (5ème4)'!RK17:RM17,"B"))*3)+((COUNTIF('Elève (5ème4)'!RK17:RM17,"C"))*2)+((COUNTIF('Elève (5ème4)'!RK17:RM17,"D"))*1))/(COUNTA(RK17:RM17)),"")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(5ème4)'!RP17:RR17,"A"))*4)+((COUNTIF('Elève (5ème4)'!RP17:RR17,"B"))*3)+((COUNTIF('Elève (5ème4)'!RP17:RR17,"C"))*2)+((COUNTIF('Elève (5ème4)'!RP17:RR17,"D"))*1))/(COUNTA(RP17:RR17)),"")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(5ème4)'!RU17:RW17,"A"))*4)+((COUNTIF('Elève (5ème4)'!RU17:RW17,"B"))*3)+((COUNTIF('Elève (5ème4)'!RU17:RW17,"C"))*2)+((COUNTIF('Elève (5ème4)'!RU17:RW17,"D"))*1))/(COUNTA(RU17:RW17)),"")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(5ème4)'!SB17:SD17,"A"))*4)+((COUNTIF('Elève (5ème4)'!SB17:SD17,"B"))*3)+((COUNTIF('Elève (5ème4)'!SB17:SD17,"C"))*2)+((COUNTIF('Elève (5ème4)'!SB17:SD17,"D"))*1))/(COUNTA(SB17:SD17)),"")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(5ème4)'!SG17:SI17,"A"))*4)+((COUNTIF('Elève (5ème4)'!SG17:SI17,"B"))*3)+((COUNTIF('Elève (5ème4)'!SG17:SI17,"C"))*2)+((COUNTIF('Elève (5ème4)'!SG17:SI17,"D"))*1))/(COUNTA(SG17:SI17)),"")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(5ème4)'!SL17:SN17,"A"))*4)+((COUNTIF('Elève (5ème4)'!SL17:SN17,"B"))*3)+((COUNTIF('Elève (5ème4)'!SL17:SN17,"C"))*2)+((COUNTIF('Elève (5ème4)'!SL17:SN17,"D"))*1))/(COUNTA(SL17:SN17)),"")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7" t="s">
        <v>22</v>
      </c>
      <c r="B18" s="228"/>
      <c r="C18" s="156"/>
      <c r="D18" s="157"/>
      <c r="E18" s="158"/>
      <c r="F18" s="110" t="str">
        <f>IFERROR((((COUNTIF('Elève (5ème4)'!C18:E18,"A"))*4)+((COUNTIF('Elève (5ème4)'!C18:E18,"B"))*3)+((COUNTIF('Elève (5ème4)'!C18:E18,"C"))*2)+((COUNTIF('Elève (5ème4)'!C18:E18,"D"))*1))/(COUNTA(C18:E18)),"")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(5ème4)'!H18:J18,"A"))*4)+((COUNTIF('Elève (5ème4)'!H18:J18,"B"))*3)+((COUNTIF('Elève (5ème4)'!H18:J18,"C"))*2)+((COUNTIF('Elève (5ème4)'!H18:J18,"D"))*1))/(COUNTA(H18:J18)),"")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(5ème4)'!M18:O18,"A"))*4)+((COUNTIF('Elève (5ème4)'!M18:O18,"B"))*3)+((COUNTIF('Elève (5ème4)'!M18:O18,"C"))*2)+((COUNTIF('Elève (5ème4)'!M18:O18,"D"))*1))/(COUNTA(M18:O18)),"")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(5ème4)'!T18:V18,"A"))*4)+((COUNTIF('Elève (5ème4)'!T18:V18,"B"))*3)+((COUNTIF('Elève (5ème4)'!T18:V18,"C"))*2)+((COUNTIF('Elève (5ème4)'!T18:V18,"D"))*1))/(COUNTA(T18:V18)),"")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(5ème4)'!Y18:AA18,"A"))*4)+((COUNTIF('Elève (5ème4)'!Y18:AA18,"B"))*3)+((COUNTIF('Elève (5ème4)'!Y18:AA18,"C"))*2)+((COUNTIF('Elève (5ème4)'!Y18:AA18,"D"))*1))/(COUNTA(Y18:AA18)),"")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(5ème4)'!AD18:AF18,"A"))*4)+((COUNTIF('Elève (5ème4)'!AD18:AF18,"B"))*3)+((COUNTIF('Elève (5ème4)'!AD18:AF18,"C"))*2)+((COUNTIF('Elève (5ème4)'!AD18:AF18,"D"))*1))/(COUNTA(AD18:AF18)),"")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(5ème4)'!AK18:AM18,"A"))*4)+((COUNTIF('Elève (5ème4)'!AK18:AM18,"B"))*3)+((COUNTIF('Elève (5ème4)'!AK18:AM18,"C"))*2)+((COUNTIF('Elève (5ème4)'!AK18:AM18,"D"))*1))/(COUNTA(AK18:AM18)),"")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(5ème4)'!AP18:AR18,"A"))*4)+((COUNTIF('Elève (5ème4)'!AP18:AR18,"B"))*3)+((COUNTIF('Elève (5ème4)'!AP18:AR18,"C"))*2)+((COUNTIF('Elève (5ème4)'!AP18:AR18,"D"))*1))/(COUNTA(AP18:AR18)),"")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(5ème4)'!AU18:AW18,"A"))*4)+((COUNTIF('Elève (5ème4)'!AU18:AW18,"B"))*3)+((COUNTIF('Elève (5ème4)'!AU18:AW18,"C"))*2)+((COUNTIF('Elève (5ème4)'!AU18:AW18,"D"))*1))/(COUNTA(AU18:AW18)),"")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(5ème4)'!BB18:BD18,"A"))*4)+((COUNTIF('Elève (5ème4)'!BB18:BD18,"B"))*3)+((COUNTIF('Elève (5ème4)'!BB18:BD18,"C"))*2)+((COUNTIF('Elève (5ème4)'!BB18:BD18,"D"))*1))/(COUNTA(BB18:BD18)),"")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(5ème4)'!BG18:BI18,"A"))*4)+((COUNTIF('Elève (5ème4)'!BG18:BI18,"B"))*3)+((COUNTIF('Elève (5ème4)'!BG18:BI18,"C"))*2)+((COUNTIF('Elève (5ème4)'!BG18:BI18,"D"))*1))/(COUNTA(BG18:BI18)),"")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(5ème4)'!BL18:BN18,"A"))*4)+((COUNTIF('Elève (5ème4)'!BL18:BN18,"B"))*3)+((COUNTIF('Elève (5ème4)'!BL18:BN18,"C"))*2)+((COUNTIF('Elève (5ème4)'!BL18:BN18,"D"))*1))/(COUNTA(BL18:BN18)),"")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(5ème4)'!BS18:BU18,"A"))*4)+((COUNTIF('Elève (5ème4)'!BS18:BU18,"B"))*3)+((COUNTIF('Elève (5ème4)'!BS18:BU18,"C"))*2)+((COUNTIF('Elève (5ème4)'!BS18:BU18,"D"))*1))/(COUNTA(BS18:BU18)),"")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(5ème4)'!BX18:BZ18,"A"))*4)+((COUNTIF('Elève (5ème4)'!BX18:BZ18,"B"))*3)+((COUNTIF('Elève (5ème4)'!BX18:BZ18,"C"))*2)+((COUNTIF('Elève (5ème4)'!BX18:BZ18,"D"))*1))/(COUNTA(BX18:BZ18)),"")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(5ème4)'!CC18:CE18,"A"))*4)+((COUNTIF('Elève (5ème4)'!CC18:CE18,"B"))*3)+((COUNTIF('Elève (5ème4)'!CC18:CE18,"C"))*2)+((COUNTIF('Elève (5ème4)'!CC18:CE18,"D"))*1))/(COUNTA(CC18:CE18)),"")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(5ème4)'!CJ18:CL18,"A"))*4)+((COUNTIF('Elève (5ème4)'!CJ18:CL18,"B"))*3)+((COUNTIF('Elève (5ème4)'!CJ18:CL18,"C"))*2)+((COUNTIF('Elève (5ème4)'!CJ18:CL18,"D"))*1))/(COUNTA(CJ18:CL18)),"")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(5ème4)'!CO18:CQ18,"A"))*4)+((COUNTIF('Elève (5ème4)'!CO18:CQ18,"B"))*3)+((COUNTIF('Elève (5ème4)'!CO18:CQ18,"C"))*2)+((COUNTIF('Elève (5ème4)'!CO18:CQ18,"D"))*1))/(COUNTA(CO18:CQ18)),"")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(5ème4)'!CT18:CV18,"A"))*4)+((COUNTIF('Elève (5ème4)'!CT18:CV18,"B"))*3)+((COUNTIF('Elève (5ème4)'!CT18:CV18,"C"))*2)+((COUNTIF('Elève (5ème4)'!CT18:CV18,"D"))*1))/(COUNTA(CT18:CV18)),"")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(5ème4)'!DA18:DC18,"A"))*4)+((COUNTIF('Elève (5ème4)'!DA18:DC18,"B"))*3)+((COUNTIF('Elève (5ème4)'!DA18:DC18,"C"))*2)+((COUNTIF('Elève (5ème4)'!DA18:DC18,"D"))*1))/(COUNTA(DA18:DC18)),"")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(5ème4)'!DF18:DH18,"A"))*4)+((COUNTIF('Elève (5ème4)'!DF18:DH18,"B"))*3)+((COUNTIF('Elève (5ème4)'!DF18:DH18,"C"))*2)+((COUNTIF('Elève (5ème4)'!DF18:DH18,"D"))*1))/(COUNTA(DF18:DH18)),"")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(5ème4)'!DK18:DM18,"A"))*4)+((COUNTIF('Elève (5ème4)'!DK18:DM18,"B"))*3)+((COUNTIF('Elève (5ème4)'!DK18:DM18,"C"))*2)+((COUNTIF('Elève (5ème4)'!DK18:DM18,"D"))*1))/(COUNTA(DK18:DM18)),"")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(5ème4)'!DR18:DT18,"A"))*4)+((COUNTIF('Elève (5ème4)'!DR18:DT18,"B"))*3)+((COUNTIF('Elève (5ème4)'!DR18:DT18,"C"))*2)+((COUNTIF('Elève (5ème4)'!DR18:DT18,"D"))*1))/(COUNTA(DR18:DT18)),"")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(5ème4)'!DW18:DY18,"A"))*4)+((COUNTIF('Elève (5ème4)'!DW18:DY18,"B"))*3)+((COUNTIF('Elève (5ème4)'!DW18:DY18,"C"))*2)+((COUNTIF('Elève (5ème4)'!DW18:DY18,"D"))*1))/(COUNTA(DW18:DY18)),"")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(5ème4)'!EB18:ED18,"A"))*4)+((COUNTIF('Elève (5ème4)'!EB18:ED18,"B"))*3)+((COUNTIF('Elève (5ème4)'!EB18:ED18,"C"))*2)+((COUNTIF('Elève (5ème4)'!EB18:ED18,"D"))*1))/(COUNTA(EB18:ED18)),"")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(5ème4)'!EI18:EK18,"A"))*4)+((COUNTIF('Elève (5ème4)'!EI18:EK18,"B"))*3)+((COUNTIF('Elève (5ème4)'!EI18:EK18,"C"))*2)+((COUNTIF('Elève (5ème4)'!EI18:EK18,"D"))*1))/(COUNTA(EI18:EK18)),"")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(5ème4)'!EN18:EP18,"A"))*4)+((COUNTIF('Elève (5ème4)'!EN18:EP18,"B"))*3)+((COUNTIF('Elève (5ème4)'!EN18:EP18,"C"))*2)+((COUNTIF('Elève (5ème4)'!EN18:EP18,"D"))*1))/(COUNTA(EN18:EP18)),"")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(5ème4)'!ES18:EU18,"A"))*4)+((COUNTIF('Elève (5ème4)'!ES18:EU18,"B"))*3)+((COUNTIF('Elève (5ème4)'!ES18:EU18,"C"))*2)+((COUNTIF('Elève (5ème4)'!ES18:EU18,"D"))*1))/(COUNTA(ES18:EU18)),"")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(5ème4)'!EZ18:FB18,"A"))*4)+((COUNTIF('Elève (5ème4)'!EZ18:FB18,"B"))*3)+((COUNTIF('Elève (5ème4)'!EZ18:FB18,"C"))*2)+((COUNTIF('Elève (5ème4)'!EZ18:FB18,"D"))*1))/(COUNTA(EZ18:FB18)),"")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(5ème4)'!FE18:FG18,"A"))*4)+((COUNTIF('Elève (5ème4)'!FE18:FG18,"B"))*3)+((COUNTIF('Elève (5ème4)'!FE18:FG18,"C"))*2)+((COUNTIF('Elève (5ème4)'!FE18:FG18,"D"))*1))/(COUNTA(FE18:FG18)),"")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(5ème4)'!FJ18:FL18,"A"))*4)+((COUNTIF('Elève (5ème4)'!FJ18:FL18,"B"))*3)+((COUNTIF('Elève (5ème4)'!FJ18:FL18,"C"))*2)+((COUNTIF('Elève (5ème4)'!FJ18:FL18,"D"))*1))/(COUNTA(FJ18:FL18)),"")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(5ème4)'!FQ18:FS18,"A"))*4)+((COUNTIF('Elève (5ème4)'!FQ18:FS18,"B"))*3)+((COUNTIF('Elève (5ème4)'!FQ18:FS18,"C"))*2)+((COUNTIF('Elève (5ème4)'!FQ18:FS18,"D"))*1))/(COUNTA(FQ18:FS18)),"")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(5ème4)'!FV18:FX18,"A"))*4)+((COUNTIF('Elève (5ème4)'!FV18:FX18,"B"))*3)+((COUNTIF('Elève (5ème4)'!FV18:FX18,"C"))*2)+((COUNTIF('Elève (5ème4)'!FV18:FX18,"D"))*1))/(COUNTA(FV18:FX18)),"")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(5ème4)'!GA18:GC18,"A"))*4)+((COUNTIF('Elève (5ème4)'!GA18:GC18,"B"))*3)+((COUNTIF('Elève (5ème4)'!GA18:GC18,"C"))*2)+((COUNTIF('Elève (5ème4)'!GA18:GC18,"D"))*1))/(COUNTA(GA18:GC18)),"")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(5ème4)'!GH18:GJ18,"A"))*4)+((COUNTIF('Elève (5ème4)'!GH18:GJ18,"B"))*3)+((COUNTIF('Elève (5ème4)'!GH18:GJ18,"C"))*2)+((COUNTIF('Elève (5ème4)'!GH18:GJ18,"D"))*1))/(COUNTA(GH18:GJ18)),"")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(5ème4)'!GM18:GO18,"A"))*4)+((COUNTIF('Elève (5ème4)'!GM18:GO18,"B"))*3)+((COUNTIF('Elève (5ème4)'!GM18:GO18,"C"))*2)+((COUNTIF('Elève (5ème4)'!GM18:GO18,"D"))*1))/(COUNTA(GM18:GO18)),"")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(5ème4)'!GR18:GT18,"A"))*4)+((COUNTIF('Elève (5ème4)'!GR18:GT18,"B"))*3)+((COUNTIF('Elève (5ème4)'!GR18:GT18,"C"))*2)+((COUNTIF('Elève (5ème4)'!GR18:GT18,"D"))*1))/(COUNTA(GR18:GT18)),"")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(5ème4)'!GY18:HA18,"A"))*4)+((COUNTIF('Elève (5ème4)'!GY18:HA18,"B"))*3)+((COUNTIF('Elève (5ème4)'!GY18:HA18,"C"))*2)+((COUNTIF('Elève (5ème4)'!GY18:HA18,"D"))*1))/(COUNTA(GY18:HA18)),"")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(5ème4)'!HD18:HF18,"A"))*4)+((COUNTIF('Elève (5ème4)'!HD18:HF18,"B"))*3)+((COUNTIF('Elève (5ème4)'!HD18:HF18,"C"))*2)+((COUNTIF('Elève (5ème4)'!HD18:HF18,"D"))*1))/(COUNTA(HD18:HF18)),"")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(5ème4)'!HI18:HK18,"A"))*4)+((COUNTIF('Elève (5ème4)'!HI18:HK18,"B"))*3)+((COUNTIF('Elève (5ème4)'!HI18:HK18,"C"))*2)+((COUNTIF('Elève (5ème4)'!HI18:HK18,"D"))*1))/(COUNTA(HI18:HK18)),"")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(5ème4)'!HP18:HR18,"A"))*4)+((COUNTIF('Elève (5ème4)'!HP18:HR18,"B"))*3)+((COUNTIF('Elève (5ème4)'!HP18:HR18,"C"))*2)+((COUNTIF('Elève (5ème4)'!HP18:HR18,"D"))*1))/(COUNTA(HP18:HR18)),"")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(5ème4)'!HU18:HW18,"A"))*4)+((COUNTIF('Elève (5ème4)'!HU18:HW18,"B"))*3)+((COUNTIF('Elève (5ème4)'!HU18:HW18,"C"))*2)+((COUNTIF('Elève (5ème4)'!HU18:HW18,"D"))*1))/(COUNTA(HU18:HW18)),"")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(5ème4)'!HZ18:IB18,"A"))*4)+((COUNTIF('Elève (5ème4)'!HZ18:IB18,"B"))*3)+((COUNTIF('Elève (5ème4)'!HZ18:IB18,"C"))*2)+((COUNTIF('Elève (5ème4)'!HZ18:IB18,"D"))*1))/(COUNTA(HZ18:IB18)),"")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(5ème4)'!IG18:II18,"A"))*4)+((COUNTIF('Elève (5ème4)'!IG18:II18,"B"))*3)+((COUNTIF('Elève (5ème4)'!IG18:II18,"C"))*2)+((COUNTIF('Elève (5ème4)'!IG18:II18,"D"))*1))/(COUNTA(IG18:II18)),"")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(5ème4)'!IL18:IN18,"A"))*4)+((COUNTIF('Elève (5ème4)'!IL18:IN18,"B"))*3)+((COUNTIF('Elève (5ème4)'!IL18:IN18,"C"))*2)+((COUNTIF('Elève (5ème4)'!IL18:IN18,"D"))*1))/(COUNTA(IL18:IN18)),"")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(5ème4)'!IQ18:IS18,"A"))*4)+((COUNTIF('Elève (5ème4)'!IQ18:IS18,"B"))*3)+((COUNTIF('Elève (5ème4)'!IQ18:IS18,"C"))*2)+((COUNTIF('Elève (5ème4)'!IQ18:IS18,"D"))*1))/(COUNTA(IQ18:IS18)),"")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(5ème4)'!IX18:IZ18,"A"))*4)+((COUNTIF('Elève (5ème4)'!IX18:IZ18,"B"))*3)+((COUNTIF('Elève (5ème4)'!IX18:IZ18,"C"))*2)+((COUNTIF('Elève (5ème4)'!IX18:IZ18,"D"))*1))/(COUNTA(IX18:IZ18)),"")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(5ème4)'!JC18:JE18,"A"))*4)+((COUNTIF('Elève (5ème4)'!JC18:JE18,"B"))*3)+((COUNTIF('Elève (5ème4)'!JC18:JE18,"C"))*2)+((COUNTIF('Elève (5ème4)'!JC18:JE18,"D"))*1))/(COUNTA(JC18:JE18)),"")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(5ème4)'!JH18:JJ18,"A"))*4)+((COUNTIF('Elève (5ème4)'!JH18:JJ18,"B"))*3)+((COUNTIF('Elève (5ème4)'!JH18:JJ18,"C"))*2)+((COUNTIF('Elève (5ème4)'!JH18:JJ18,"D"))*1))/(COUNTA(JH18:JJ18)),"")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(5ème4)'!JO18:JQ18,"A"))*4)+((COUNTIF('Elève (5ème4)'!JO18:JQ18,"B"))*3)+((COUNTIF('Elève (5ème4)'!JO18:JQ18,"C"))*2)+((COUNTIF('Elève (5ème4)'!JO18:JQ18,"D"))*1))/(COUNTA(JO18:JQ18)),"")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(5ème4)'!JT18:JV18,"A"))*4)+((COUNTIF('Elève (5ème4)'!JT18:JV18,"B"))*3)+((COUNTIF('Elève (5ème4)'!JT18:JV18,"C"))*2)+((COUNTIF('Elève (5ème4)'!JT18:JV18,"D"))*1))/(COUNTA(JT18:JV18)),"")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(5ème4)'!JY18:KA18,"A"))*4)+((COUNTIF('Elève (5ème4)'!JY18:KA18,"B"))*3)+((COUNTIF('Elève (5ème4)'!JY18:KA18,"C"))*2)+((COUNTIF('Elève (5ème4)'!JY18:KA18,"D"))*1))/(COUNTA(JY18:KA18)),"")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(5ème4)'!KF18:KH18,"A"))*4)+((COUNTIF('Elève (5ème4)'!KF18:KH18,"B"))*3)+((COUNTIF('Elève (5ème4)'!KF18:KH18,"C"))*2)+((COUNTIF('Elève (5ème4)'!KF18:KH18,"D"))*1))/(COUNTA(KF18:KH18)),"")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(5ème4)'!KK18:KM18,"A"))*4)+((COUNTIF('Elève (5ème4)'!KK18:KM18,"B"))*3)+((COUNTIF('Elève (5ème4)'!KK18:KM18,"C"))*2)+((COUNTIF('Elève (5ème4)'!KK18:KM18,"D"))*1))/(COUNTA(KK18:KM18)),"")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(5ème4)'!KP18:KR18,"A"))*4)+((COUNTIF('Elève (5ème4)'!KP18:KR18,"B"))*3)+((COUNTIF('Elève (5ème4)'!KP18:KR18,"C"))*2)+((COUNTIF('Elève (5ème4)'!KP18:KR18,"D"))*1))/(COUNTA(KP18:KR18)),"")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(5ème4)'!KW18:KY18,"A"))*4)+((COUNTIF('Elève (5ème4)'!KW18:KY18,"B"))*3)+((COUNTIF('Elève (5ème4)'!KW18:KY18,"C"))*2)+((COUNTIF('Elève (5ème4)'!KW18:KY18,"D"))*1))/(COUNTA(KW18:KY18)),"")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(5ème4)'!LB18:LD18,"A"))*4)+((COUNTIF('Elève (5ème4)'!LB18:LD18,"B"))*3)+((COUNTIF('Elève (5ème4)'!LB18:LD18,"C"))*2)+((COUNTIF('Elève (5ème4)'!LB18:LD18,"D"))*1))/(COUNTA(LB18:LD18)),"")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(5ème4)'!LG18:LI18,"A"))*4)+((COUNTIF('Elève (5ème4)'!LG18:LI18,"B"))*3)+((COUNTIF('Elève (5ème4)'!LG18:LI18,"C"))*2)+((COUNTIF('Elève (5ème4)'!LG18:LI18,"D"))*1))/(COUNTA(LG18:LI18)),"")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(5ème4)'!LN18:LP18,"A"))*4)+((COUNTIF('Elève (5ème4)'!LN18:LP18,"B"))*3)+((COUNTIF('Elève (5ème4)'!LN18:LP18,"C"))*2)+((COUNTIF('Elève (5ème4)'!LN18:LP18,"D"))*1))/(COUNTA(LN18:LP18)),"")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(5ème4)'!LS18:LU18,"A"))*4)+((COUNTIF('Elève (5ème4)'!LS18:LU18,"B"))*3)+((COUNTIF('Elève (5ème4)'!LS18:LU18,"C"))*2)+((COUNTIF('Elève (5ème4)'!LS18:LU18,"D"))*1))/(COUNTA(LS18:LU18)),"")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(5ème4)'!LX18:LZ18,"A"))*4)+((COUNTIF('Elève (5ème4)'!LX18:LZ18,"B"))*3)+((COUNTIF('Elève (5ème4)'!LX18:LZ18,"C"))*2)+((COUNTIF('Elève (5ème4)'!LX18:LZ18,"D"))*1))/(COUNTA(LX18:LZ18)),"")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(5ème4)'!ME18:MG18,"A"))*4)+((COUNTIF('Elève (5ème4)'!ME18:MG18,"B"))*3)+((COUNTIF('Elève (5ème4)'!ME18:MG18,"C"))*2)+((COUNTIF('Elève (5ème4)'!ME18:MG18,"D"))*1))/(COUNTA(ME18:MG18)),"")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(5ème4)'!MJ18:ML18,"A"))*4)+((COUNTIF('Elève (5ème4)'!MJ18:ML18,"B"))*3)+((COUNTIF('Elève (5ème4)'!MJ18:ML18,"C"))*2)+((COUNTIF('Elève (5ème4)'!MJ18:ML18,"D"))*1))/(COUNTA(MJ18:ML18)),"")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(5ème4)'!MO18:MQ18,"A"))*4)+((COUNTIF('Elève (5ème4)'!MO18:MQ18,"B"))*3)+((COUNTIF('Elève (5ème4)'!MO18:MQ18,"C"))*2)+((COUNTIF('Elève (5ème4)'!MO18:MQ18,"D"))*1))/(COUNTA(MO18:MQ18)),"")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(5ème4)'!MV18:MX18,"A"))*4)+((COUNTIF('Elève (5ème4)'!MV18:MX18,"B"))*3)+((COUNTIF('Elève (5ème4)'!MV18:MX18,"C"))*2)+((COUNTIF('Elève (5ème4)'!MV18:MX18,"D"))*1))/(COUNTA(MV18:MX18)),"")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(5ème4)'!NA18:NC18,"A"))*4)+((COUNTIF('Elève (5ème4)'!NA18:NC18,"B"))*3)+((COUNTIF('Elève (5ème4)'!NA18:NC18,"C"))*2)+((COUNTIF('Elève (5ème4)'!NA18:NC18,"D"))*1))/(COUNTA(NA18:NC18)),"")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(5ème4)'!NF18:NH18,"A"))*4)+((COUNTIF('Elève (5ème4)'!NF18:NH18,"B"))*3)+((COUNTIF('Elève (5ème4)'!NF18:NH18,"C"))*2)+((COUNTIF('Elève (5ème4)'!NF18:NH18,"D"))*1))/(COUNTA(NF18:NH18)),"")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(5ème4)'!NM18:NO18,"A"))*4)+((COUNTIF('Elève (5ème4)'!NM18:NO18,"B"))*3)+((COUNTIF('Elève (5ème4)'!NM18:NO18,"C"))*2)+((COUNTIF('Elève (5ème4)'!NM18:NO18,"D"))*1))/(COUNTA(NM18:NO18)),"")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(5ème4)'!NR18:NT18,"A"))*4)+((COUNTIF('Elève (5ème4)'!NR18:NT18,"B"))*3)+((COUNTIF('Elève (5ème4)'!NR18:NT18,"C"))*2)+((COUNTIF('Elève (5ème4)'!NR18:NT18,"D"))*1))/(COUNTA(NR18:NT18)),"")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(5ème4)'!NW18:NY18,"A"))*4)+((COUNTIF('Elève (5ème4)'!NW18:NY18,"B"))*3)+((COUNTIF('Elève (5ème4)'!NW18:NY18,"C"))*2)+((COUNTIF('Elève (5ème4)'!NW18:NY18,"D"))*1))/(COUNTA(NW18:NY18)),"")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(5ème4)'!OD18:OF18,"A"))*4)+((COUNTIF('Elève (5ème4)'!OD18:OF18,"B"))*3)+((COUNTIF('Elève (5ème4)'!OD18:OF18,"C"))*2)+((COUNTIF('Elève (5ème4)'!OD18:OF18,"D"))*1))/(COUNTA(OD18:OF18)),"")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(5ème4)'!OI18:OK18,"A"))*4)+((COUNTIF('Elève (5ème4)'!OI18:OK18,"B"))*3)+((COUNTIF('Elève (5ème4)'!OI18:OK18,"C"))*2)+((COUNTIF('Elève (5ème4)'!OI18:OK18,"D"))*1))/(COUNTA(OI18:OK18)),"")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(5ème4)'!ON18:OP18,"A"))*4)+((COUNTIF('Elève (5ème4)'!ON18:OP18,"B"))*3)+((COUNTIF('Elève (5ème4)'!ON18:OP18,"C"))*2)+((COUNTIF('Elève (5ème4)'!ON18:OP18,"D"))*1))/(COUNTA(ON18:OP18)),"")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(5ème4)'!OU18:OW18,"A"))*4)+((COUNTIF('Elève (5ème4)'!OU18:OW18,"B"))*3)+((COUNTIF('Elève (5ème4)'!OU18:OW18,"C"))*2)+((COUNTIF('Elève (5ème4)'!OU18:OW18,"D"))*1))/(COUNTA(OU18:OW18)),"")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(5ème4)'!OZ18:PB18,"A"))*4)+((COUNTIF('Elève (5ème4)'!OZ18:PB18,"B"))*3)+((COUNTIF('Elève (5ème4)'!OZ18:PB18,"C"))*2)+((COUNTIF('Elève (5ème4)'!OZ18:PB18,"D"))*1))/(COUNTA(OZ18:PB18)),"")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(5ème4)'!PE18:PG18,"A"))*4)+((COUNTIF('Elève (5ème4)'!PE18:PG18,"B"))*3)+((COUNTIF('Elève (5ème4)'!PE18:PG18,"C"))*2)+((COUNTIF('Elève (5ème4)'!PE18:PG18,"D"))*1))/(COUNTA(PE18:PG18)),"")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(5ème4)'!PL18:PN18,"A"))*4)+((COUNTIF('Elève (5ème4)'!PL18:PN18,"B"))*3)+((COUNTIF('Elève (5ème4)'!PL18:PN18,"C"))*2)+((COUNTIF('Elève (5ème4)'!PL18:PN18,"D"))*1))/(COUNTA(PL18:PN18)),"")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(5ème4)'!PQ18:PS18,"A"))*4)+((COUNTIF('Elève (5ème4)'!PQ18:PS18,"B"))*3)+((COUNTIF('Elève (5ème4)'!PQ18:PS18,"C"))*2)+((COUNTIF('Elève (5ème4)'!PQ18:PS18,"D"))*1))/(COUNTA(PQ18:PS18)),"")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(5ème4)'!PV18:PX18,"A"))*4)+((COUNTIF('Elève (5ème4)'!PV18:PX18,"B"))*3)+((COUNTIF('Elève (5ème4)'!PV18:PX18,"C"))*2)+((COUNTIF('Elève (5ème4)'!PV18:PX18,"D"))*1))/(COUNTA(PV18:PX18)),"")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(5ème4)'!QC18:QE18,"A"))*4)+((COUNTIF('Elève (5ème4)'!QC18:QE18,"B"))*3)+((COUNTIF('Elève (5ème4)'!QC18:QE18,"C"))*2)+((COUNTIF('Elève (5ème4)'!QC18:QE18,"D"))*1))/(COUNTA(QC18:QE18)),"")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(5ème4)'!QH18:QJ18,"A"))*4)+((COUNTIF('Elève (5ème4)'!QH18:QJ18,"B"))*3)+((COUNTIF('Elève (5ème4)'!QH18:QJ18,"C"))*2)+((COUNTIF('Elève (5ème4)'!QH18:QJ18,"D"))*1))/(COUNTA(QH18:QJ18)),"")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(5ème4)'!QM18:QO18,"A"))*4)+((COUNTIF('Elève (5ème4)'!QM18:QO18,"B"))*3)+((COUNTIF('Elève (5ème4)'!QM18:QO18,"C"))*2)+((COUNTIF('Elève (5ème4)'!QM18:QO18,"D"))*1))/(COUNTA(QM18:QO18)),"")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(5ème4)'!QT18:QV18,"A"))*4)+((COUNTIF('Elève (5ème4)'!QT18:QV18,"B"))*3)+((COUNTIF('Elève (5ème4)'!QT18:QV18,"C"))*2)+((COUNTIF('Elève (5ème4)'!QT18:QV18,"D"))*1))/(COUNTA(QT18:QV18)),"")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(5ème4)'!QY18:RA18,"A"))*4)+((COUNTIF('Elève (5ème4)'!QY18:RA18,"B"))*3)+((COUNTIF('Elève (5ème4)'!QY18:RA18,"C"))*2)+((COUNTIF('Elève (5ème4)'!QY18:RA18,"D"))*1))/(COUNTA(QY18:RA18)),"")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(5ème4)'!RD18:RF18,"A"))*4)+((COUNTIF('Elève (5ème4)'!RD18:RF18,"B"))*3)+((COUNTIF('Elève (5ème4)'!RD18:RF18,"C"))*2)+((COUNTIF('Elève (5ème4)'!RD18:RF18,"D"))*1))/(COUNTA(RD18:RF18)),"")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(5ème4)'!RK18:RM18,"A"))*4)+((COUNTIF('Elève (5ème4)'!RK18:RM18,"B"))*3)+((COUNTIF('Elève (5ème4)'!RK18:RM18,"C"))*2)+((COUNTIF('Elève (5ème4)'!RK18:RM18,"D"))*1))/(COUNTA(RK18:RM18)),"")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(5ème4)'!RP18:RR18,"A"))*4)+((COUNTIF('Elève (5ème4)'!RP18:RR18,"B"))*3)+((COUNTIF('Elève (5ème4)'!RP18:RR18,"C"))*2)+((COUNTIF('Elève (5ème4)'!RP18:RR18,"D"))*1))/(COUNTA(RP18:RR18)),"")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(5ème4)'!RU18:RW18,"A"))*4)+((COUNTIF('Elève (5ème4)'!RU18:RW18,"B"))*3)+((COUNTIF('Elève (5ème4)'!RU18:RW18,"C"))*2)+((COUNTIF('Elève (5ème4)'!RU18:RW18,"D"))*1))/(COUNTA(RU18:RW18)),"")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(5ème4)'!SB18:SD18,"A"))*4)+((COUNTIF('Elève (5ème4)'!SB18:SD18,"B"))*3)+((COUNTIF('Elève (5ème4)'!SB18:SD18,"C"))*2)+((COUNTIF('Elève (5ème4)'!SB18:SD18,"D"))*1))/(COUNTA(SB18:SD18)),"")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(5ème4)'!SG18:SI18,"A"))*4)+((COUNTIF('Elève (5ème4)'!SG18:SI18,"B"))*3)+((COUNTIF('Elève (5ème4)'!SG18:SI18,"C"))*2)+((COUNTIF('Elève (5ème4)'!SG18:SI18,"D"))*1))/(COUNTA(SG18:SI18)),"")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(5ème4)'!SL18:SN18,"A"))*4)+((COUNTIF('Elève (5ème4)'!SL18:SN18,"B"))*3)+((COUNTIF('Elève (5ème4)'!SL18:SN18,"C"))*2)+((COUNTIF('Elève (5ème4)'!SL18:SN18,"D"))*1))/(COUNTA(SL18:SN18)),"")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25" t="s">
        <v>23</v>
      </c>
      <c r="B19" s="226"/>
      <c r="C19" s="159"/>
      <c r="D19" s="160"/>
      <c r="E19" s="161"/>
      <c r="F19" s="136" t="str">
        <f>IFERROR((((COUNTIF('Elève (5ème4)'!C19:E19,"A"))*4)+((COUNTIF('Elève (5ème4)'!C19:E19,"B"))*3)+((COUNTIF('Elève (5ème4)'!C19:E19,"C"))*2)+((COUNTIF('Elève (5ème4)'!C19:E19,"D"))*1))/(COUNTA(C19:E19)),"")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(5ème4)'!H19:J19,"A"))*4)+((COUNTIF('Elève (5ème4)'!H19:J19,"B"))*3)+((COUNTIF('Elève (5ème4)'!H19:J19,"C"))*2)+((COUNTIF('Elève (5ème4)'!H19:J19,"D"))*1))/(COUNTA(H19:J19)),"")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(5ème4)'!M19:O19,"A"))*4)+((COUNTIF('Elève (5ème4)'!M19:O19,"B"))*3)+((COUNTIF('Elève (5ème4)'!M19:O19,"C"))*2)+((COUNTIF('Elève (5ème4)'!M19:O19,"D"))*1))/(COUNTA(M19:O19)),"")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(5ème4)'!T19:V19,"A"))*4)+((COUNTIF('Elève (5ème4)'!T19:V19,"B"))*3)+((COUNTIF('Elève (5ème4)'!T19:V19,"C"))*2)+((COUNTIF('Elève (5ème4)'!T19:V19,"D"))*1))/(COUNTA(T19:V19)),"")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(5ème4)'!Y19:AA19,"A"))*4)+((COUNTIF('Elève (5ème4)'!Y19:AA19,"B"))*3)+((COUNTIF('Elève (5ème4)'!Y19:AA19,"C"))*2)+((COUNTIF('Elève (5ème4)'!Y19:AA19,"D"))*1))/(COUNTA(Y19:AA19)),"")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(5ème4)'!AD19:AF19,"A"))*4)+((COUNTIF('Elève (5ème4)'!AD19:AF19,"B"))*3)+((COUNTIF('Elève (5ème4)'!AD19:AF19,"C"))*2)+((COUNTIF('Elève (5ème4)'!AD19:AF19,"D"))*1))/(COUNTA(AD19:AF19)),"")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(5ème4)'!AK19:AM19,"A"))*4)+((COUNTIF('Elève (5ème4)'!AK19:AM19,"B"))*3)+((COUNTIF('Elève (5ème4)'!AK19:AM19,"C"))*2)+((COUNTIF('Elève (5ème4)'!AK19:AM19,"D"))*1))/(COUNTA(AK19:AM19)),"")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(5ème4)'!AP19:AR19,"A"))*4)+((COUNTIF('Elève (5ème4)'!AP19:AR19,"B"))*3)+((COUNTIF('Elève (5ème4)'!AP19:AR19,"C"))*2)+((COUNTIF('Elève (5ème4)'!AP19:AR19,"D"))*1))/(COUNTA(AP19:AR19)),"")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(5ème4)'!AU19:AW19,"A"))*4)+((COUNTIF('Elève (5ème4)'!AU19:AW19,"B"))*3)+((COUNTIF('Elève (5ème4)'!AU19:AW19,"C"))*2)+((COUNTIF('Elève (5ème4)'!AU19:AW19,"D"))*1))/(COUNTA(AU19:AW19)),"")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(5ème4)'!BB19:BD19,"A"))*4)+((COUNTIF('Elève (5ème4)'!BB19:BD19,"B"))*3)+((COUNTIF('Elève (5ème4)'!BB19:BD19,"C"))*2)+((COUNTIF('Elève (5ème4)'!BB19:BD19,"D"))*1))/(COUNTA(BB19:BD19)),"")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(5ème4)'!BG19:BI19,"A"))*4)+((COUNTIF('Elève (5ème4)'!BG19:BI19,"B"))*3)+((COUNTIF('Elève (5ème4)'!BG19:BI19,"C"))*2)+((COUNTIF('Elève (5ème4)'!BG19:BI19,"D"))*1))/(COUNTA(BG19:BI19)),"")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(5ème4)'!BL19:BN19,"A"))*4)+((COUNTIF('Elève (5ème4)'!BL19:BN19,"B"))*3)+((COUNTIF('Elève (5ème4)'!BL19:BN19,"C"))*2)+((COUNTIF('Elève (5ème4)'!BL19:BN19,"D"))*1))/(COUNTA(BL19:BN19)),"")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(5ème4)'!BS19:BU19,"A"))*4)+((COUNTIF('Elève (5ème4)'!BS19:BU19,"B"))*3)+((COUNTIF('Elève (5ème4)'!BS19:BU19,"C"))*2)+((COUNTIF('Elève (5ème4)'!BS19:BU19,"D"))*1))/(COUNTA(BS19:BU19)),"")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(5ème4)'!BX19:BZ19,"A"))*4)+((COUNTIF('Elève (5ème4)'!BX19:BZ19,"B"))*3)+((COUNTIF('Elève (5ème4)'!BX19:BZ19,"C"))*2)+((COUNTIF('Elève (5ème4)'!BX19:BZ19,"D"))*1))/(COUNTA(BX19:BZ19)),"")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(5ème4)'!CC19:CE19,"A"))*4)+((COUNTIF('Elève (5ème4)'!CC19:CE19,"B"))*3)+((COUNTIF('Elève (5ème4)'!CC19:CE19,"C"))*2)+((COUNTIF('Elève (5ème4)'!CC19:CE19,"D"))*1))/(COUNTA(CC19:CE19)),"")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(5ème4)'!CJ19:CL19,"A"))*4)+((COUNTIF('Elève (5ème4)'!CJ19:CL19,"B"))*3)+((COUNTIF('Elève (5ème4)'!CJ19:CL19,"C"))*2)+((COUNTIF('Elève (5ème4)'!CJ19:CL19,"D"))*1))/(COUNTA(CJ19:CL19)),"")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(5ème4)'!CO19:CQ19,"A"))*4)+((COUNTIF('Elève (5ème4)'!CO19:CQ19,"B"))*3)+((COUNTIF('Elève (5ème4)'!CO19:CQ19,"C"))*2)+((COUNTIF('Elève (5ème4)'!CO19:CQ19,"D"))*1))/(COUNTA(CO19:CQ19)),"")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(5ème4)'!CT19:CV19,"A"))*4)+((COUNTIF('Elève (5ème4)'!CT19:CV19,"B"))*3)+((COUNTIF('Elève (5ème4)'!CT19:CV19,"C"))*2)+((COUNTIF('Elève (5ème4)'!CT19:CV19,"D"))*1))/(COUNTA(CT19:CV19)),"")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(5ème4)'!DA19:DC19,"A"))*4)+((COUNTIF('Elève (5ème4)'!DA19:DC19,"B"))*3)+((COUNTIF('Elève (5ème4)'!DA19:DC19,"C"))*2)+((COUNTIF('Elève (5ème4)'!DA19:DC19,"D"))*1))/(COUNTA(DA19:DC19)),"")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(5ème4)'!DF19:DH19,"A"))*4)+((COUNTIF('Elève (5ème4)'!DF19:DH19,"B"))*3)+((COUNTIF('Elève (5ème4)'!DF19:DH19,"C"))*2)+((COUNTIF('Elève (5ème4)'!DF19:DH19,"D"))*1))/(COUNTA(DF19:DH19)),"")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(5ème4)'!DK19:DM19,"A"))*4)+((COUNTIF('Elève (5ème4)'!DK19:DM19,"B"))*3)+((COUNTIF('Elève (5ème4)'!DK19:DM19,"C"))*2)+((COUNTIF('Elève (5ème4)'!DK19:DM19,"D"))*1))/(COUNTA(DK19:DM19)),"")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(5ème4)'!DR19:DT19,"A"))*4)+((COUNTIF('Elève (5ème4)'!DR19:DT19,"B"))*3)+((COUNTIF('Elève (5ème4)'!DR19:DT19,"C"))*2)+((COUNTIF('Elève (5ème4)'!DR19:DT19,"D"))*1))/(COUNTA(DR19:DT19)),"")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(5ème4)'!DW19:DY19,"A"))*4)+((COUNTIF('Elève (5ème4)'!DW19:DY19,"B"))*3)+((COUNTIF('Elève (5ème4)'!DW19:DY19,"C"))*2)+((COUNTIF('Elève (5ème4)'!DW19:DY19,"D"))*1))/(COUNTA(DW19:DY19)),"")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(5ème4)'!EB19:ED19,"A"))*4)+((COUNTIF('Elève (5ème4)'!EB19:ED19,"B"))*3)+((COUNTIF('Elève (5ème4)'!EB19:ED19,"C"))*2)+((COUNTIF('Elève (5ème4)'!EB19:ED19,"D"))*1))/(COUNTA(EB19:ED19)),"")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(5ème4)'!EI19:EK19,"A"))*4)+((COUNTIF('Elève (5ème4)'!EI19:EK19,"B"))*3)+((COUNTIF('Elève (5ème4)'!EI19:EK19,"C"))*2)+((COUNTIF('Elève (5ème4)'!EI19:EK19,"D"))*1))/(COUNTA(EI19:EK19)),"")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(5ème4)'!EN19:EP19,"A"))*4)+((COUNTIF('Elève (5ème4)'!EN19:EP19,"B"))*3)+((COUNTIF('Elève (5ème4)'!EN19:EP19,"C"))*2)+((COUNTIF('Elève (5ème4)'!EN19:EP19,"D"))*1))/(COUNTA(EN19:EP19)),"")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(5ème4)'!ES19:EU19,"A"))*4)+((COUNTIF('Elève (5ème4)'!ES19:EU19,"B"))*3)+((COUNTIF('Elève (5ème4)'!ES19:EU19,"C"))*2)+((COUNTIF('Elève (5ème4)'!ES19:EU19,"D"))*1))/(COUNTA(ES19:EU19)),"")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(5ème4)'!EZ19:FB19,"A"))*4)+((COUNTIF('Elève (5ème4)'!EZ19:FB19,"B"))*3)+((COUNTIF('Elève (5ème4)'!EZ19:FB19,"C"))*2)+((COUNTIF('Elève (5ème4)'!EZ19:FB19,"D"))*1))/(COUNTA(EZ19:FB19)),"")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(5ème4)'!FE19:FG19,"A"))*4)+((COUNTIF('Elève (5ème4)'!FE19:FG19,"B"))*3)+((COUNTIF('Elève (5ème4)'!FE19:FG19,"C"))*2)+((COUNTIF('Elève (5ème4)'!FE19:FG19,"D"))*1))/(COUNTA(FE19:FG19)),"")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(5ème4)'!FJ19:FL19,"A"))*4)+((COUNTIF('Elève (5ème4)'!FJ19:FL19,"B"))*3)+((COUNTIF('Elève (5ème4)'!FJ19:FL19,"C"))*2)+((COUNTIF('Elève (5ème4)'!FJ19:FL19,"D"))*1))/(COUNTA(FJ19:FL19)),"")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(5ème4)'!FQ19:FS19,"A"))*4)+((COUNTIF('Elève (5ème4)'!FQ19:FS19,"B"))*3)+((COUNTIF('Elève (5ème4)'!FQ19:FS19,"C"))*2)+((COUNTIF('Elève (5ème4)'!FQ19:FS19,"D"))*1))/(COUNTA(FQ19:FS19)),"")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(5ème4)'!FV19:FX19,"A"))*4)+((COUNTIF('Elève (5ème4)'!FV19:FX19,"B"))*3)+((COUNTIF('Elève (5ème4)'!FV19:FX19,"C"))*2)+((COUNTIF('Elève (5ème4)'!FV19:FX19,"D"))*1))/(COUNTA(FV19:FX19)),"")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(5ème4)'!GA19:GC19,"A"))*4)+((COUNTIF('Elève (5ème4)'!GA19:GC19,"B"))*3)+((COUNTIF('Elève (5ème4)'!GA19:GC19,"C"))*2)+((COUNTIF('Elève (5ème4)'!GA19:GC19,"D"))*1))/(COUNTA(GA19:GC19)),"")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(5ème4)'!GH19:GJ19,"A"))*4)+((COUNTIF('Elève (5ème4)'!GH19:GJ19,"B"))*3)+((COUNTIF('Elève (5ème4)'!GH19:GJ19,"C"))*2)+((COUNTIF('Elève (5ème4)'!GH19:GJ19,"D"))*1))/(COUNTA(GH19:GJ19)),"")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(5ème4)'!GM19:GO19,"A"))*4)+((COUNTIF('Elève (5ème4)'!GM19:GO19,"B"))*3)+((COUNTIF('Elève (5ème4)'!GM19:GO19,"C"))*2)+((COUNTIF('Elève (5ème4)'!GM19:GO19,"D"))*1))/(COUNTA(GM19:GO19)),"")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(5ème4)'!GR19:GT19,"A"))*4)+((COUNTIF('Elève (5ème4)'!GR19:GT19,"B"))*3)+((COUNTIF('Elève (5ème4)'!GR19:GT19,"C"))*2)+((COUNTIF('Elève (5ème4)'!GR19:GT19,"D"))*1))/(COUNTA(GR19:GT19)),"")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(5ème4)'!GY19:HA19,"A"))*4)+((COUNTIF('Elève (5ème4)'!GY19:HA19,"B"))*3)+((COUNTIF('Elève (5ème4)'!GY19:HA19,"C"))*2)+((COUNTIF('Elève (5ème4)'!GY19:HA19,"D"))*1))/(COUNTA(GY19:HA19)),"")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(5ème4)'!HD19:HF19,"A"))*4)+((COUNTIF('Elève (5ème4)'!HD19:HF19,"B"))*3)+((COUNTIF('Elève (5ème4)'!HD19:HF19,"C"))*2)+((COUNTIF('Elève (5ème4)'!HD19:HF19,"D"))*1))/(COUNTA(HD19:HF19)),"")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(5ème4)'!HI19:HK19,"A"))*4)+((COUNTIF('Elève (5ème4)'!HI19:HK19,"B"))*3)+((COUNTIF('Elève (5ème4)'!HI19:HK19,"C"))*2)+((COUNTIF('Elève (5ème4)'!HI19:HK19,"D"))*1))/(COUNTA(HI19:HK19)),"")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(5ème4)'!HP19:HR19,"A"))*4)+((COUNTIF('Elève (5ème4)'!HP19:HR19,"B"))*3)+((COUNTIF('Elève (5ème4)'!HP19:HR19,"C"))*2)+((COUNTIF('Elève (5ème4)'!HP19:HR19,"D"))*1))/(COUNTA(HP19:HR19)),"")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(5ème4)'!HU19:HW19,"A"))*4)+((COUNTIF('Elève (5ème4)'!HU19:HW19,"B"))*3)+((COUNTIF('Elève (5ème4)'!HU19:HW19,"C"))*2)+((COUNTIF('Elève (5ème4)'!HU19:HW19,"D"))*1))/(COUNTA(HU19:HW19)),"")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(5ème4)'!HZ19:IB19,"A"))*4)+((COUNTIF('Elève (5ème4)'!HZ19:IB19,"B"))*3)+((COUNTIF('Elève (5ème4)'!HZ19:IB19,"C"))*2)+((COUNTIF('Elève (5ème4)'!HZ19:IB19,"D"))*1))/(COUNTA(HZ19:IB19)),"")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(5ème4)'!IG19:II19,"A"))*4)+((COUNTIF('Elève (5ème4)'!IG19:II19,"B"))*3)+((COUNTIF('Elève (5ème4)'!IG19:II19,"C"))*2)+((COUNTIF('Elève (5ème4)'!IG19:II19,"D"))*1))/(COUNTA(IG19:II19)),"")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(5ème4)'!IL19:IN19,"A"))*4)+((COUNTIF('Elève (5ème4)'!IL19:IN19,"B"))*3)+((COUNTIF('Elève (5ème4)'!IL19:IN19,"C"))*2)+((COUNTIF('Elève (5ème4)'!IL19:IN19,"D"))*1))/(COUNTA(IL19:IN19)),"")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(5ème4)'!IQ19:IS19,"A"))*4)+((COUNTIF('Elève (5ème4)'!IQ19:IS19,"B"))*3)+((COUNTIF('Elève (5ème4)'!IQ19:IS19,"C"))*2)+((COUNTIF('Elève (5ème4)'!IQ19:IS19,"D"))*1))/(COUNTA(IQ19:IS19)),"")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(5ème4)'!IX19:IZ19,"A"))*4)+((COUNTIF('Elève (5ème4)'!IX19:IZ19,"B"))*3)+((COUNTIF('Elève (5ème4)'!IX19:IZ19,"C"))*2)+((COUNTIF('Elève (5ème4)'!IX19:IZ19,"D"))*1))/(COUNTA(IX19:IZ19)),"")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(5ème4)'!JC19:JE19,"A"))*4)+((COUNTIF('Elève (5ème4)'!JC19:JE19,"B"))*3)+((COUNTIF('Elève (5ème4)'!JC19:JE19,"C"))*2)+((COUNTIF('Elève (5ème4)'!JC19:JE19,"D"))*1))/(COUNTA(JC19:JE19)),"")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(5ème4)'!JH19:JJ19,"A"))*4)+((COUNTIF('Elève (5ème4)'!JH19:JJ19,"B"))*3)+((COUNTIF('Elève (5ème4)'!JH19:JJ19,"C"))*2)+((COUNTIF('Elève (5ème4)'!JH19:JJ19,"D"))*1))/(COUNTA(JH19:JJ19)),"")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(5ème4)'!JO19:JQ19,"A"))*4)+((COUNTIF('Elève (5ème4)'!JO19:JQ19,"B"))*3)+((COUNTIF('Elève (5ème4)'!JO19:JQ19,"C"))*2)+((COUNTIF('Elève (5ème4)'!JO19:JQ19,"D"))*1))/(COUNTA(JO19:JQ19)),"")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(5ème4)'!JT19:JV19,"A"))*4)+((COUNTIF('Elève (5ème4)'!JT19:JV19,"B"))*3)+((COUNTIF('Elève (5ème4)'!JT19:JV19,"C"))*2)+((COUNTIF('Elève (5ème4)'!JT19:JV19,"D"))*1))/(COUNTA(JT19:JV19)),"")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(5ème4)'!JY19:KA19,"A"))*4)+((COUNTIF('Elève (5ème4)'!JY19:KA19,"B"))*3)+((COUNTIF('Elève (5ème4)'!JY19:KA19,"C"))*2)+((COUNTIF('Elève (5ème4)'!JY19:KA19,"D"))*1))/(COUNTA(JY19:KA19)),"")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(5ème4)'!KF19:KH19,"A"))*4)+((COUNTIF('Elève (5ème4)'!KF19:KH19,"B"))*3)+((COUNTIF('Elève (5ème4)'!KF19:KH19,"C"))*2)+((COUNTIF('Elève (5ème4)'!KF19:KH19,"D"))*1))/(COUNTA(KF19:KH19)),"")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(5ème4)'!KK19:KM19,"A"))*4)+((COUNTIF('Elève (5ème4)'!KK19:KM19,"B"))*3)+((COUNTIF('Elève (5ème4)'!KK19:KM19,"C"))*2)+((COUNTIF('Elève (5ème4)'!KK19:KM19,"D"))*1))/(COUNTA(KK19:KM19)),"")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(5ème4)'!KP19:KR19,"A"))*4)+((COUNTIF('Elève (5ème4)'!KP19:KR19,"B"))*3)+((COUNTIF('Elève (5ème4)'!KP19:KR19,"C"))*2)+((COUNTIF('Elève (5ème4)'!KP19:KR19,"D"))*1))/(COUNTA(KP19:KR19)),"")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(5ème4)'!KW19:KY19,"A"))*4)+((COUNTIF('Elève (5ème4)'!KW19:KY19,"B"))*3)+((COUNTIF('Elève (5ème4)'!KW19:KY19,"C"))*2)+((COUNTIF('Elève (5ème4)'!KW19:KY19,"D"))*1))/(COUNTA(KW19:KY19)),"")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(5ème4)'!LB19:LD19,"A"))*4)+((COUNTIF('Elève (5ème4)'!LB19:LD19,"B"))*3)+((COUNTIF('Elève (5ème4)'!LB19:LD19,"C"))*2)+((COUNTIF('Elève (5ème4)'!LB19:LD19,"D"))*1))/(COUNTA(LB19:LD19)),"")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(5ème4)'!LG19:LI19,"A"))*4)+((COUNTIF('Elève (5ème4)'!LG19:LI19,"B"))*3)+((COUNTIF('Elève (5ème4)'!LG19:LI19,"C"))*2)+((COUNTIF('Elève (5ème4)'!LG19:LI19,"D"))*1))/(COUNTA(LG19:LI19)),"")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(5ème4)'!LN19:LP19,"A"))*4)+((COUNTIF('Elève (5ème4)'!LN19:LP19,"B"))*3)+((COUNTIF('Elève (5ème4)'!LN19:LP19,"C"))*2)+((COUNTIF('Elève (5ème4)'!LN19:LP19,"D"))*1))/(COUNTA(LN19:LP19)),"")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(5ème4)'!LS19:LU19,"A"))*4)+((COUNTIF('Elève (5ème4)'!LS19:LU19,"B"))*3)+((COUNTIF('Elève (5ème4)'!LS19:LU19,"C"))*2)+((COUNTIF('Elève (5ème4)'!LS19:LU19,"D"))*1))/(COUNTA(LS19:LU19)),"")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(5ème4)'!LX19:LZ19,"A"))*4)+((COUNTIF('Elève (5ème4)'!LX19:LZ19,"B"))*3)+((COUNTIF('Elève (5ème4)'!LX19:LZ19,"C"))*2)+((COUNTIF('Elève (5ème4)'!LX19:LZ19,"D"))*1))/(COUNTA(LX19:LZ19)),"")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(5ème4)'!ME19:MG19,"A"))*4)+((COUNTIF('Elève (5ème4)'!ME19:MG19,"B"))*3)+((COUNTIF('Elève (5ème4)'!ME19:MG19,"C"))*2)+((COUNTIF('Elève (5ème4)'!ME19:MG19,"D"))*1))/(COUNTA(ME19:MG19)),"")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(5ème4)'!MJ19:ML19,"A"))*4)+((COUNTIF('Elève (5ème4)'!MJ19:ML19,"B"))*3)+((COUNTIF('Elève (5ème4)'!MJ19:ML19,"C"))*2)+((COUNTIF('Elève (5ème4)'!MJ19:ML19,"D"))*1))/(COUNTA(MJ19:ML19)),"")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(5ème4)'!MO19:MQ19,"A"))*4)+((COUNTIF('Elève (5ème4)'!MO19:MQ19,"B"))*3)+((COUNTIF('Elève (5ème4)'!MO19:MQ19,"C"))*2)+((COUNTIF('Elève (5ème4)'!MO19:MQ19,"D"))*1))/(COUNTA(MO19:MQ19)),"")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(5ème4)'!MV19:MX19,"A"))*4)+((COUNTIF('Elève (5ème4)'!MV19:MX19,"B"))*3)+((COUNTIF('Elève (5ème4)'!MV19:MX19,"C"))*2)+((COUNTIF('Elève (5ème4)'!MV19:MX19,"D"))*1))/(COUNTA(MV19:MX19)),"")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(5ème4)'!NA19:NC19,"A"))*4)+((COUNTIF('Elève (5ème4)'!NA19:NC19,"B"))*3)+((COUNTIF('Elève (5ème4)'!NA19:NC19,"C"))*2)+((COUNTIF('Elève (5ème4)'!NA19:NC19,"D"))*1))/(COUNTA(NA19:NC19)),"")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(5ème4)'!NF19:NH19,"A"))*4)+((COUNTIF('Elève (5ème4)'!NF19:NH19,"B"))*3)+((COUNTIF('Elève (5ème4)'!NF19:NH19,"C"))*2)+((COUNTIF('Elève (5ème4)'!NF19:NH19,"D"))*1))/(COUNTA(NF19:NH19)),"")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(5ème4)'!NM19:NO19,"A"))*4)+((COUNTIF('Elève (5ème4)'!NM19:NO19,"B"))*3)+((COUNTIF('Elève (5ème4)'!NM19:NO19,"C"))*2)+((COUNTIF('Elève (5ème4)'!NM19:NO19,"D"))*1))/(COUNTA(NM19:NO19)),"")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(5ème4)'!NR19:NT19,"A"))*4)+((COUNTIF('Elève (5ème4)'!NR19:NT19,"B"))*3)+((COUNTIF('Elève (5ème4)'!NR19:NT19,"C"))*2)+((COUNTIF('Elève (5ème4)'!NR19:NT19,"D"))*1))/(COUNTA(NR19:NT19)),"")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(5ème4)'!NW19:NY19,"A"))*4)+((COUNTIF('Elève (5ème4)'!NW19:NY19,"B"))*3)+((COUNTIF('Elève (5ème4)'!NW19:NY19,"C"))*2)+((COUNTIF('Elève (5ème4)'!NW19:NY19,"D"))*1))/(COUNTA(NW19:NY19)),"")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(5ème4)'!OD19:OF19,"A"))*4)+((COUNTIF('Elève (5ème4)'!OD19:OF19,"B"))*3)+((COUNTIF('Elève (5ème4)'!OD19:OF19,"C"))*2)+((COUNTIF('Elève (5ème4)'!OD19:OF19,"D"))*1))/(COUNTA(OD19:OF19)),"")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(5ème4)'!OI19:OK19,"A"))*4)+((COUNTIF('Elève (5ème4)'!OI19:OK19,"B"))*3)+((COUNTIF('Elève (5ème4)'!OI19:OK19,"C"))*2)+((COUNTIF('Elève (5ème4)'!OI19:OK19,"D"))*1))/(COUNTA(OI19:OK19)),"")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(5ème4)'!ON19:OP19,"A"))*4)+((COUNTIF('Elève (5ème4)'!ON19:OP19,"B"))*3)+((COUNTIF('Elève (5ème4)'!ON19:OP19,"C"))*2)+((COUNTIF('Elève (5ème4)'!ON19:OP19,"D"))*1))/(COUNTA(ON19:OP19)),"")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(5ème4)'!OU19:OW19,"A"))*4)+((COUNTIF('Elève (5ème4)'!OU19:OW19,"B"))*3)+((COUNTIF('Elève (5ème4)'!OU19:OW19,"C"))*2)+((COUNTIF('Elève (5ème4)'!OU19:OW19,"D"))*1))/(COUNTA(OU19:OW19)),"")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(5ème4)'!OZ19:PB19,"A"))*4)+((COUNTIF('Elève (5ème4)'!OZ19:PB19,"B"))*3)+((COUNTIF('Elève (5ème4)'!OZ19:PB19,"C"))*2)+((COUNTIF('Elève (5ème4)'!OZ19:PB19,"D"))*1))/(COUNTA(OZ19:PB19)),"")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(5ème4)'!PE19:PG19,"A"))*4)+((COUNTIF('Elève (5ème4)'!PE19:PG19,"B"))*3)+((COUNTIF('Elève (5ème4)'!PE19:PG19,"C"))*2)+((COUNTIF('Elève (5ème4)'!PE19:PG19,"D"))*1))/(COUNTA(PE19:PG19)),"")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(5ème4)'!PL19:PN19,"A"))*4)+((COUNTIF('Elève (5ème4)'!PL19:PN19,"B"))*3)+((COUNTIF('Elève (5ème4)'!PL19:PN19,"C"))*2)+((COUNTIF('Elève (5ème4)'!PL19:PN19,"D"))*1))/(COUNTA(PL19:PN19)),"")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(5ème4)'!PQ19:PS19,"A"))*4)+((COUNTIF('Elève (5ème4)'!PQ19:PS19,"B"))*3)+((COUNTIF('Elève (5ème4)'!PQ19:PS19,"C"))*2)+((COUNTIF('Elève (5ème4)'!PQ19:PS19,"D"))*1))/(COUNTA(PQ19:PS19)),"")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(5ème4)'!PV19:PX19,"A"))*4)+((COUNTIF('Elève (5ème4)'!PV19:PX19,"B"))*3)+((COUNTIF('Elève (5ème4)'!PV19:PX19,"C"))*2)+((COUNTIF('Elève (5ème4)'!PV19:PX19,"D"))*1))/(COUNTA(PV19:PX19)),"")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(5ème4)'!QC19:QE19,"A"))*4)+((COUNTIF('Elève (5ème4)'!QC19:QE19,"B"))*3)+((COUNTIF('Elève (5ème4)'!QC19:QE19,"C"))*2)+((COUNTIF('Elève (5ème4)'!QC19:QE19,"D"))*1))/(COUNTA(QC19:QE19)),"")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(5ème4)'!QH19:QJ19,"A"))*4)+((COUNTIF('Elève (5ème4)'!QH19:QJ19,"B"))*3)+((COUNTIF('Elève (5ème4)'!QH19:QJ19,"C"))*2)+((COUNTIF('Elève (5ème4)'!QH19:QJ19,"D"))*1))/(COUNTA(QH19:QJ19)),"")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(5ème4)'!QM19:QO19,"A"))*4)+((COUNTIF('Elève (5ème4)'!QM19:QO19,"B"))*3)+((COUNTIF('Elève (5ème4)'!QM19:QO19,"C"))*2)+((COUNTIF('Elève (5ème4)'!QM19:QO19,"D"))*1))/(COUNTA(QM19:QO19)),"")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(5ème4)'!QT19:QV19,"A"))*4)+((COUNTIF('Elève (5ème4)'!QT19:QV19,"B"))*3)+((COUNTIF('Elève (5ème4)'!QT19:QV19,"C"))*2)+((COUNTIF('Elève (5ème4)'!QT19:QV19,"D"))*1))/(COUNTA(QT19:QV19)),"")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(5ème4)'!QY19:RA19,"A"))*4)+((COUNTIF('Elève (5ème4)'!QY19:RA19,"B"))*3)+((COUNTIF('Elève (5ème4)'!QY19:RA19,"C"))*2)+((COUNTIF('Elève (5ème4)'!QY19:RA19,"D"))*1))/(COUNTA(QY19:RA19)),"")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(5ème4)'!RD19:RF19,"A"))*4)+((COUNTIF('Elève (5ème4)'!RD19:RF19,"B"))*3)+((COUNTIF('Elève (5ème4)'!RD19:RF19,"C"))*2)+((COUNTIF('Elève (5ème4)'!RD19:RF19,"D"))*1))/(COUNTA(RD19:RF19)),"")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(5ème4)'!RK19:RM19,"A"))*4)+((COUNTIF('Elève (5ème4)'!RK19:RM19,"B"))*3)+((COUNTIF('Elève (5ème4)'!RK19:RM19,"C"))*2)+((COUNTIF('Elève (5ème4)'!RK19:RM19,"D"))*1))/(COUNTA(RK19:RM19)),"")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(5ème4)'!RP19:RR19,"A"))*4)+((COUNTIF('Elève (5ème4)'!RP19:RR19,"B"))*3)+((COUNTIF('Elève (5ème4)'!RP19:RR19,"C"))*2)+((COUNTIF('Elève (5ème4)'!RP19:RR19,"D"))*1))/(COUNTA(RP19:RR19)),"")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(5ème4)'!RU19:RW19,"A"))*4)+((COUNTIF('Elève (5ème4)'!RU19:RW19,"B"))*3)+((COUNTIF('Elève (5ème4)'!RU19:RW19,"C"))*2)+((COUNTIF('Elève (5ème4)'!RU19:RW19,"D"))*1))/(COUNTA(RU19:RW19)),"")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(5ème4)'!SB19:SD19,"A"))*4)+((COUNTIF('Elève (5ème4)'!SB19:SD19,"B"))*3)+((COUNTIF('Elève (5ème4)'!SB19:SD19,"C"))*2)+((COUNTIF('Elève (5ème4)'!SB19:SD19,"D"))*1))/(COUNTA(SB19:SD19)),"")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(5ème4)'!SG19:SI19,"A"))*4)+((COUNTIF('Elève (5ème4)'!SG19:SI19,"B"))*3)+((COUNTIF('Elève (5ème4)'!SG19:SI19,"C"))*2)+((COUNTIF('Elève (5ème4)'!SG19:SI19,"D"))*1))/(COUNTA(SG19:SI19)),"")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(5ème4)'!SL19:SN19,"A"))*4)+((COUNTIF('Elève (5ème4)'!SL19:SN19,"B"))*3)+((COUNTIF('Elève (5ème4)'!SL19:SN19,"C"))*2)+((COUNTIF('Elève (5ème4)'!SL19:SN19,"D"))*1))/(COUNTA(SL19:SN19)),"")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(5ème4)'!C21:E21,"A"))*4)+((COUNTIF('Elève (5ème4)'!C21:E21,"B"))*3)+((COUNTIF('Elève (5ème4)'!C21:E21,"C"))*2)+((COUNTIF('Elève (5ème4)'!C21:E21,"D"))*1))/(COUNTA(C21:E21)),"")</f>
        <v/>
      </c>
      <c r="G20" s="107" t="str">
        <f t="shared" si="0"/>
        <v/>
      </c>
      <c r="H20" s="204"/>
      <c r="I20" s="186"/>
      <c r="J20" s="205"/>
      <c r="K20" s="129" t="str">
        <f>IFERROR((((COUNTIF('Elève (5ème4)'!H21:J21,"A"))*4)+((COUNTIF('Elève (5ème4)'!H21:J21,"B"))*3)+((COUNTIF('Elève (5ème4)'!H21:J21,"C"))*2)+((COUNTIF('Elève (5ème4)'!H21:J21,"D"))*1))/(COUNTA(H21:J21)),"")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(5ème4)'!M21:O21,"A"))*4)+((COUNTIF('Elève (5ème4)'!M21:O21,"B"))*3)+((COUNTIF('Elève (5ème4)'!M21:O21,"C"))*2)+((COUNTIF('Elève (5ème4)'!M21:O21,"D"))*1))/(COUNTA(M21:O21)),"")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(5ème4)'!T21:V21,"A"))*4)+((COUNTIF('Elève (5ème4)'!T21:V21,"B"))*3)+((COUNTIF('Elève (5ème4)'!T21:V21,"C"))*2)+((COUNTIF('Elève (5ème4)'!T21:V21,"D"))*1))/(COUNTA(T21:V21)),"")</f>
        <v/>
      </c>
      <c r="X20" s="107" t="str">
        <f t="shared" si="4"/>
        <v/>
      </c>
      <c r="Y20" s="204"/>
      <c r="Z20" s="186"/>
      <c r="AA20" s="205"/>
      <c r="AB20" s="129" t="str">
        <f>IFERROR((((COUNTIF('Elève (5ème4)'!Y21:AA21,"A"))*4)+((COUNTIF('Elève (5ème4)'!Y21:AA21,"B"))*3)+((COUNTIF('Elève (5ème4)'!Y21:AA21,"C"))*2)+((COUNTIF('Elève (5ème4)'!Y21:AA21,"D"))*1))/(COUNTA(Y21:AA21)),"")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(5ème4)'!AD21:AF21,"A"))*4)+((COUNTIF('Elève (5ème4)'!AD21:AF21,"B"))*3)+((COUNTIF('Elève (5ème4)'!AD21:AF21,"C"))*2)+((COUNTIF('Elève (5ème4)'!AD21:AF21,"D"))*1))/(COUNTA(AD21:AF21)),"")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(5ème4)'!AK21:AM21,"A"))*4)+((COUNTIF('Elève (5ème4)'!AK21:AM21,"B"))*3)+((COUNTIF('Elève (5ème4)'!AK21:AM21,"C"))*2)+((COUNTIF('Elève (5ème4)'!AK21:AM21,"D"))*1))/(COUNTA(AK21:AM21)),"")</f>
        <v/>
      </c>
      <c r="AO20" s="107" t="str">
        <f t="shared" si="8"/>
        <v/>
      </c>
      <c r="AP20" s="204"/>
      <c r="AQ20" s="186"/>
      <c r="AR20" s="205"/>
      <c r="AS20" s="129" t="str">
        <f>IFERROR((((COUNTIF('Elève (5ème4)'!AP21:AR21,"A"))*4)+((COUNTIF('Elève (5ème4)'!AP21:AR21,"B"))*3)+((COUNTIF('Elève (5ème4)'!AP21:AR21,"C"))*2)+((COUNTIF('Elève (5ème4)'!AP21:AR21,"D"))*1))/(COUNTA(AP21:AR21)),"")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(5ème4)'!AU21:AW21,"A"))*4)+((COUNTIF('Elève (5ème4)'!AU21:AW21,"B"))*3)+((COUNTIF('Elève (5ème4)'!AU21:AW21,"C"))*2)+((COUNTIF('Elève (5ème4)'!AU21:AW21,"D"))*1))/(COUNTA(AU21:AW21)),"")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(5ème4)'!BB21:BD21,"A"))*4)+((COUNTIF('Elève (5ème4)'!BB21:BD21,"B"))*3)+((COUNTIF('Elève (5ème4)'!BB21:BD21,"C"))*2)+((COUNTIF('Elève (5ème4)'!BB21:BD21,"D"))*1))/(COUNTA(BB21:BD21)),"")</f>
        <v/>
      </c>
      <c r="BF20" s="107" t="str">
        <f t="shared" si="12"/>
        <v/>
      </c>
      <c r="BG20" s="204"/>
      <c r="BH20" s="186"/>
      <c r="BI20" s="205"/>
      <c r="BJ20" s="129" t="str">
        <f>IFERROR((((COUNTIF('Elève (5ème4)'!BG21:BI21,"A"))*4)+((COUNTIF('Elève (5ème4)'!BG21:BI21,"B"))*3)+((COUNTIF('Elève (5ème4)'!BG21:BI21,"C"))*2)+((COUNTIF('Elève (5ème4)'!BG21:BI21,"D"))*1))/(COUNTA(BG21:BI21)),"")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(5ème4)'!BL21:BN21,"A"))*4)+((COUNTIF('Elève (5ème4)'!BL21:BN21,"B"))*3)+((COUNTIF('Elève (5ème4)'!BL21:BN21,"C"))*2)+((COUNTIF('Elève (5ème4)'!BL21:BN21,"D"))*1))/(COUNTA(BL21:BN21)),"")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(5ème4)'!BS21:BU21,"A"))*4)+((COUNTIF('Elève (5ème4)'!BS21:BU21,"B"))*3)+((COUNTIF('Elève (5ème4)'!BS21:BU21,"C"))*2)+((COUNTIF('Elève (5ème4)'!BS21:BU21,"D"))*1))/(COUNTA(BS21:BU21)),"")</f>
        <v/>
      </c>
      <c r="BW20" s="107" t="str">
        <f t="shared" si="16"/>
        <v/>
      </c>
      <c r="BX20" s="204"/>
      <c r="BY20" s="186"/>
      <c r="BZ20" s="205"/>
      <c r="CA20" s="129" t="str">
        <f>IFERROR((((COUNTIF('Elève (5ème4)'!BX21:BZ21,"A"))*4)+((COUNTIF('Elève (5ème4)'!BX21:BZ21,"B"))*3)+((COUNTIF('Elève (5ème4)'!BX21:BZ21,"C"))*2)+((COUNTIF('Elève (5ème4)'!BX21:BZ21,"D"))*1))/(COUNTA(BX21:BZ21)),"")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(5ème4)'!CC21:CE21,"A"))*4)+((COUNTIF('Elève (5ème4)'!CC21:CE21,"B"))*3)+((COUNTIF('Elève (5ème4)'!CC21:CE21,"C"))*2)+((COUNTIF('Elève (5ème4)'!CC21:CE21,"D"))*1))/(COUNTA(CC21:CE21)),"")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(5ème4)'!CJ21:CL21,"A"))*4)+((COUNTIF('Elève (5ème4)'!CJ21:CL21,"B"))*3)+((COUNTIF('Elève (5ème4)'!CJ21:CL21,"C"))*2)+((COUNTIF('Elève (5ème4)'!CJ21:CL21,"D"))*1))/(COUNTA(CJ21:CL21)),"")</f>
        <v/>
      </c>
      <c r="CN20" s="107" t="str">
        <f t="shared" si="20"/>
        <v/>
      </c>
      <c r="CO20" s="204"/>
      <c r="CP20" s="186"/>
      <c r="CQ20" s="205"/>
      <c r="CR20" s="129" t="str">
        <f>IFERROR((((COUNTIF('Elève (5ème4)'!CO21:CQ21,"A"))*4)+((COUNTIF('Elève (5ème4)'!CO21:CQ21,"B"))*3)+((COUNTIF('Elève (5ème4)'!CO21:CQ21,"C"))*2)+((COUNTIF('Elève (5ème4)'!CO21:CQ21,"D"))*1))/(COUNTA(CO21:CQ21)),"")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(5ème4)'!CT21:CV21,"A"))*4)+((COUNTIF('Elève (5ème4)'!CT21:CV21,"B"))*3)+((COUNTIF('Elève (5ème4)'!CT21:CV21,"C"))*2)+((COUNTIF('Elève (5ème4)'!CT21:CV21,"D"))*1))/(COUNTA(CT21:CV21)),"")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(5ème4)'!DA21:DC21,"A"))*4)+((COUNTIF('Elève (5ème4)'!DA21:DC21,"B"))*3)+((COUNTIF('Elève (5ème4)'!DA21:DC21,"C"))*2)+((COUNTIF('Elève (5ème4)'!DA21:DC21,"D"))*1))/(COUNTA(DA21:DC21)),"")</f>
        <v/>
      </c>
      <c r="DE20" s="107" t="str">
        <f t="shared" si="24"/>
        <v/>
      </c>
      <c r="DF20" s="204"/>
      <c r="DG20" s="186"/>
      <c r="DH20" s="205"/>
      <c r="DI20" s="129" t="str">
        <f>IFERROR((((COUNTIF('Elève (5ème4)'!DF21:DH21,"A"))*4)+((COUNTIF('Elève (5ème4)'!DF21:DH21,"B"))*3)+((COUNTIF('Elève (5ème4)'!DF21:DH21,"C"))*2)+((COUNTIF('Elève (5ème4)'!DF21:DH21,"D"))*1))/(COUNTA(DF21:DH21)),"")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(5ème4)'!DK21:DM21,"A"))*4)+((COUNTIF('Elève (5ème4)'!DK21:DM21,"B"))*3)+((COUNTIF('Elève (5ème4)'!DK21:DM21,"C"))*2)+((COUNTIF('Elève (5ème4)'!DK21:DM21,"D"))*1))/(COUNTA(DK21:DM21)),"")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(5ème4)'!DR21:DT21,"A"))*4)+((COUNTIF('Elève (5ème4)'!DR21:DT21,"B"))*3)+((COUNTIF('Elève (5ème4)'!DR21:DT21,"C"))*2)+((COUNTIF('Elève (5ème4)'!DR21:DT21,"D"))*1))/(COUNTA(DR21:DT21)),"")</f>
        <v/>
      </c>
      <c r="DV20" s="107" t="str">
        <f t="shared" si="28"/>
        <v/>
      </c>
      <c r="DW20" s="204"/>
      <c r="DX20" s="186"/>
      <c r="DY20" s="205"/>
      <c r="DZ20" s="129" t="str">
        <f>IFERROR((((COUNTIF('Elève (5ème4)'!DW21:DY21,"A"))*4)+((COUNTIF('Elève (5ème4)'!DW21:DY21,"B"))*3)+((COUNTIF('Elève (5ème4)'!DW21:DY21,"C"))*2)+((COUNTIF('Elève (5ème4)'!DW21:DY21,"D"))*1))/(COUNTA(DW21:DY21)),"")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(5ème4)'!EB21:ED21,"A"))*4)+((COUNTIF('Elève (5ème4)'!EB21:ED21,"B"))*3)+((COUNTIF('Elève (5ème4)'!EB21:ED21,"C"))*2)+((COUNTIF('Elève (5ème4)'!EB21:ED21,"D"))*1))/(COUNTA(EB21:ED21)),"")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(5ème4)'!EI21:EK21,"A"))*4)+((COUNTIF('Elève (5ème4)'!EI21:EK21,"B"))*3)+((COUNTIF('Elève (5ème4)'!EI21:EK21,"C"))*2)+((COUNTIF('Elève (5ème4)'!EI21:EK21,"D"))*1))/(COUNTA(EI21:EK21)),"")</f>
        <v/>
      </c>
      <c r="EM20" s="107" t="str">
        <f t="shared" si="32"/>
        <v/>
      </c>
      <c r="EN20" s="204"/>
      <c r="EO20" s="186"/>
      <c r="EP20" s="205"/>
      <c r="EQ20" s="129" t="str">
        <f>IFERROR((((COUNTIF('Elève (5ème4)'!EN21:EP21,"A"))*4)+((COUNTIF('Elève (5ème4)'!EN21:EP21,"B"))*3)+((COUNTIF('Elève (5ème4)'!EN21:EP21,"C"))*2)+((COUNTIF('Elève (5ème4)'!EN21:EP21,"D"))*1))/(COUNTA(EN21:EP21)),"")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(5ème4)'!ES21:EU21,"A"))*4)+((COUNTIF('Elève (5ème4)'!ES21:EU21,"B"))*3)+((COUNTIF('Elève (5ème4)'!ES21:EU21,"C"))*2)+((COUNTIF('Elève (5ème4)'!ES21:EU21,"D"))*1))/(COUNTA(ES21:EU21)),"")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(5ème4)'!EZ21:FB21,"A"))*4)+((COUNTIF('Elève (5ème4)'!EZ21:FB21,"B"))*3)+((COUNTIF('Elève (5ème4)'!EZ21:FB21,"C"))*2)+((COUNTIF('Elève (5ème4)'!EZ21:FB21,"D"))*1))/(COUNTA(EZ21:FB21)),"")</f>
        <v/>
      </c>
      <c r="FD20" s="107" t="str">
        <f t="shared" si="36"/>
        <v/>
      </c>
      <c r="FE20" s="204"/>
      <c r="FF20" s="186"/>
      <c r="FG20" s="205"/>
      <c r="FH20" s="129" t="str">
        <f>IFERROR((((COUNTIF('Elève (5ème4)'!FE21:FG21,"A"))*4)+((COUNTIF('Elève (5ème4)'!FE21:FG21,"B"))*3)+((COUNTIF('Elève (5ème4)'!FE21:FG21,"C"))*2)+((COUNTIF('Elève (5ème4)'!FE21:FG21,"D"))*1))/(COUNTA(FE21:FG21)),"")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(5ème4)'!FJ21:FL21,"A"))*4)+((COUNTIF('Elève (5ème4)'!FJ21:FL21,"B"))*3)+((COUNTIF('Elève (5ème4)'!FJ21:FL21,"C"))*2)+((COUNTIF('Elève (5ème4)'!FJ21:FL21,"D"))*1))/(COUNTA(FJ21:FL21)),"")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(5ème4)'!FQ21:FS21,"A"))*4)+((COUNTIF('Elève (5ème4)'!FQ21:FS21,"B"))*3)+((COUNTIF('Elève (5ème4)'!FQ21:FS21,"C"))*2)+((COUNTIF('Elève (5ème4)'!FQ21:FS21,"D"))*1))/(COUNTA(FQ21:FS21)),"")</f>
        <v/>
      </c>
      <c r="FU20" s="107" t="str">
        <f t="shared" si="40"/>
        <v/>
      </c>
      <c r="FV20" s="204"/>
      <c r="FW20" s="186"/>
      <c r="FX20" s="205"/>
      <c r="FY20" s="129" t="str">
        <f>IFERROR((((COUNTIF('Elève (5ème4)'!FV21:FX21,"A"))*4)+((COUNTIF('Elève (5ème4)'!FV21:FX21,"B"))*3)+((COUNTIF('Elève (5ème4)'!FV21:FX21,"C"))*2)+((COUNTIF('Elève (5ème4)'!FV21:FX21,"D"))*1))/(COUNTA(FV21:FX21)),"")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(5ème4)'!GA21:GC21,"A"))*4)+((COUNTIF('Elève (5ème4)'!GA21:GC21,"B"))*3)+((COUNTIF('Elève (5ème4)'!GA21:GC21,"C"))*2)+((COUNTIF('Elève (5ème4)'!GA21:GC21,"D"))*1))/(COUNTA(GA21:GC21)),"")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(5ème4)'!GH21:GJ21,"A"))*4)+((COUNTIF('Elève (5ème4)'!GH21:GJ21,"B"))*3)+((COUNTIF('Elève (5ème4)'!GH21:GJ21,"C"))*2)+((COUNTIF('Elève (5ème4)'!GH21:GJ21,"D"))*1))/(COUNTA(GH21:GJ21)),"")</f>
        <v/>
      </c>
      <c r="GL20" s="107" t="str">
        <f t="shared" si="44"/>
        <v/>
      </c>
      <c r="GM20" s="204"/>
      <c r="GN20" s="186"/>
      <c r="GO20" s="205"/>
      <c r="GP20" s="129" t="str">
        <f>IFERROR((((COUNTIF('Elève (5ème4)'!GM21:GO21,"A"))*4)+((COUNTIF('Elève (5ème4)'!GM21:GO21,"B"))*3)+((COUNTIF('Elève (5ème4)'!GM21:GO21,"C"))*2)+((COUNTIF('Elève (5ème4)'!GM21:GO21,"D"))*1))/(COUNTA(GM21:GO21)),"")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(5ème4)'!GR21:GT21,"A"))*4)+((COUNTIF('Elève (5ème4)'!GR21:GT21,"B"))*3)+((COUNTIF('Elève (5ème4)'!GR21:GT21,"C"))*2)+((COUNTIF('Elève (5ème4)'!GR21:GT21,"D"))*1))/(COUNTA(GR21:GT21)),"")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(5ème4)'!GY21:HA21,"A"))*4)+((COUNTIF('Elève (5ème4)'!GY21:HA21,"B"))*3)+((COUNTIF('Elève (5ème4)'!GY21:HA21,"C"))*2)+((COUNTIF('Elève (5ème4)'!GY21:HA21,"D"))*1))/(COUNTA(GY21:HA21)),"")</f>
        <v/>
      </c>
      <c r="HC20" s="107" t="str">
        <f t="shared" si="48"/>
        <v/>
      </c>
      <c r="HD20" s="204"/>
      <c r="HE20" s="186"/>
      <c r="HF20" s="205"/>
      <c r="HG20" s="129" t="str">
        <f>IFERROR((((COUNTIF('Elève (5ème4)'!HD21:HF21,"A"))*4)+((COUNTIF('Elève (5ème4)'!HD21:HF21,"B"))*3)+((COUNTIF('Elève (5ème4)'!HD21:HF21,"C"))*2)+((COUNTIF('Elève (5ème4)'!HD21:HF21,"D"))*1))/(COUNTA(HD21:HF21)),"")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(5ème4)'!HI21:HK21,"A"))*4)+((COUNTIF('Elève (5ème4)'!HI21:HK21,"B"))*3)+((COUNTIF('Elève (5ème4)'!HI21:HK21,"C"))*2)+((COUNTIF('Elève (5ème4)'!HI21:HK21,"D"))*1))/(COUNTA(HI21:HK21)),"")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(5ème4)'!HP21:HR21,"A"))*4)+((COUNTIF('Elève (5ème4)'!HP21:HR21,"B"))*3)+((COUNTIF('Elève (5ème4)'!HP21:HR21,"C"))*2)+((COUNTIF('Elève (5ème4)'!HP21:HR21,"D"))*1))/(COUNTA(HP21:HR21)),"")</f>
        <v/>
      </c>
      <c r="HT20" s="107" t="str">
        <f t="shared" si="52"/>
        <v/>
      </c>
      <c r="HU20" s="204"/>
      <c r="HV20" s="186"/>
      <c r="HW20" s="205"/>
      <c r="HX20" s="129" t="str">
        <f>IFERROR((((COUNTIF('Elève (5ème4)'!HU21:HW21,"A"))*4)+((COUNTIF('Elève (5ème4)'!HU21:HW21,"B"))*3)+((COUNTIF('Elève (5ème4)'!HU21:HW21,"C"))*2)+((COUNTIF('Elève (5ème4)'!HU21:HW21,"D"))*1))/(COUNTA(HU21:HW21)),"")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(5ème4)'!HZ21:IB21,"A"))*4)+((COUNTIF('Elève (5ème4)'!HZ21:IB21,"B"))*3)+((COUNTIF('Elève (5ème4)'!HZ21:IB21,"C"))*2)+((COUNTIF('Elève (5ème4)'!HZ21:IB21,"D"))*1))/(COUNTA(HZ21:IB21)),"")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(5ème4)'!IG21:II21,"A"))*4)+((COUNTIF('Elève (5ème4)'!IG21:II21,"B"))*3)+((COUNTIF('Elève (5ème4)'!IG21:II21,"C"))*2)+((COUNTIF('Elève (5ème4)'!IG21:II21,"D"))*1))/(COUNTA(IG21:II21)),"")</f>
        <v/>
      </c>
      <c r="IK20" s="107" t="str">
        <f t="shared" si="56"/>
        <v/>
      </c>
      <c r="IL20" s="204"/>
      <c r="IM20" s="186"/>
      <c r="IN20" s="205"/>
      <c r="IO20" s="129" t="str">
        <f>IFERROR((((COUNTIF('Elève (5ème4)'!IL21:IN21,"A"))*4)+((COUNTIF('Elève (5ème4)'!IL21:IN21,"B"))*3)+((COUNTIF('Elève (5ème4)'!IL21:IN21,"C"))*2)+((COUNTIF('Elève (5ème4)'!IL21:IN21,"D"))*1))/(COUNTA(IL21:IN21)),"")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(5ème4)'!IQ21:IS21,"A"))*4)+((COUNTIF('Elève (5ème4)'!IQ21:IS21,"B"))*3)+((COUNTIF('Elève (5ème4)'!IQ21:IS21,"C"))*2)+((COUNTIF('Elève (5ème4)'!IQ21:IS21,"D"))*1))/(COUNTA(IQ21:IS21)),"")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(5ème4)'!IX21:IZ21,"A"))*4)+((COUNTIF('Elève (5ème4)'!IX21:IZ21,"B"))*3)+((COUNTIF('Elève (5ème4)'!IX21:IZ21,"C"))*2)+((COUNTIF('Elève (5ème4)'!IX21:IZ21,"D"))*1))/(COUNTA(IX21:IZ21)),"")</f>
        <v/>
      </c>
      <c r="JB20" s="107" t="str">
        <f t="shared" si="60"/>
        <v/>
      </c>
      <c r="JC20" s="204"/>
      <c r="JD20" s="186"/>
      <c r="JE20" s="205"/>
      <c r="JF20" s="129" t="str">
        <f>IFERROR((((COUNTIF('Elève (5ème4)'!JC21:JE21,"A"))*4)+((COUNTIF('Elève (5ème4)'!JC21:JE21,"B"))*3)+((COUNTIF('Elève (5ème4)'!JC21:JE21,"C"))*2)+((COUNTIF('Elève (5ème4)'!JC21:JE21,"D"))*1))/(COUNTA(JC21:JE21)),"")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(5ème4)'!JH21:JJ21,"A"))*4)+((COUNTIF('Elève (5ème4)'!JH21:JJ21,"B"))*3)+((COUNTIF('Elève (5ème4)'!JH21:JJ21,"C"))*2)+((COUNTIF('Elève (5ème4)'!JH21:JJ21,"D"))*1))/(COUNTA(JH21:JJ21)),"")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(5ème4)'!JO21:JQ21,"A"))*4)+((COUNTIF('Elève (5ème4)'!JO21:JQ21,"B"))*3)+((COUNTIF('Elève (5ème4)'!JO21:JQ21,"C"))*2)+((COUNTIF('Elève (5ème4)'!JO21:JQ21,"D"))*1))/(COUNTA(JO21:JQ21)),"")</f>
        <v/>
      </c>
      <c r="JS20" s="107" t="str">
        <f t="shared" si="64"/>
        <v/>
      </c>
      <c r="JT20" s="204"/>
      <c r="JU20" s="186"/>
      <c r="JV20" s="205"/>
      <c r="JW20" s="129" t="str">
        <f>IFERROR((((COUNTIF('Elève (5ème4)'!JT21:JV21,"A"))*4)+((COUNTIF('Elève (5ème4)'!JT21:JV21,"B"))*3)+((COUNTIF('Elève (5ème4)'!JT21:JV21,"C"))*2)+((COUNTIF('Elève (5ème4)'!JT21:JV21,"D"))*1))/(COUNTA(JT21:JV21)),"")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(5ème4)'!JY21:KA21,"A"))*4)+((COUNTIF('Elève (5ème4)'!JY21:KA21,"B"))*3)+((COUNTIF('Elève (5ème4)'!JY21:KA21,"C"))*2)+((COUNTIF('Elève (5ème4)'!JY21:KA21,"D"))*1))/(COUNTA(JY21:KA21)),"")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(5ème4)'!KF21:KH21,"A"))*4)+((COUNTIF('Elève (5ème4)'!KF21:KH21,"B"))*3)+((COUNTIF('Elève (5ème4)'!KF21:KH21,"C"))*2)+((COUNTIF('Elève (5ème4)'!KF21:KH21,"D"))*1))/(COUNTA(KF21:KH21)),"")</f>
        <v/>
      </c>
      <c r="KJ20" s="107" t="str">
        <f t="shared" si="68"/>
        <v/>
      </c>
      <c r="KK20" s="204"/>
      <c r="KL20" s="186"/>
      <c r="KM20" s="205"/>
      <c r="KN20" s="129" t="str">
        <f>IFERROR((((COUNTIF('Elève (5ème4)'!KK21:KM21,"A"))*4)+((COUNTIF('Elève (5ème4)'!KK21:KM21,"B"))*3)+((COUNTIF('Elève (5ème4)'!KK21:KM21,"C"))*2)+((COUNTIF('Elève (5ème4)'!KK21:KM21,"D"))*1))/(COUNTA(KK21:KM21)),"")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(5ème4)'!KP21:KR21,"A"))*4)+((COUNTIF('Elève (5ème4)'!KP21:KR21,"B"))*3)+((COUNTIF('Elève (5ème4)'!KP21:KR21,"C"))*2)+((COUNTIF('Elève (5ème4)'!KP21:KR21,"D"))*1))/(COUNTA(KP21:KR21)),"")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(5ème4)'!KW21:KY21,"A"))*4)+((COUNTIF('Elève (5ème4)'!KW21:KY21,"B"))*3)+((COUNTIF('Elève (5ème4)'!KW21:KY21,"C"))*2)+((COUNTIF('Elève (5ème4)'!KW21:KY21,"D"))*1))/(COUNTA(KW21:KY21)),"")</f>
        <v/>
      </c>
      <c r="LA20" s="107" t="str">
        <f t="shared" si="72"/>
        <v/>
      </c>
      <c r="LB20" s="204"/>
      <c r="LC20" s="186"/>
      <c r="LD20" s="205"/>
      <c r="LE20" s="129" t="str">
        <f>IFERROR((((COUNTIF('Elève (5ème4)'!LB21:LD21,"A"))*4)+((COUNTIF('Elève (5ème4)'!LB21:LD21,"B"))*3)+((COUNTIF('Elève (5ème4)'!LB21:LD21,"C"))*2)+((COUNTIF('Elève (5ème4)'!LB21:LD21,"D"))*1))/(COUNTA(LB21:LD21)),"")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(5ème4)'!LG21:LI21,"A"))*4)+((COUNTIF('Elève (5ème4)'!LG21:LI21,"B"))*3)+((COUNTIF('Elève (5ème4)'!LG21:LI21,"C"))*2)+((COUNTIF('Elève (5ème4)'!LG21:LI21,"D"))*1))/(COUNTA(LG21:LI21)),"")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(5ème4)'!LN21:LP21,"A"))*4)+((COUNTIF('Elève (5ème4)'!LN21:LP21,"B"))*3)+((COUNTIF('Elève (5ème4)'!LN21:LP21,"C"))*2)+((COUNTIF('Elève (5ème4)'!LN21:LP21,"D"))*1))/(COUNTA(LN21:LP21)),"")</f>
        <v/>
      </c>
      <c r="LR20" s="107" t="str">
        <f t="shared" si="76"/>
        <v/>
      </c>
      <c r="LS20" s="204"/>
      <c r="LT20" s="186"/>
      <c r="LU20" s="205"/>
      <c r="LV20" s="129" t="str">
        <f>IFERROR((((COUNTIF('Elève (5ème4)'!LS21:LU21,"A"))*4)+((COUNTIF('Elève (5ème4)'!LS21:LU21,"B"))*3)+((COUNTIF('Elève (5ème4)'!LS21:LU21,"C"))*2)+((COUNTIF('Elève (5ème4)'!LS21:LU21,"D"))*1))/(COUNTA(LS21:LU21)),"")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(5ème4)'!LX21:LZ21,"A"))*4)+((COUNTIF('Elève (5ème4)'!LX21:LZ21,"B"))*3)+((COUNTIF('Elève (5ème4)'!LX21:LZ21,"C"))*2)+((COUNTIF('Elève (5ème4)'!LX21:LZ21,"D"))*1))/(COUNTA(LX21:LZ21)),"")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(5ème4)'!ME21:MG21,"A"))*4)+((COUNTIF('Elève (5ème4)'!ME21:MG21,"B"))*3)+((COUNTIF('Elève (5ème4)'!ME21:MG21,"C"))*2)+((COUNTIF('Elève (5ème4)'!ME21:MG21,"D"))*1))/(COUNTA(ME21:MG21)),"")</f>
        <v/>
      </c>
      <c r="MI20" s="107" t="str">
        <f t="shared" si="80"/>
        <v/>
      </c>
      <c r="MJ20" s="204"/>
      <c r="MK20" s="186"/>
      <c r="ML20" s="205"/>
      <c r="MM20" s="129" t="str">
        <f>IFERROR((((COUNTIF('Elève (5ème4)'!MJ21:ML21,"A"))*4)+((COUNTIF('Elève (5ème4)'!MJ21:ML21,"B"))*3)+((COUNTIF('Elève (5ème4)'!MJ21:ML21,"C"))*2)+((COUNTIF('Elève (5ème4)'!MJ21:ML21,"D"))*1))/(COUNTA(MJ21:ML21)),"")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(5ème4)'!MO21:MQ21,"A"))*4)+((COUNTIF('Elève (5ème4)'!MO21:MQ21,"B"))*3)+((COUNTIF('Elève (5ème4)'!MO21:MQ21,"C"))*2)+((COUNTIF('Elève (5ème4)'!MO21:MQ21,"D"))*1))/(COUNTA(MO21:MQ21)),"")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(5ème4)'!MV21:MX21,"A"))*4)+((COUNTIF('Elève (5ème4)'!MV21:MX21,"B"))*3)+((COUNTIF('Elève (5ème4)'!MV21:MX21,"C"))*2)+((COUNTIF('Elève (5ème4)'!MV21:MX21,"D"))*1))/(COUNTA(MV21:MX21)),"")</f>
        <v/>
      </c>
      <c r="MZ20" s="107" t="str">
        <f t="shared" si="84"/>
        <v/>
      </c>
      <c r="NA20" s="204"/>
      <c r="NB20" s="186"/>
      <c r="NC20" s="205"/>
      <c r="ND20" s="129" t="str">
        <f>IFERROR((((COUNTIF('Elève (5ème4)'!NA21:NC21,"A"))*4)+((COUNTIF('Elève (5ème4)'!NA21:NC21,"B"))*3)+((COUNTIF('Elève (5ème4)'!NA21:NC21,"C"))*2)+((COUNTIF('Elève (5ème4)'!NA21:NC21,"D"))*1))/(COUNTA(NA21:NC21)),"")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(5ème4)'!NF21:NH21,"A"))*4)+((COUNTIF('Elève (5ème4)'!NF21:NH21,"B"))*3)+((COUNTIF('Elève (5ème4)'!NF21:NH21,"C"))*2)+((COUNTIF('Elève (5ème4)'!NF21:NH21,"D"))*1))/(COUNTA(NF21:NH21)),"")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(5ème4)'!NM21:NO21,"A"))*4)+((COUNTIF('Elève (5ème4)'!NM21:NO21,"B"))*3)+((COUNTIF('Elève (5ème4)'!NM21:NO21,"C"))*2)+((COUNTIF('Elève (5ème4)'!NM21:NO21,"D"))*1))/(COUNTA(NM21:NO21)),"")</f>
        <v/>
      </c>
      <c r="NQ20" s="107" t="str">
        <f t="shared" si="88"/>
        <v/>
      </c>
      <c r="NR20" s="204"/>
      <c r="NS20" s="186"/>
      <c r="NT20" s="205"/>
      <c r="NU20" s="129" t="str">
        <f>IFERROR((((COUNTIF('Elève (5ème4)'!NR21:NT21,"A"))*4)+((COUNTIF('Elève (5ème4)'!NR21:NT21,"B"))*3)+((COUNTIF('Elève (5ème4)'!NR21:NT21,"C"))*2)+((COUNTIF('Elève (5ème4)'!NR21:NT21,"D"))*1))/(COUNTA(NR21:NT21)),"")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(5ème4)'!NW21:NY21,"A"))*4)+((COUNTIF('Elève (5ème4)'!NW21:NY21,"B"))*3)+((COUNTIF('Elève (5ème4)'!NW21:NY21,"C"))*2)+((COUNTIF('Elève (5ème4)'!NW21:NY21,"D"))*1))/(COUNTA(NW21:NY21)),"")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(5ème4)'!OD21:OF21,"A"))*4)+((COUNTIF('Elève (5ème4)'!OD21:OF21,"B"))*3)+((COUNTIF('Elève (5ème4)'!OD21:OF21,"C"))*2)+((COUNTIF('Elève (5ème4)'!OD21:OF21,"D"))*1))/(COUNTA(OD21:OF21)),"")</f>
        <v/>
      </c>
      <c r="OH20" s="107" t="str">
        <f t="shared" si="92"/>
        <v/>
      </c>
      <c r="OI20" s="204"/>
      <c r="OJ20" s="186"/>
      <c r="OK20" s="205"/>
      <c r="OL20" s="129" t="str">
        <f>IFERROR((((COUNTIF('Elève (5ème4)'!OI21:OK21,"A"))*4)+((COUNTIF('Elève (5ème4)'!OI21:OK21,"B"))*3)+((COUNTIF('Elève (5ème4)'!OI21:OK21,"C"))*2)+((COUNTIF('Elève (5ème4)'!OI21:OK21,"D"))*1))/(COUNTA(OI21:OK21)),"")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(5ème4)'!ON21:OP21,"A"))*4)+((COUNTIF('Elève (5ème4)'!ON21:OP21,"B"))*3)+((COUNTIF('Elève (5ème4)'!ON21:OP21,"C"))*2)+((COUNTIF('Elève (5ème4)'!ON21:OP21,"D"))*1))/(COUNTA(ON21:OP21)),"")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(5ème4)'!OU21:OW21,"A"))*4)+((COUNTIF('Elève (5ème4)'!OU21:OW21,"B"))*3)+((COUNTIF('Elève (5ème4)'!OU21:OW21,"C"))*2)+((COUNTIF('Elève (5ème4)'!OU21:OW21,"D"))*1))/(COUNTA(OU21:OW21)),"")</f>
        <v/>
      </c>
      <c r="OY20" s="107" t="str">
        <f t="shared" si="96"/>
        <v/>
      </c>
      <c r="OZ20" s="204"/>
      <c r="PA20" s="186"/>
      <c r="PB20" s="205"/>
      <c r="PC20" s="129" t="str">
        <f>IFERROR((((COUNTIF('Elève (5ème4)'!OZ21:PB21,"A"))*4)+((COUNTIF('Elève (5ème4)'!OZ21:PB21,"B"))*3)+((COUNTIF('Elève (5ème4)'!OZ21:PB21,"C"))*2)+((COUNTIF('Elève (5ème4)'!OZ21:PB21,"D"))*1))/(COUNTA(OZ21:PB21)),"")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(5ème4)'!PE21:PG21,"A"))*4)+((COUNTIF('Elève (5ème4)'!PE21:PG21,"B"))*3)+((COUNTIF('Elève (5ème4)'!PE21:PG21,"C"))*2)+((COUNTIF('Elève (5ème4)'!PE21:PG21,"D"))*1))/(COUNTA(PE21:PG21)),"")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(5ème4)'!PL21:PN21,"A"))*4)+((COUNTIF('Elève (5ème4)'!PL21:PN21,"B"))*3)+((COUNTIF('Elève (5ème4)'!PL21:PN21,"C"))*2)+((COUNTIF('Elève (5ème4)'!PL21:PN21,"D"))*1))/(COUNTA(PL21:PN21)),"")</f>
        <v/>
      </c>
      <c r="PP20" s="107" t="str">
        <f t="shared" si="100"/>
        <v/>
      </c>
      <c r="PQ20" s="204"/>
      <c r="PR20" s="186"/>
      <c r="PS20" s="205"/>
      <c r="PT20" s="129" t="str">
        <f>IFERROR((((COUNTIF('Elève (5ème4)'!PQ21:PS21,"A"))*4)+((COUNTIF('Elève (5ème4)'!PQ21:PS21,"B"))*3)+((COUNTIF('Elève (5ème4)'!PQ21:PS21,"C"))*2)+((COUNTIF('Elève (5ème4)'!PQ21:PS21,"D"))*1))/(COUNTA(PQ21:PS21)),"")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(5ème4)'!PV21:PX21,"A"))*4)+((COUNTIF('Elève (5ème4)'!PV21:PX21,"B"))*3)+((COUNTIF('Elève (5ème4)'!PV21:PX21,"C"))*2)+((COUNTIF('Elève (5ème4)'!PV21:PX21,"D"))*1))/(COUNTA(PV21:PX21)),"")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(5ème4)'!QC21:QE21,"A"))*4)+((COUNTIF('Elève (5ème4)'!QC21:QE21,"B"))*3)+((COUNTIF('Elève (5ème4)'!QC21:QE21,"C"))*2)+((COUNTIF('Elève (5ème4)'!QC21:QE21,"D"))*1))/(COUNTA(QC21:QE21)),"")</f>
        <v/>
      </c>
      <c r="QG20" s="107" t="str">
        <f t="shared" si="104"/>
        <v/>
      </c>
      <c r="QH20" s="204"/>
      <c r="QI20" s="186"/>
      <c r="QJ20" s="205"/>
      <c r="QK20" s="129" t="str">
        <f>IFERROR((((COUNTIF('Elève (5ème4)'!QH21:QJ21,"A"))*4)+((COUNTIF('Elève (5ème4)'!QH21:QJ21,"B"))*3)+((COUNTIF('Elève (5ème4)'!QH21:QJ21,"C"))*2)+((COUNTIF('Elève (5ème4)'!QH21:QJ21,"D"))*1))/(COUNTA(QH21:QJ21)),"")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(5ème4)'!QM21:QO21,"A"))*4)+((COUNTIF('Elève (5ème4)'!QM21:QO21,"B"))*3)+((COUNTIF('Elève (5ème4)'!QM21:QO21,"C"))*2)+((COUNTIF('Elève (5ème4)'!QM21:QO21,"D"))*1))/(COUNTA(QM21:QO21)),"")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(5ème4)'!QT21:QV21,"A"))*4)+((COUNTIF('Elève (5ème4)'!QT21:QV21,"B"))*3)+((COUNTIF('Elève (5ème4)'!QT21:QV21,"C"))*2)+((COUNTIF('Elève (5ème4)'!QT21:QV21,"D"))*1))/(COUNTA(QT21:QV21)),"")</f>
        <v/>
      </c>
      <c r="QX20" s="107" t="str">
        <f t="shared" si="108"/>
        <v/>
      </c>
      <c r="QY20" s="204"/>
      <c r="QZ20" s="186"/>
      <c r="RA20" s="205"/>
      <c r="RB20" s="129" t="str">
        <f>IFERROR((((COUNTIF('Elève (5ème4)'!QY21:RA21,"A"))*4)+((COUNTIF('Elève (5ème4)'!QY21:RA21,"B"))*3)+((COUNTIF('Elève (5ème4)'!QY21:RA21,"C"))*2)+((COUNTIF('Elève (5ème4)'!QY21:RA21,"D"))*1))/(COUNTA(QY21:RA21)),"")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(5ème4)'!RD21:RF21,"A"))*4)+((COUNTIF('Elève (5ème4)'!RD21:RF21,"B"))*3)+((COUNTIF('Elève (5ème4)'!RD21:RF21,"C"))*2)+((COUNTIF('Elève (5ème4)'!RD21:RF21,"D"))*1))/(COUNTA(RD21:RF21)),"")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(5ème4)'!RK21:RM21,"A"))*4)+((COUNTIF('Elève (5ème4)'!RK21:RM21,"B"))*3)+((COUNTIF('Elève (5ème4)'!RK21:RM21,"C"))*2)+((COUNTIF('Elève (5ème4)'!RK21:RM21,"D"))*1))/(COUNTA(RK21:RM21)),"")</f>
        <v/>
      </c>
      <c r="RO20" s="107" t="str">
        <f t="shared" si="112"/>
        <v/>
      </c>
      <c r="RP20" s="204"/>
      <c r="RQ20" s="186"/>
      <c r="RR20" s="205"/>
      <c r="RS20" s="129" t="str">
        <f>IFERROR((((COUNTIF('Elève (5ème4)'!RP21:RR21,"A"))*4)+((COUNTIF('Elève (5ème4)'!RP21:RR21,"B"))*3)+((COUNTIF('Elève (5ème4)'!RP21:RR21,"C"))*2)+((COUNTIF('Elève (5ème4)'!RP21:RR21,"D"))*1))/(COUNTA(RP21:RR21)),"")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(5ème4)'!RU21:RW21,"A"))*4)+((COUNTIF('Elève (5ème4)'!RU21:RW21,"B"))*3)+((COUNTIF('Elève (5ème4)'!RU21:RW21,"C"))*2)+((COUNTIF('Elève (5ème4)'!RU21:RW21,"D"))*1))/(COUNTA(RU21:RW21)),"")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(5ème4)'!SB21:SD21,"A"))*4)+((COUNTIF('Elève (5ème4)'!SB21:SD21,"B"))*3)+((COUNTIF('Elève (5ème4)'!SB21:SD21,"C"))*2)+((COUNTIF('Elève (5ème4)'!SB21:SD21,"D"))*1))/(COUNTA(SB21:SD21)),"")</f>
        <v/>
      </c>
      <c r="SF20" s="107" t="str">
        <f t="shared" si="116"/>
        <v/>
      </c>
      <c r="SG20" s="204"/>
      <c r="SH20" s="186"/>
      <c r="SI20" s="205"/>
      <c r="SJ20" s="129" t="str">
        <f>IFERROR((((COUNTIF('Elève (5ème4)'!SG21:SI21,"A"))*4)+((COUNTIF('Elève (5ème4)'!SG21:SI21,"B"))*3)+((COUNTIF('Elève (5ème4)'!SG21:SI21,"C"))*2)+((COUNTIF('Elève (5ème4)'!SG21:SI21,"D"))*1))/(COUNTA(SG21:SI21)),"")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(5ème4)'!SL21:SN21,"A"))*4)+((COUNTIF('Elève (5ème4)'!SL21:SN21,"B"))*3)+((COUNTIF('Elève (5ème4)'!SL21:SN21,"C"))*2)+((COUNTIF('Elève (5ème4)'!SL21:SN21,"D"))*1))/(COUNTA(SL21:SN21)),"")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9" t="s">
        <v>25</v>
      </c>
      <c r="B21" s="230"/>
      <c r="C21" s="164"/>
      <c r="D21" s="165"/>
      <c r="E21" s="163"/>
      <c r="F21" s="114" t="str">
        <f>IFERROR((((COUNTIF('Elève (5ème4)'!C21:E21,"A"))*4)+((COUNTIF('Elève (5ème4)'!C21:E21,"B"))*3)+((COUNTIF('Elève (5ème4)'!C21:E21,"C"))*2)+((COUNTIF('Elève (5ème4)'!C21:E21,"D"))*1))/(COUNTA(C21:E21)),"")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(5ème4)'!H21:J21,"A"))*4)+((COUNTIF('Elève (5ème4)'!H21:J21,"B"))*3)+((COUNTIF('Elève (5ème4)'!H21:J21,"C"))*2)+((COUNTIF('Elève (5ème4)'!H21:J21,"D"))*1))/(COUNTA(H21:J21)),"")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(5ème4)'!M21:O21,"A"))*4)+((COUNTIF('Elève (5ème4)'!M21:O21,"B"))*3)+((COUNTIF('Elève (5ème4)'!M21:O21,"C"))*2)+((COUNTIF('Elève (5ème4)'!M21:O21,"D"))*1))/(COUNTA(M21:O21)),"")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(5ème4)'!T21:V21,"A"))*4)+((COUNTIF('Elève (5ème4)'!T21:V21,"B"))*3)+((COUNTIF('Elève (5ème4)'!T21:V21,"C"))*2)+((COUNTIF('Elève (5ème4)'!T21:V21,"D"))*1))/(COUNTA(T21:V21)),"")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(5ème4)'!Y21:AA21,"A"))*4)+((COUNTIF('Elève (5ème4)'!Y21:AA21,"B"))*3)+((COUNTIF('Elève (5ème4)'!Y21:AA21,"C"))*2)+((COUNTIF('Elève (5ème4)'!Y21:AA21,"D"))*1))/(COUNTA(Y21:AA21)),"")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(5ème4)'!AD21:AF21,"A"))*4)+((COUNTIF('Elève (5ème4)'!AD21:AF21,"B"))*3)+((COUNTIF('Elève (5ème4)'!AD21:AF21,"C"))*2)+((COUNTIF('Elève (5ème4)'!AD21:AF21,"D"))*1))/(COUNTA(AD21:AF21)),"")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(5ème4)'!AK21:AM21,"A"))*4)+((COUNTIF('Elève (5ème4)'!AK21:AM21,"B"))*3)+((COUNTIF('Elève (5ème4)'!AK21:AM21,"C"))*2)+((COUNTIF('Elève (5ème4)'!AK21:AM21,"D"))*1))/(COUNTA(AK21:AM21)),"")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(5ème4)'!AP21:AR21,"A"))*4)+((COUNTIF('Elève (5ème4)'!AP21:AR21,"B"))*3)+((COUNTIF('Elève (5ème4)'!AP21:AR21,"C"))*2)+((COUNTIF('Elève (5ème4)'!AP21:AR21,"D"))*1))/(COUNTA(AP21:AR21)),"")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(5ème4)'!AU21:AW21,"A"))*4)+((COUNTIF('Elève (5ème4)'!AU21:AW21,"B"))*3)+((COUNTIF('Elève (5ème4)'!AU21:AW21,"C"))*2)+((COUNTIF('Elève (5ème4)'!AU21:AW21,"D"))*1))/(COUNTA(AU21:AW21)),"")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(5ème4)'!BB21:BD21,"A"))*4)+((COUNTIF('Elève (5ème4)'!BB21:BD21,"B"))*3)+((COUNTIF('Elève (5ème4)'!BB21:BD21,"C"))*2)+((COUNTIF('Elève (5ème4)'!BB21:BD21,"D"))*1))/(COUNTA(BB21:BD21)),"")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(5ème4)'!BG21:BI21,"A"))*4)+((COUNTIF('Elève (5ème4)'!BG21:BI21,"B"))*3)+((COUNTIF('Elève (5ème4)'!BG21:BI21,"C"))*2)+((COUNTIF('Elève (5ème4)'!BG21:BI21,"D"))*1))/(COUNTA(BG21:BI21)),"")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(5ème4)'!BL21:BN21,"A"))*4)+((COUNTIF('Elève (5ème4)'!BL21:BN21,"B"))*3)+((COUNTIF('Elève (5ème4)'!BL21:BN21,"C"))*2)+((COUNTIF('Elève (5ème4)'!BL21:BN21,"D"))*1))/(COUNTA(BL21:BN21)),"")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(5ème4)'!BS21:BU21,"A"))*4)+((COUNTIF('Elève (5ème4)'!BS21:BU21,"B"))*3)+((COUNTIF('Elève (5ème4)'!BS21:BU21,"C"))*2)+((COUNTIF('Elève (5ème4)'!BS21:BU21,"D"))*1))/(COUNTA(BS21:BU21)),"")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(5ème4)'!BX21:BZ21,"A"))*4)+((COUNTIF('Elève (5ème4)'!BX21:BZ21,"B"))*3)+((COUNTIF('Elève (5ème4)'!BX21:BZ21,"C"))*2)+((COUNTIF('Elève (5ème4)'!BX21:BZ21,"D"))*1))/(COUNTA(BX21:BZ21)),"")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(5ème4)'!CC21:CE21,"A"))*4)+((COUNTIF('Elève (5ème4)'!CC21:CE21,"B"))*3)+((COUNTIF('Elève (5ème4)'!CC21:CE21,"C"))*2)+((COUNTIF('Elève (5ème4)'!CC21:CE21,"D"))*1))/(COUNTA(CC21:CE21)),"")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(5ème4)'!CJ21:CL21,"A"))*4)+((COUNTIF('Elève (5ème4)'!CJ21:CL21,"B"))*3)+((COUNTIF('Elève (5ème4)'!CJ21:CL21,"C"))*2)+((COUNTIF('Elève (5ème4)'!CJ21:CL21,"D"))*1))/(COUNTA(CJ21:CL21)),"")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(5ème4)'!CO21:CQ21,"A"))*4)+((COUNTIF('Elève (5ème4)'!CO21:CQ21,"B"))*3)+((COUNTIF('Elève (5ème4)'!CO21:CQ21,"C"))*2)+((COUNTIF('Elève (5ème4)'!CO21:CQ21,"D"))*1))/(COUNTA(CO21:CQ21)),"")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(5ème4)'!CT21:CV21,"A"))*4)+((COUNTIF('Elève (5ème4)'!CT21:CV21,"B"))*3)+((COUNTIF('Elève (5ème4)'!CT21:CV21,"C"))*2)+((COUNTIF('Elève (5ème4)'!CT21:CV21,"D"))*1))/(COUNTA(CT21:CV21)),"")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(5ème4)'!DA21:DC21,"A"))*4)+((COUNTIF('Elève (5ème4)'!DA21:DC21,"B"))*3)+((COUNTIF('Elève (5ème4)'!DA21:DC21,"C"))*2)+((COUNTIF('Elève (5ème4)'!DA21:DC21,"D"))*1))/(COUNTA(DA21:DC21)),"")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(5ème4)'!DF21:DH21,"A"))*4)+((COUNTIF('Elève (5ème4)'!DF21:DH21,"B"))*3)+((COUNTIF('Elève (5ème4)'!DF21:DH21,"C"))*2)+((COUNTIF('Elève (5ème4)'!DF21:DH21,"D"))*1))/(COUNTA(DF21:DH21)),"")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(5ème4)'!DK21:DM21,"A"))*4)+((COUNTIF('Elève (5ème4)'!DK21:DM21,"B"))*3)+((COUNTIF('Elève (5ème4)'!DK21:DM21,"C"))*2)+((COUNTIF('Elève (5ème4)'!DK21:DM21,"D"))*1))/(COUNTA(DK21:DM21)),"")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(5ème4)'!DR21:DT21,"A"))*4)+((COUNTIF('Elève (5ème4)'!DR21:DT21,"B"))*3)+((COUNTIF('Elève (5ème4)'!DR21:DT21,"C"))*2)+((COUNTIF('Elève (5ème4)'!DR21:DT21,"D"))*1))/(COUNTA(DR21:DT21)),"")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(5ème4)'!DW21:DY21,"A"))*4)+((COUNTIF('Elève (5ème4)'!DW21:DY21,"B"))*3)+((COUNTIF('Elève (5ème4)'!DW21:DY21,"C"))*2)+((COUNTIF('Elève (5ème4)'!DW21:DY21,"D"))*1))/(COUNTA(DW21:DY21)),"")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(5ème4)'!EB21:ED21,"A"))*4)+((COUNTIF('Elève (5ème4)'!EB21:ED21,"B"))*3)+((COUNTIF('Elève (5ème4)'!EB21:ED21,"C"))*2)+((COUNTIF('Elève (5ème4)'!EB21:ED21,"D"))*1))/(COUNTA(EB21:ED21)),"")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(5ème4)'!EI21:EK21,"A"))*4)+((COUNTIF('Elève (5ème4)'!EI21:EK21,"B"))*3)+((COUNTIF('Elève (5ème4)'!EI21:EK21,"C"))*2)+((COUNTIF('Elève (5ème4)'!EI21:EK21,"D"))*1))/(COUNTA(EI21:EK21)),"")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(5ème4)'!EN21:EP21,"A"))*4)+((COUNTIF('Elève (5ème4)'!EN21:EP21,"B"))*3)+((COUNTIF('Elève (5ème4)'!EN21:EP21,"C"))*2)+((COUNTIF('Elève (5ème4)'!EN21:EP21,"D"))*1))/(COUNTA(EN21:EP21)),"")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(5ème4)'!ES21:EU21,"A"))*4)+((COUNTIF('Elève (5ème4)'!ES21:EU21,"B"))*3)+((COUNTIF('Elève (5ème4)'!ES21:EU21,"C"))*2)+((COUNTIF('Elève (5ème4)'!ES21:EU21,"D"))*1))/(COUNTA(ES21:EU21)),"")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(5ème4)'!EZ21:FB21,"A"))*4)+((COUNTIF('Elève (5ème4)'!EZ21:FB21,"B"))*3)+((COUNTIF('Elève (5ème4)'!EZ21:FB21,"C"))*2)+((COUNTIF('Elève (5ème4)'!EZ21:FB21,"D"))*1))/(COUNTA(EZ21:FB21)),"")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(5ème4)'!FE21:FG21,"A"))*4)+((COUNTIF('Elève (5ème4)'!FE21:FG21,"B"))*3)+((COUNTIF('Elève (5ème4)'!FE21:FG21,"C"))*2)+((COUNTIF('Elève (5ème4)'!FE21:FG21,"D"))*1))/(COUNTA(FE21:FG21)),"")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(5ème4)'!FJ21:FL21,"A"))*4)+((COUNTIF('Elève (5ème4)'!FJ21:FL21,"B"))*3)+((COUNTIF('Elève (5ème4)'!FJ21:FL21,"C"))*2)+((COUNTIF('Elève (5ème4)'!FJ21:FL21,"D"))*1))/(COUNTA(FJ21:FL21)),"")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(5ème4)'!FQ21:FS21,"A"))*4)+((COUNTIF('Elève (5ème4)'!FQ21:FS21,"B"))*3)+((COUNTIF('Elève (5ème4)'!FQ21:FS21,"C"))*2)+((COUNTIF('Elève (5ème4)'!FQ21:FS21,"D"))*1))/(COUNTA(FQ21:FS21)),"")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(5ème4)'!FV21:FX21,"A"))*4)+((COUNTIF('Elève (5ème4)'!FV21:FX21,"B"))*3)+((COUNTIF('Elève (5ème4)'!FV21:FX21,"C"))*2)+((COUNTIF('Elève (5ème4)'!FV21:FX21,"D"))*1))/(COUNTA(FV21:FX21)),"")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(5ème4)'!GA21:GC21,"A"))*4)+((COUNTIF('Elève (5ème4)'!GA21:GC21,"B"))*3)+((COUNTIF('Elève (5ème4)'!GA21:GC21,"C"))*2)+((COUNTIF('Elève (5ème4)'!GA21:GC21,"D"))*1))/(COUNTA(GA21:GC21)),"")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(5ème4)'!GH21:GJ21,"A"))*4)+((COUNTIF('Elève (5ème4)'!GH21:GJ21,"B"))*3)+((COUNTIF('Elève (5ème4)'!GH21:GJ21,"C"))*2)+((COUNTIF('Elève (5ème4)'!GH21:GJ21,"D"))*1))/(COUNTA(GH21:GJ21)),"")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(5ème4)'!GM21:GO21,"A"))*4)+((COUNTIF('Elève (5ème4)'!GM21:GO21,"B"))*3)+((COUNTIF('Elève (5ème4)'!GM21:GO21,"C"))*2)+((COUNTIF('Elève (5ème4)'!GM21:GO21,"D"))*1))/(COUNTA(GM21:GO21)),"")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(5ème4)'!GR21:GT21,"A"))*4)+((COUNTIF('Elève (5ème4)'!GR21:GT21,"B"))*3)+((COUNTIF('Elève (5ème4)'!GR21:GT21,"C"))*2)+((COUNTIF('Elève (5ème4)'!GR21:GT21,"D"))*1))/(COUNTA(GR21:GT21)),"")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(5ème4)'!GY21:HA21,"A"))*4)+((COUNTIF('Elève (5ème4)'!GY21:HA21,"B"))*3)+((COUNTIF('Elève (5ème4)'!GY21:HA21,"C"))*2)+((COUNTIF('Elève (5ème4)'!GY21:HA21,"D"))*1))/(COUNTA(GY21:HA21)),"")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(5ème4)'!HD21:HF21,"A"))*4)+((COUNTIF('Elève (5ème4)'!HD21:HF21,"B"))*3)+((COUNTIF('Elève (5ème4)'!HD21:HF21,"C"))*2)+((COUNTIF('Elève (5ème4)'!HD21:HF21,"D"))*1))/(COUNTA(HD21:HF21)),"")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(5ème4)'!HI21:HK21,"A"))*4)+((COUNTIF('Elève (5ème4)'!HI21:HK21,"B"))*3)+((COUNTIF('Elève (5ème4)'!HI21:HK21,"C"))*2)+((COUNTIF('Elève (5ème4)'!HI21:HK21,"D"))*1))/(COUNTA(HI21:HK21)),"")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(5ème4)'!HP21:HR21,"A"))*4)+((COUNTIF('Elève (5ème4)'!HP21:HR21,"B"))*3)+((COUNTIF('Elève (5ème4)'!HP21:HR21,"C"))*2)+((COUNTIF('Elève (5ème4)'!HP21:HR21,"D"))*1))/(COUNTA(HP21:HR21)),"")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(5ème4)'!HU21:HW21,"A"))*4)+((COUNTIF('Elève (5ème4)'!HU21:HW21,"B"))*3)+((COUNTIF('Elève (5ème4)'!HU21:HW21,"C"))*2)+((COUNTIF('Elève (5ème4)'!HU21:HW21,"D"))*1))/(COUNTA(HU21:HW21)),"")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(5ème4)'!HZ21:IB21,"A"))*4)+((COUNTIF('Elève (5ème4)'!HZ21:IB21,"B"))*3)+((COUNTIF('Elève (5ème4)'!HZ21:IB21,"C"))*2)+((COUNTIF('Elève (5ème4)'!HZ21:IB21,"D"))*1))/(COUNTA(HZ21:IB21)),"")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(5ème4)'!IG21:II21,"A"))*4)+((COUNTIF('Elève (5ème4)'!IG21:II21,"B"))*3)+((COUNTIF('Elève (5ème4)'!IG21:II21,"C"))*2)+((COUNTIF('Elève (5ème4)'!IG21:II21,"D"))*1))/(COUNTA(IG21:II21)),"")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(5ème4)'!IL21:IN21,"A"))*4)+((COUNTIF('Elève (5ème4)'!IL21:IN21,"B"))*3)+((COUNTIF('Elève (5ème4)'!IL21:IN21,"C"))*2)+((COUNTIF('Elève (5ème4)'!IL21:IN21,"D"))*1))/(COUNTA(IL21:IN21)),"")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(5ème4)'!IQ21:IS21,"A"))*4)+((COUNTIF('Elève (5ème4)'!IQ21:IS21,"B"))*3)+((COUNTIF('Elève (5ème4)'!IQ21:IS21,"C"))*2)+((COUNTIF('Elève (5ème4)'!IQ21:IS21,"D"))*1))/(COUNTA(IQ21:IS21)),"")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(5ème4)'!IX21:IZ21,"A"))*4)+((COUNTIF('Elève (5ème4)'!IX21:IZ21,"B"))*3)+((COUNTIF('Elève (5ème4)'!IX21:IZ21,"C"))*2)+((COUNTIF('Elève (5ème4)'!IX21:IZ21,"D"))*1))/(COUNTA(IX21:IZ21)),"")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(5ème4)'!JC21:JE21,"A"))*4)+((COUNTIF('Elève (5ème4)'!JC21:JE21,"B"))*3)+((COUNTIF('Elève (5ème4)'!JC21:JE21,"C"))*2)+((COUNTIF('Elève (5ème4)'!JC21:JE21,"D"))*1))/(COUNTA(JC21:JE21)),"")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(5ème4)'!JH21:JJ21,"A"))*4)+((COUNTIF('Elève (5ème4)'!JH21:JJ21,"B"))*3)+((COUNTIF('Elève (5ème4)'!JH21:JJ21,"C"))*2)+((COUNTIF('Elève (5ème4)'!JH21:JJ21,"D"))*1))/(COUNTA(JH21:JJ21)),"")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(5ème4)'!JO21:JQ21,"A"))*4)+((COUNTIF('Elève (5ème4)'!JO21:JQ21,"B"))*3)+((COUNTIF('Elève (5ème4)'!JO21:JQ21,"C"))*2)+((COUNTIF('Elève (5ème4)'!JO21:JQ21,"D"))*1))/(COUNTA(JO21:JQ21)),"")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(5ème4)'!JT21:JV21,"A"))*4)+((COUNTIF('Elève (5ème4)'!JT21:JV21,"B"))*3)+((COUNTIF('Elève (5ème4)'!JT21:JV21,"C"))*2)+((COUNTIF('Elève (5ème4)'!JT21:JV21,"D"))*1))/(COUNTA(JT21:JV21)),"")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(5ème4)'!JY21:KA21,"A"))*4)+((COUNTIF('Elève (5ème4)'!JY21:KA21,"B"))*3)+((COUNTIF('Elève (5ème4)'!JY21:KA21,"C"))*2)+((COUNTIF('Elève (5ème4)'!JY21:KA21,"D"))*1))/(COUNTA(JY21:KA21)),"")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(5ème4)'!KF21:KH21,"A"))*4)+((COUNTIF('Elève (5ème4)'!KF21:KH21,"B"))*3)+((COUNTIF('Elève (5ème4)'!KF21:KH21,"C"))*2)+((COUNTIF('Elève (5ème4)'!KF21:KH21,"D"))*1))/(COUNTA(KF21:KH21)),"")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(5ème4)'!KK21:KM21,"A"))*4)+((COUNTIF('Elève (5ème4)'!KK21:KM21,"B"))*3)+((COUNTIF('Elève (5ème4)'!KK21:KM21,"C"))*2)+((COUNTIF('Elève (5ème4)'!KK21:KM21,"D"))*1))/(COUNTA(KK21:KM21)),"")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(5ème4)'!KP21:KR21,"A"))*4)+((COUNTIF('Elève (5ème4)'!KP21:KR21,"B"))*3)+((COUNTIF('Elève (5ème4)'!KP21:KR21,"C"))*2)+((COUNTIF('Elève (5ème4)'!KP21:KR21,"D"))*1))/(COUNTA(KP21:KR21)),"")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(5ème4)'!KW21:KY21,"A"))*4)+((COUNTIF('Elève (5ème4)'!KW21:KY21,"B"))*3)+((COUNTIF('Elève (5ème4)'!KW21:KY21,"C"))*2)+((COUNTIF('Elève (5ème4)'!KW21:KY21,"D"))*1))/(COUNTA(KW21:KY21)),"")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(5ème4)'!LB21:LD21,"A"))*4)+((COUNTIF('Elève (5ème4)'!LB21:LD21,"B"))*3)+((COUNTIF('Elève (5ème4)'!LB21:LD21,"C"))*2)+((COUNTIF('Elève (5ème4)'!LB21:LD21,"D"))*1))/(COUNTA(LB21:LD21)),"")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(5ème4)'!LG21:LI21,"A"))*4)+((COUNTIF('Elève (5ème4)'!LG21:LI21,"B"))*3)+((COUNTIF('Elève (5ème4)'!LG21:LI21,"C"))*2)+((COUNTIF('Elève (5ème4)'!LG21:LI21,"D"))*1))/(COUNTA(LG21:LI21)),"")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(5ème4)'!LN21:LP21,"A"))*4)+((COUNTIF('Elève (5ème4)'!LN21:LP21,"B"))*3)+((COUNTIF('Elève (5ème4)'!LN21:LP21,"C"))*2)+((COUNTIF('Elève (5ème4)'!LN21:LP21,"D"))*1))/(COUNTA(LN21:LP21)),"")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(5ème4)'!LS21:LU21,"A"))*4)+((COUNTIF('Elève (5ème4)'!LS21:LU21,"B"))*3)+((COUNTIF('Elève (5ème4)'!LS21:LU21,"C"))*2)+((COUNTIF('Elève (5ème4)'!LS21:LU21,"D"))*1))/(COUNTA(LS21:LU21)),"")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(5ème4)'!LX21:LZ21,"A"))*4)+((COUNTIF('Elève (5ème4)'!LX21:LZ21,"B"))*3)+((COUNTIF('Elève (5ème4)'!LX21:LZ21,"C"))*2)+((COUNTIF('Elève (5ème4)'!LX21:LZ21,"D"))*1))/(COUNTA(LX21:LZ21)),"")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(5ème4)'!ME21:MG21,"A"))*4)+((COUNTIF('Elève (5ème4)'!ME21:MG21,"B"))*3)+((COUNTIF('Elève (5ème4)'!ME21:MG21,"C"))*2)+((COUNTIF('Elève (5ème4)'!ME21:MG21,"D"))*1))/(COUNTA(ME21:MG21)),"")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(5ème4)'!MJ21:ML21,"A"))*4)+((COUNTIF('Elève (5ème4)'!MJ21:ML21,"B"))*3)+((COUNTIF('Elève (5ème4)'!MJ21:ML21,"C"))*2)+((COUNTIF('Elève (5ème4)'!MJ21:ML21,"D"))*1))/(COUNTA(MJ21:ML21)),"")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(5ème4)'!MO21:MQ21,"A"))*4)+((COUNTIF('Elève (5ème4)'!MO21:MQ21,"B"))*3)+((COUNTIF('Elève (5ème4)'!MO21:MQ21,"C"))*2)+((COUNTIF('Elève (5ème4)'!MO21:MQ21,"D"))*1))/(COUNTA(MO21:MQ21)),"")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(5ème4)'!MV21:MX21,"A"))*4)+((COUNTIF('Elève (5ème4)'!MV21:MX21,"B"))*3)+((COUNTIF('Elève (5ème4)'!MV21:MX21,"C"))*2)+((COUNTIF('Elève (5ème4)'!MV21:MX21,"D"))*1))/(COUNTA(MV21:MX21)),"")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(5ème4)'!NA21:NC21,"A"))*4)+((COUNTIF('Elève (5ème4)'!NA21:NC21,"B"))*3)+((COUNTIF('Elève (5ème4)'!NA21:NC21,"C"))*2)+((COUNTIF('Elève (5ème4)'!NA21:NC21,"D"))*1))/(COUNTA(NA21:NC21)),"")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(5ème4)'!NF21:NH21,"A"))*4)+((COUNTIF('Elève (5ème4)'!NF21:NH21,"B"))*3)+((COUNTIF('Elève (5ème4)'!NF21:NH21,"C"))*2)+((COUNTIF('Elève (5ème4)'!NF21:NH21,"D"))*1))/(COUNTA(NF21:NH21)),"")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(5ème4)'!NM21:NO21,"A"))*4)+((COUNTIF('Elève (5ème4)'!NM21:NO21,"B"))*3)+((COUNTIF('Elève (5ème4)'!NM21:NO21,"C"))*2)+((COUNTIF('Elève (5ème4)'!NM21:NO21,"D"))*1))/(COUNTA(NM21:NO21)),"")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(5ème4)'!NR21:NT21,"A"))*4)+((COUNTIF('Elève (5ème4)'!NR21:NT21,"B"))*3)+((COUNTIF('Elève (5ème4)'!NR21:NT21,"C"))*2)+((COUNTIF('Elève (5ème4)'!NR21:NT21,"D"))*1))/(COUNTA(NR21:NT21)),"")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(5ème4)'!NW21:NY21,"A"))*4)+((COUNTIF('Elève (5ème4)'!NW21:NY21,"B"))*3)+((COUNTIF('Elève (5ème4)'!NW21:NY21,"C"))*2)+((COUNTIF('Elève (5ème4)'!NW21:NY21,"D"))*1))/(COUNTA(NW21:NY21)),"")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(5ème4)'!OD21:OF21,"A"))*4)+((COUNTIF('Elève (5ème4)'!OD21:OF21,"B"))*3)+((COUNTIF('Elève (5ème4)'!OD21:OF21,"C"))*2)+((COUNTIF('Elève (5ème4)'!OD21:OF21,"D"))*1))/(COUNTA(OD21:OF21)),"")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(5ème4)'!OI21:OK21,"A"))*4)+((COUNTIF('Elève (5ème4)'!OI21:OK21,"B"))*3)+((COUNTIF('Elève (5ème4)'!OI21:OK21,"C"))*2)+((COUNTIF('Elève (5ème4)'!OI21:OK21,"D"))*1))/(COUNTA(OI21:OK21)),"")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(5ème4)'!ON21:OP21,"A"))*4)+((COUNTIF('Elève (5ème4)'!ON21:OP21,"B"))*3)+((COUNTIF('Elève (5ème4)'!ON21:OP21,"C"))*2)+((COUNTIF('Elève (5ème4)'!ON21:OP21,"D"))*1))/(COUNTA(ON21:OP21)),"")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(5ème4)'!OU21:OW21,"A"))*4)+((COUNTIF('Elève (5ème4)'!OU21:OW21,"B"))*3)+((COUNTIF('Elève (5ème4)'!OU21:OW21,"C"))*2)+((COUNTIF('Elève (5ème4)'!OU21:OW21,"D"))*1))/(COUNTA(OU21:OW21)),"")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(5ème4)'!OZ21:PB21,"A"))*4)+((COUNTIF('Elève (5ème4)'!OZ21:PB21,"B"))*3)+((COUNTIF('Elève (5ème4)'!OZ21:PB21,"C"))*2)+((COUNTIF('Elève (5ème4)'!OZ21:PB21,"D"))*1))/(COUNTA(OZ21:PB21)),"")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(5ème4)'!PE21:PG21,"A"))*4)+((COUNTIF('Elève (5ème4)'!PE21:PG21,"B"))*3)+((COUNTIF('Elève (5ème4)'!PE21:PG21,"C"))*2)+((COUNTIF('Elève (5ème4)'!PE21:PG21,"D"))*1))/(COUNTA(PE21:PG21)),"")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(5ème4)'!PL21:PN21,"A"))*4)+((COUNTIF('Elève (5ème4)'!PL21:PN21,"B"))*3)+((COUNTIF('Elève (5ème4)'!PL21:PN21,"C"))*2)+((COUNTIF('Elève (5ème4)'!PL21:PN21,"D"))*1))/(COUNTA(PL21:PN21)),"")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(5ème4)'!PQ21:PS21,"A"))*4)+((COUNTIF('Elève (5ème4)'!PQ21:PS21,"B"))*3)+((COUNTIF('Elève (5ème4)'!PQ21:PS21,"C"))*2)+((COUNTIF('Elève (5ème4)'!PQ21:PS21,"D"))*1))/(COUNTA(PQ21:PS21)),"")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(5ème4)'!PV21:PX21,"A"))*4)+((COUNTIF('Elève (5ème4)'!PV21:PX21,"B"))*3)+((COUNTIF('Elève (5ème4)'!PV21:PX21,"C"))*2)+((COUNTIF('Elève (5ème4)'!PV21:PX21,"D"))*1))/(COUNTA(PV21:PX21)),"")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(5ème4)'!QC21:QE21,"A"))*4)+((COUNTIF('Elève (5ème4)'!QC21:QE21,"B"))*3)+((COUNTIF('Elève (5ème4)'!QC21:QE21,"C"))*2)+((COUNTIF('Elève (5ème4)'!QC21:QE21,"D"))*1))/(COUNTA(QC21:QE21)),"")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(5ème4)'!QH21:QJ21,"A"))*4)+((COUNTIF('Elève (5ème4)'!QH21:QJ21,"B"))*3)+((COUNTIF('Elève (5ème4)'!QH21:QJ21,"C"))*2)+((COUNTIF('Elève (5ème4)'!QH21:QJ21,"D"))*1))/(COUNTA(QH21:QJ21)),"")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(5ème4)'!QM21:QO21,"A"))*4)+((COUNTIF('Elève (5ème4)'!QM21:QO21,"B"))*3)+((COUNTIF('Elève (5ème4)'!QM21:QO21,"C"))*2)+((COUNTIF('Elève (5ème4)'!QM21:QO21,"D"))*1))/(COUNTA(QM21:QO21)),"")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(5ème4)'!QT21:QV21,"A"))*4)+((COUNTIF('Elève (5ème4)'!QT21:QV21,"B"))*3)+((COUNTIF('Elève (5ème4)'!QT21:QV21,"C"))*2)+((COUNTIF('Elève (5ème4)'!QT21:QV21,"D"))*1))/(COUNTA(QT21:QV21)),"")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(5ème4)'!QY21:RA21,"A"))*4)+((COUNTIF('Elève (5ème4)'!QY21:RA21,"B"))*3)+((COUNTIF('Elève (5ème4)'!QY21:RA21,"C"))*2)+((COUNTIF('Elève (5ème4)'!QY21:RA21,"D"))*1))/(COUNTA(QY21:RA21)),"")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(5ème4)'!RD21:RF21,"A"))*4)+((COUNTIF('Elève (5ème4)'!RD21:RF21,"B"))*3)+((COUNTIF('Elève (5ème4)'!RD21:RF21,"C"))*2)+((COUNTIF('Elève (5ème4)'!RD21:RF21,"D"))*1))/(COUNTA(RD21:RF21)),"")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(5ème4)'!RK21:RM21,"A"))*4)+((COUNTIF('Elève (5ème4)'!RK21:RM21,"B"))*3)+((COUNTIF('Elève (5ème4)'!RK21:RM21,"C"))*2)+((COUNTIF('Elève (5ème4)'!RK21:RM21,"D"))*1))/(COUNTA(RK21:RM21)),"")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(5ème4)'!RP21:RR21,"A"))*4)+((COUNTIF('Elève (5ème4)'!RP21:RR21,"B"))*3)+((COUNTIF('Elève (5ème4)'!RP21:RR21,"C"))*2)+((COUNTIF('Elève (5ème4)'!RP21:RR21,"D"))*1))/(COUNTA(RP21:RR21)),"")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(5ème4)'!RU21:RW21,"A"))*4)+((COUNTIF('Elève (5ème4)'!RU21:RW21,"B"))*3)+((COUNTIF('Elève (5ème4)'!RU21:RW21,"C"))*2)+((COUNTIF('Elève (5ème4)'!RU21:RW21,"D"))*1))/(COUNTA(RU21:RW21)),"")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(5ème4)'!SB21:SD21,"A"))*4)+((COUNTIF('Elève (5ème4)'!SB21:SD21,"B"))*3)+((COUNTIF('Elève (5ème4)'!SB21:SD21,"C"))*2)+((COUNTIF('Elève (5ème4)'!SB21:SD21,"D"))*1))/(COUNTA(SB21:SD21)),"")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(5ème4)'!SG21:SI21,"A"))*4)+((COUNTIF('Elève (5ème4)'!SG21:SI21,"B"))*3)+((COUNTIF('Elève (5ème4)'!SG21:SI21,"C"))*2)+((COUNTIF('Elève (5ème4)'!SG21:SI21,"D"))*1))/(COUNTA(SG21:SI21)),"")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(5ème4)'!SL21:SN21,"A"))*4)+((COUNTIF('Elève (5ème4)'!SL21:SN21,"B"))*3)+((COUNTIF('Elève (5ème4)'!SL21:SN21,"C"))*2)+((COUNTIF('Elève (5ème4)'!SL21:SN21,"D"))*1))/(COUNTA(SL21:SN21)),"")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31" t="s">
        <v>26</v>
      </c>
      <c r="B22" s="232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8WQSCQw4ryP+uWsRpDbzA9t1RgPi8Rasu7S4QUNYwnGi7uoIzGN8ij5KCPTGFKP8lcYUpIVJ1iOAug+jgPuvGQ==" saltValue="xvJ35n50b06302aA0/4Qdg==" spinCount="100000" sheet="1" insertColumns="0" deleteColumns="0" selectLockedCells="1"/>
  <dataConsolidate/>
  <mergeCells count="15">
    <mergeCell ref="A9:B9"/>
    <mergeCell ref="A1:B1"/>
    <mergeCell ref="A5:B5"/>
    <mergeCell ref="A6:B6"/>
    <mergeCell ref="A7:B7"/>
    <mergeCell ref="A8:B8"/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AC33"/>
  <sheetViews>
    <sheetView topLeftCell="A9"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217</v>
      </c>
      <c r="B1" s="206" t="s">
        <v>0</v>
      </c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7"/>
      <c r="AC1" s="38" t="s">
        <v>40</v>
      </c>
    </row>
    <row r="2" spans="1:29" ht="24.95" customHeight="1" thickTop="1" x14ac:dyDescent="0.25">
      <c r="A2" s="208" t="s">
        <v>1</v>
      </c>
      <c r="B2" s="210" t="s">
        <v>2</v>
      </c>
      <c r="C2" s="210"/>
      <c r="D2" s="210"/>
      <c r="E2" s="211"/>
      <c r="F2" s="212" t="s">
        <v>3</v>
      </c>
      <c r="G2" s="213"/>
      <c r="H2" s="213"/>
      <c r="I2" s="214"/>
      <c r="J2" s="212" t="s">
        <v>4</v>
      </c>
      <c r="K2" s="213"/>
      <c r="L2" s="213"/>
      <c r="M2" s="214"/>
      <c r="N2" s="212" t="s">
        <v>5</v>
      </c>
      <c r="O2" s="213"/>
      <c r="P2" s="213"/>
      <c r="Q2" s="214"/>
      <c r="R2" s="212" t="s">
        <v>6</v>
      </c>
      <c r="S2" s="213"/>
      <c r="T2" s="213"/>
      <c r="U2" s="214"/>
      <c r="V2" s="215" t="s">
        <v>38</v>
      </c>
      <c r="W2" s="216"/>
      <c r="X2" s="217"/>
      <c r="Y2" s="218" t="s">
        <v>36</v>
      </c>
      <c r="Z2" s="219"/>
      <c r="AA2" s="220"/>
      <c r="AC2" s="47" t="s">
        <v>61</v>
      </c>
    </row>
    <row r="3" spans="1:29" ht="24.95" customHeight="1" thickBot="1" x14ac:dyDescent="0.3">
      <c r="A3" s="209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46</v>
      </c>
    </row>
    <row r="4" spans="1:29" ht="15.75" customHeight="1" thickTop="1" x14ac:dyDescent="0.25">
      <c r="A4" s="44" t="str">
        <f ca="1">CELL("contenu",INDIRECT(ADDRESS(ROW()-2,9,1,,CELL("contenu",$AC$3))))</f>
        <v>BLED Alexandre</v>
      </c>
      <c r="B4" s="1" t="str">
        <f ca="1">CELL("contenu",INDIRECT(ADDRESS(ref!$K$3,ref!E3,1,,CELL("contenu",$AC$2))))</f>
        <v>B</v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>B</v>
      </c>
      <c r="F4" s="5" t="str">
        <f ca="1">CELL("contenu",INDIRECT(ADDRESS(ref!$K$4,ref!E3,1,,CELL("contenu",$AC$2))))</f>
        <v>B</v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>B</v>
      </c>
      <c r="J4" s="5" t="str">
        <f ca="1">CELL("contenu",INDIRECT(ADDRESS(ref!$K$5,ref!E3,1,,CELL("contenu",$AC$2))))</f>
        <v>B</v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>B</v>
      </c>
      <c r="N4" s="5" t="str">
        <f ca="1">CELL("contenu",INDIRECT(ADDRESS(ref!$K$6,ref!E3,1,,CELL("contenu",$AC$2))))</f>
        <v>A</v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>A</v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>
        <f ca="1">CELL("contenu",INDIRECT(ADDRESS(ref!$K$8,ref!E3,1,,CELL("contenu",$AC$2))))</f>
        <v>16.875</v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>B</v>
      </c>
      <c r="Z4" s="3" t="str">
        <f ca="1">CELL("contenu",INDIRECT(ADDRESS(ref!$K$10,ref!H3,1,,CELL("contenu",$AC$2))))</f>
        <v>B</v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CELL("contenu",INDIRECT(ADDRESS(ROW()-2,9,1,,CELL("contenu",$AC$3))))</f>
        <v>BOUE Lucie</v>
      </c>
      <c r="B5" s="1" t="str">
        <f ca="1">CELL("contenu",INDIRECT(ADDRESS(ref!$K$3,ref!E4,1,,CELL("contenu",$AC$2))))</f>
        <v>B</v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>B</v>
      </c>
      <c r="F5" s="5" t="str">
        <f ca="1">CELL("contenu",INDIRECT(ADDRESS(ref!$K$4,ref!E4,1,,CELL("contenu",$AC$2))))</f>
        <v>A</v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>A</v>
      </c>
      <c r="J5" s="5" t="str">
        <f ca="1">CELL("contenu",INDIRECT(ADDRESS(ref!$K$5,ref!E4,1,,CELL("contenu",$AC$2))))</f>
        <v>A</v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>A</v>
      </c>
      <c r="N5" s="5" t="str">
        <f ca="1">CELL("contenu",INDIRECT(ADDRESS(ref!$K$6,ref!E4,1,,CELL("contenu",$AC$2))))</f>
        <v>A</v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>A</v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>
        <f ca="1">CELL("contenu",INDIRECT(ADDRESS(ref!$K$8,ref!E4,1,,CELL("contenu",$AC$2))))</f>
        <v>18.75</v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>A</v>
      </c>
      <c r="Z5" s="3" t="str">
        <f ca="1">CELL("contenu",INDIRECT(ADDRESS(ref!$K$10,ref!H4,1,,CELL("contenu",$AC$2))))</f>
        <v>A</v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BOUFELLAH Sylia</v>
      </c>
      <c r="B6" s="1" t="str">
        <f ca="1">CELL("contenu",INDIRECT(ADDRESS(ref!$K$3,ref!E5,1,,CELL("contenu",$AC$2))))</f>
        <v>C</v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>C</v>
      </c>
      <c r="F6" s="5" t="str">
        <f ca="1">CELL("contenu",INDIRECT(ADDRESS(ref!$K$4,ref!E5,1,,CELL("contenu",$AC$2))))</f>
        <v>C</v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>C</v>
      </c>
      <c r="J6" s="5" t="str">
        <f ca="1">CELL("contenu",INDIRECT(ADDRESS(ref!$K$5,ref!E5,1,,CELL("contenu",$AC$2))))</f>
        <v>C</v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>C</v>
      </c>
      <c r="N6" s="5" t="str">
        <f ca="1">CELL("contenu",INDIRECT(ADDRESS(ref!$K$6,ref!E5,1,,CELL("contenu",$AC$2))))</f>
        <v>B</v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>B</v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>
        <f ca="1">CELL("contenu",INDIRECT(ADDRESS(ref!$K$8,ref!E5,1,,CELL("contenu",$AC$2))))</f>
        <v>11.875</v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>C</v>
      </c>
      <c r="Z6" s="3" t="str">
        <f ca="1">CELL("contenu",INDIRECT(ADDRESS(ref!$K$10,ref!H5,1,,CELL("contenu",$AC$2))))</f>
        <v>C</v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BRAULT Amaury</v>
      </c>
      <c r="B7" s="1" t="str">
        <f ca="1">CELL("contenu",INDIRECT(ADDRESS(ref!$K$3,ref!E6,1,,CELL("contenu",$AC$2))))</f>
        <v>B</v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>B</v>
      </c>
      <c r="F7" s="5" t="str">
        <f ca="1">CELL("contenu",INDIRECT(ADDRESS(ref!$K$4,ref!E6,1,,CELL("contenu",$AC$2))))</f>
        <v>A</v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>A</v>
      </c>
      <c r="J7" s="5" t="str">
        <f ca="1">CELL("contenu",INDIRECT(ADDRESS(ref!$K$5,ref!E6,1,,CELL("contenu",$AC$2))))</f>
        <v>A</v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>A</v>
      </c>
      <c r="N7" s="5" t="str">
        <f ca="1">CELL("contenu",INDIRECT(ADDRESS(ref!$K$6,ref!E6,1,,CELL("contenu",$AC$2))))</f>
        <v>A</v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>A</v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>
        <f ca="1">CELL("contenu",INDIRECT(ADDRESS(ref!$K$8,ref!E6,1,,CELL("contenu",$AC$2))))</f>
        <v>18.75</v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>A</v>
      </c>
      <c r="Z7" s="3" t="str">
        <f ca="1">CELL("contenu",INDIRECT(ADDRESS(ref!$K$10,ref!H6,1,,CELL("contenu",$AC$2))))</f>
        <v>A</v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BRENNETOT Marie</v>
      </c>
      <c r="B8" s="1" t="str">
        <f ca="1">CELL("contenu",INDIRECT(ADDRESS(ref!$K$3,ref!E7,1,,CELL("contenu",$AC$2))))</f>
        <v>B</v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>B</v>
      </c>
      <c r="F8" s="5" t="str">
        <f ca="1">CELL("contenu",INDIRECT(ADDRESS(ref!$K$4,ref!E7,1,,CELL("contenu",$AC$2))))</f>
        <v>A</v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>A</v>
      </c>
      <c r="J8" s="5" t="str">
        <f ca="1">CELL("contenu",INDIRECT(ADDRESS(ref!$K$5,ref!E7,1,,CELL("contenu",$AC$2))))</f>
        <v>B</v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>B</v>
      </c>
      <c r="N8" s="5" t="str">
        <f ca="1">CELL("contenu",INDIRECT(ADDRESS(ref!$K$6,ref!E7,1,,CELL("contenu",$AC$2))))</f>
        <v>A</v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>A</v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>
        <f ca="1">CELL("contenu",INDIRECT(ADDRESS(ref!$K$8,ref!E7,1,,CELL("contenu",$AC$2))))</f>
        <v>18.125</v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>A</v>
      </c>
      <c r="Z8" s="3" t="str">
        <f ca="1">CELL("contenu",INDIRECT(ADDRESS(ref!$K$10,ref!H7,1,,CELL("contenu",$AC$2))))</f>
        <v>A</v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CHAPRON Elise</v>
      </c>
      <c r="B9" s="1" t="str">
        <f ca="1">CELL("contenu",INDIRECT(ADDRESS(ref!$K$3,ref!E8,1,,CELL("contenu",$AC$2))))</f>
        <v>B</v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>B</v>
      </c>
      <c r="F9" s="5" t="str">
        <f ca="1">CELL("contenu",INDIRECT(ADDRESS(ref!$K$4,ref!E8,1,,CELL("contenu",$AC$2))))</f>
        <v>B</v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>B</v>
      </c>
      <c r="J9" s="5" t="str">
        <f ca="1">CELL("contenu",INDIRECT(ADDRESS(ref!$K$5,ref!E8,1,,CELL("contenu",$AC$2))))</f>
        <v>C</v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>C</v>
      </c>
      <c r="N9" s="5" t="str">
        <f ca="1">CELL("contenu",INDIRECT(ADDRESS(ref!$K$6,ref!E8,1,,CELL("contenu",$AC$2))))</f>
        <v>B</v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>B</v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>
        <f ca="1">CELL("contenu",INDIRECT(ADDRESS(ref!$K$8,ref!E8,1,,CELL("contenu",$AC$2))))</f>
        <v>14.375</v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>B</v>
      </c>
      <c r="Z9" s="3" t="str">
        <f ca="1">CELL("contenu",INDIRECT(ADDRESS(ref!$K$10,ref!H8,1,,CELL("contenu",$AC$2))))</f>
        <v>B</v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CHATELAIN Antoine</v>
      </c>
      <c r="B10" s="1" t="str">
        <f ca="1">CELL("contenu",INDIRECT(ADDRESS(ref!$K$3,ref!E9,1,,CELL("contenu",$AC$2))))</f>
        <v>B</v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>B</v>
      </c>
      <c r="F10" s="5" t="str">
        <f ca="1">CELL("contenu",INDIRECT(ADDRESS(ref!$K$4,ref!E9,1,,CELL("contenu",$AC$2))))</f>
        <v>B</v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>B</v>
      </c>
      <c r="J10" s="5" t="str">
        <f ca="1">CELL("contenu",INDIRECT(ADDRESS(ref!$K$5,ref!E9,1,,CELL("contenu",$AC$2))))</f>
        <v>A</v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>A</v>
      </c>
      <c r="N10" s="5" t="str">
        <f ca="1">CELL("contenu",INDIRECT(ADDRESS(ref!$K$6,ref!E9,1,,CELL("contenu",$AC$2))))</f>
        <v>A</v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>A</v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>
        <f ca="1">CELL("contenu",INDIRECT(ADDRESS(ref!$K$8,ref!E9,1,,CELL("contenu",$AC$2))))</f>
        <v>18.125</v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>B</v>
      </c>
      <c r="Z10" s="3" t="str">
        <f ca="1">CELL("contenu",INDIRECT(ADDRESS(ref!$K$10,ref!H9,1,,CELL("contenu",$AC$2))))</f>
        <v>A</v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COFFI-BOTREAU Eloise</v>
      </c>
      <c r="B11" s="1" t="str">
        <f ca="1">CELL("contenu",INDIRECT(ADDRESS(ref!$K$3,ref!E10,1,,CELL("contenu",$AC$2))))</f>
        <v>B</v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>B</v>
      </c>
      <c r="F11" s="5" t="str">
        <f ca="1">CELL("contenu",INDIRECT(ADDRESS(ref!$K$4,ref!E10,1,,CELL("contenu",$AC$2))))</f>
        <v>A</v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>A</v>
      </c>
      <c r="J11" s="5" t="str">
        <f ca="1">CELL("contenu",INDIRECT(ADDRESS(ref!$K$5,ref!E10,1,,CELL("contenu",$AC$2))))</f>
        <v>B</v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>B</v>
      </c>
      <c r="N11" s="5" t="str">
        <f ca="1">CELL("contenu",INDIRECT(ADDRESS(ref!$K$6,ref!E10,1,,CELL("contenu",$AC$2))))</f>
        <v>A</v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>A</v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>
        <f ca="1">CELL("contenu",INDIRECT(ADDRESS(ref!$K$8,ref!E10,1,,CELL("contenu",$AC$2))))</f>
        <v>18.125</v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>A</v>
      </c>
      <c r="Z11" s="3" t="str">
        <f ca="1">CELL("contenu",INDIRECT(ADDRESS(ref!$K$10,ref!H10,1,,CELL("contenu",$AC$2))))</f>
        <v>A</v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COSTA Jose</v>
      </c>
      <c r="B12" s="1" t="str">
        <f ca="1">CELL("contenu",INDIRECT(ADDRESS(ref!$K$3,ref!E11,1,,CELL("contenu",$AC$2))))</f>
        <v>B</v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>B</v>
      </c>
      <c r="F12" s="5" t="str">
        <f ca="1">CELL("contenu",INDIRECT(ADDRESS(ref!$K$4,ref!E11,1,,CELL("contenu",$AC$2))))</f>
        <v>B</v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>B</v>
      </c>
      <c r="J12" s="5" t="str">
        <f ca="1">CELL("contenu",INDIRECT(ADDRESS(ref!$K$5,ref!E11,1,,CELL("contenu",$AC$2))))</f>
        <v>B</v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>B</v>
      </c>
      <c r="N12" s="5" t="str">
        <f ca="1">CELL("contenu",INDIRECT(ADDRESS(ref!$K$6,ref!E11,1,,CELL("contenu",$AC$2))))</f>
        <v>A</v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>A</v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>
        <f ca="1">CELL("contenu",INDIRECT(ADDRESS(ref!$K$8,ref!E11,1,,CELL("contenu",$AC$2))))</f>
        <v>17.5</v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>B</v>
      </c>
      <c r="Z12" s="3" t="str">
        <f ca="1">CELL("contenu",INDIRECT(ADDRESS(ref!$K$10,ref!H11,1,,CELL("contenu",$AC$2))))</f>
        <v>A</v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COSTA Paul</v>
      </c>
      <c r="B13" s="1" t="str">
        <f ca="1">CELL("contenu",INDIRECT(ADDRESS(ref!$K$3,ref!E12,1,,CELL("contenu",$AC$2))))</f>
        <v>B</v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>B</v>
      </c>
      <c r="F13" s="5" t="str">
        <f ca="1">CELL("contenu",INDIRECT(ADDRESS(ref!$K$4,ref!E12,1,,CELL("contenu",$AC$2))))</f>
        <v>A</v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>A</v>
      </c>
      <c r="J13" s="5" t="str">
        <f ca="1">CELL("contenu",INDIRECT(ADDRESS(ref!$K$5,ref!E12,1,,CELL("contenu",$AC$2))))</f>
        <v>A</v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>A</v>
      </c>
      <c r="N13" s="5" t="str">
        <f ca="1">CELL("contenu",INDIRECT(ADDRESS(ref!$K$6,ref!E12,1,,CELL("contenu",$AC$2))))</f>
        <v>A</v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>A</v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>
        <f ca="1">CELL("contenu",INDIRECT(ADDRESS(ref!$K$8,ref!E12,1,,CELL("contenu",$AC$2))))</f>
        <v>18.75</v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>A</v>
      </c>
      <c r="Z13" s="3" t="str">
        <f ca="1">CELL("contenu",INDIRECT(ADDRESS(ref!$K$10,ref!H12,1,,CELL("contenu",$AC$2))))</f>
        <v>A</v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DEVANNEAUX Amandine</v>
      </c>
      <c r="B14" s="1" t="str">
        <f ca="1">CELL("contenu",INDIRECT(ADDRESS(ref!$K$3,ref!E13,1,,CELL("contenu",$AC$2))))</f>
        <v>B</v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>B</v>
      </c>
      <c r="F14" s="5" t="str">
        <f ca="1">CELL("contenu",INDIRECT(ADDRESS(ref!$K$4,ref!E13,1,,CELL("contenu",$AC$2))))</f>
        <v>A</v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>A</v>
      </c>
      <c r="J14" s="5" t="str">
        <f ca="1">CELL("contenu",INDIRECT(ADDRESS(ref!$K$5,ref!E13,1,,CELL("contenu",$AC$2))))</f>
        <v>A</v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>A</v>
      </c>
      <c r="N14" s="5" t="str">
        <f ca="1">CELL("contenu",INDIRECT(ADDRESS(ref!$K$6,ref!E13,1,,CELL("contenu",$AC$2))))</f>
        <v>A</v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>A</v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>
        <f ca="1">CELL("contenu",INDIRECT(ADDRESS(ref!$K$8,ref!E13,1,,CELL("contenu",$AC$2))))</f>
        <v>18.75</v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>A</v>
      </c>
      <c r="Z14" s="3" t="str">
        <f ca="1">CELL("contenu",INDIRECT(ADDRESS(ref!$K$10,ref!H13,1,,CELL("contenu",$AC$2))))</f>
        <v>A</v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DUBOCQ Tristan</v>
      </c>
      <c r="B15" s="1" t="str">
        <f ca="1">CELL("contenu",INDIRECT(ADDRESS(ref!$K$3,ref!E14,1,,CELL("contenu",$AC$2))))</f>
        <v>B</v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>B</v>
      </c>
      <c r="F15" s="5" t="str">
        <f ca="1">CELL("contenu",INDIRECT(ADDRESS(ref!$K$4,ref!E14,1,,CELL("contenu",$AC$2))))</f>
        <v>B</v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>B</v>
      </c>
      <c r="J15" s="5" t="str">
        <f ca="1">CELL("contenu",INDIRECT(ADDRESS(ref!$K$5,ref!E14,1,,CELL("contenu",$AC$2))))</f>
        <v>C</v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>C</v>
      </c>
      <c r="N15" s="5" t="str">
        <f ca="1">CELL("contenu",INDIRECT(ADDRESS(ref!$K$6,ref!E14,1,,CELL("contenu",$AC$2))))</f>
        <v>A</v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>A</v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>
        <f ca="1">CELL("contenu",INDIRECT(ADDRESS(ref!$K$8,ref!E14,1,,CELL("contenu",$AC$2))))</f>
        <v>16.25</v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>C</v>
      </c>
      <c r="Z15" s="3" t="str">
        <f ca="1">CELL("contenu",INDIRECT(ADDRESS(ref!$K$10,ref!H14,1,,CELL("contenu",$AC$2))))</f>
        <v>A</v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DUFOUR Nehemie</v>
      </c>
      <c r="B16" s="1" t="str">
        <f ca="1">CELL("contenu",INDIRECT(ADDRESS(ref!$K$3,ref!E15,1,,CELL("contenu",$AC$2))))</f>
        <v>B</v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>B</v>
      </c>
      <c r="F16" s="5" t="str">
        <f ca="1">CELL("contenu",INDIRECT(ADDRESS(ref!$K$4,ref!E15,1,,CELL("contenu",$AC$2))))</f>
        <v>A</v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>A</v>
      </c>
      <c r="J16" s="5" t="str">
        <f ca="1">CELL("contenu",INDIRECT(ADDRESS(ref!$K$5,ref!E15,1,,CELL("contenu",$AC$2))))</f>
        <v>B</v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>B</v>
      </c>
      <c r="N16" s="5" t="str">
        <f ca="1">CELL("contenu",INDIRECT(ADDRESS(ref!$K$6,ref!E15,1,,CELL("contenu",$AC$2))))</f>
        <v>A</v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>A</v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>
        <f ca="1">CELL("contenu",INDIRECT(ADDRESS(ref!$K$8,ref!E15,1,,CELL("contenu",$AC$2))))</f>
        <v>18.125</v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>A</v>
      </c>
      <c r="Z16" s="3" t="str">
        <f ca="1">CELL("contenu",INDIRECT(ADDRESS(ref!$K$10,ref!H15,1,,CELL("contenu",$AC$2))))</f>
        <v>A</v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GOUVAZE Aristide</v>
      </c>
      <c r="B17" s="1" t="str">
        <f ca="1">CELL("contenu",INDIRECT(ADDRESS(ref!$K$3,ref!E16,1,,CELL("contenu",$AC$2))))</f>
        <v>A</v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>A</v>
      </c>
      <c r="F17" s="5" t="str">
        <f ca="1">CELL("contenu",INDIRECT(ADDRESS(ref!$K$4,ref!E16,1,,CELL("contenu",$AC$2))))</f>
        <v>A</v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>A</v>
      </c>
      <c r="J17" s="5" t="str">
        <f ca="1">CELL("contenu",INDIRECT(ADDRESS(ref!$K$5,ref!E16,1,,CELL("contenu",$AC$2))))</f>
        <v>A</v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>A</v>
      </c>
      <c r="N17" s="5" t="str">
        <f ca="1">CELL("contenu",INDIRECT(ADDRESS(ref!$K$6,ref!E16,1,,CELL("contenu",$AC$2))))</f>
        <v>A</v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>A</v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>
        <f ca="1">CELL("contenu",INDIRECT(ADDRESS(ref!$K$8,ref!E16,1,,CELL("contenu",$AC$2))))</f>
        <v>20</v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>A</v>
      </c>
      <c r="Z17" s="3" t="str">
        <f ca="1">CELL("contenu",INDIRECT(ADDRESS(ref!$K$10,ref!H16,1,,CELL("contenu",$AC$2))))</f>
        <v>A</v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GUILLARD Honore</v>
      </c>
      <c r="B18" s="1" t="str">
        <f ca="1">CELL("contenu",INDIRECT(ADDRESS(ref!$K$3,ref!E17,1,,CELL("contenu",$AC$2))))</f>
        <v>B</v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>B</v>
      </c>
      <c r="F18" s="5" t="str">
        <f ca="1">CELL("contenu",INDIRECT(ADDRESS(ref!$K$4,ref!E17,1,,CELL("contenu",$AC$2))))</f>
        <v>A</v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>A</v>
      </c>
      <c r="J18" s="5" t="str">
        <f ca="1">CELL("contenu",INDIRECT(ADDRESS(ref!$K$5,ref!E17,1,,CELL("contenu",$AC$2))))</f>
        <v>A</v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>A</v>
      </c>
      <c r="N18" s="5" t="str">
        <f ca="1">CELL("contenu",INDIRECT(ADDRESS(ref!$K$6,ref!E17,1,,CELL("contenu",$AC$2))))</f>
        <v>A</v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>A</v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>
        <f ca="1">CELL("contenu",INDIRECT(ADDRESS(ref!$K$8,ref!E17,1,,CELL("contenu",$AC$2))))</f>
        <v>18.75</v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>A</v>
      </c>
      <c r="Z18" s="3" t="str">
        <f ca="1">CELL("contenu",INDIRECT(ADDRESS(ref!$K$10,ref!H17,1,,CELL("contenu",$AC$2))))</f>
        <v>A</v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HURE Marie-Lys</v>
      </c>
      <c r="B19" s="1" t="str">
        <f ca="1">CELL("contenu",INDIRECT(ADDRESS(ref!$K$3,ref!E18,1,,CELL("contenu",$AC$2))))</f>
        <v>B</v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>B</v>
      </c>
      <c r="F19" s="5" t="str">
        <f ca="1">CELL("contenu",INDIRECT(ADDRESS(ref!$K$4,ref!E18,1,,CELL("contenu",$AC$2))))</f>
        <v>A</v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>A</v>
      </c>
      <c r="J19" s="5" t="str">
        <f ca="1">CELL("contenu",INDIRECT(ADDRESS(ref!$K$5,ref!E18,1,,CELL("contenu",$AC$2))))</f>
        <v>A</v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>A</v>
      </c>
      <c r="N19" s="5" t="str">
        <f ca="1">CELL("contenu",INDIRECT(ADDRESS(ref!$K$6,ref!E18,1,,CELL("contenu",$AC$2))))</f>
        <v>A</v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>A</v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>
        <f ca="1">CELL("contenu",INDIRECT(ADDRESS(ref!$K$8,ref!E18,1,,CELL("contenu",$AC$2))))</f>
        <v>18.75</v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>A</v>
      </c>
      <c r="Z19" s="3" t="str">
        <f ca="1">CELL("contenu",INDIRECT(ADDRESS(ref!$K$10,ref!H18,1,,CELL("contenu",$AC$2))))</f>
        <v>A</v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KARADJIAN Eva</v>
      </c>
      <c r="B20" s="1" t="str">
        <f ca="1">CELL("contenu",INDIRECT(ADDRESS(ref!$K$3,ref!E19,1,,CELL("contenu",$AC$2))))</f>
        <v>B</v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>B</v>
      </c>
      <c r="F20" s="5" t="str">
        <f ca="1">CELL("contenu",INDIRECT(ADDRESS(ref!$K$4,ref!E19,1,,CELL("contenu",$AC$2))))</f>
        <v>A</v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>A</v>
      </c>
      <c r="J20" s="5" t="str">
        <f ca="1">CELL("contenu",INDIRECT(ADDRESS(ref!$K$5,ref!E19,1,,CELL("contenu",$AC$2))))</f>
        <v>B</v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>B</v>
      </c>
      <c r="N20" s="5" t="str">
        <f ca="1">CELL("contenu",INDIRECT(ADDRESS(ref!$K$6,ref!E19,1,,CELL("contenu",$AC$2))))</f>
        <v>A</v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>A</v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>
        <f ca="1">CELL("contenu",INDIRECT(ADDRESS(ref!$K$8,ref!E19,1,,CELL("contenu",$AC$2))))</f>
        <v>18.125</v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>A</v>
      </c>
      <c r="Z20" s="3" t="str">
        <f ca="1">CELL("contenu",INDIRECT(ADDRESS(ref!$K$10,ref!H19,1,,CELL("contenu",$AC$2))))</f>
        <v>A</v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LAGUIONIE Clea</v>
      </c>
      <c r="B21" s="1" t="str">
        <f ca="1">CELL("contenu",INDIRECT(ADDRESS(ref!$K$3,ref!E20,1,,CELL("contenu",$AC$2))))</f>
        <v>B</v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>B</v>
      </c>
      <c r="F21" s="5" t="str">
        <f ca="1">CELL("contenu",INDIRECT(ADDRESS(ref!$K$4,ref!E20,1,,CELL("contenu",$AC$2))))</f>
        <v>B</v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>B</v>
      </c>
      <c r="J21" s="5" t="str">
        <f ca="1">CELL("contenu",INDIRECT(ADDRESS(ref!$K$5,ref!E20,1,,CELL("contenu",$AC$2))))</f>
        <v>C</v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>C</v>
      </c>
      <c r="N21" s="5" t="str">
        <f ca="1">CELL("contenu",INDIRECT(ADDRESS(ref!$K$6,ref!E20,1,,CELL("contenu",$AC$2))))</f>
        <v>A</v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>A</v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>
        <f ca="1">CELL("contenu",INDIRECT(ADDRESS(ref!$K$8,ref!E20,1,,CELL("contenu",$AC$2))))</f>
        <v>16.875</v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>B</v>
      </c>
      <c r="Z21" s="3" t="str">
        <f ca="1">CELL("contenu",INDIRECT(ADDRESS(ref!$K$10,ref!H20,1,,CELL("contenu",$AC$2))))</f>
        <v>A</v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LANGLOIS Agathe</v>
      </c>
      <c r="B22" s="1" t="str">
        <f ca="1">CELL("contenu",INDIRECT(ADDRESS(ref!$K$3,ref!E21,1,,CELL("contenu",$AC$2))))</f>
        <v>B</v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>B</v>
      </c>
      <c r="F22" s="5" t="str">
        <f ca="1">CELL("contenu",INDIRECT(ADDRESS(ref!$K$4,ref!E21,1,,CELL("contenu",$AC$2))))</f>
        <v>A</v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>A</v>
      </c>
      <c r="J22" s="5" t="str">
        <f ca="1">CELL("contenu",INDIRECT(ADDRESS(ref!$K$5,ref!E21,1,,CELL("contenu",$AC$2))))</f>
        <v>A</v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>A</v>
      </c>
      <c r="N22" s="5" t="str">
        <f ca="1">CELL("contenu",INDIRECT(ADDRESS(ref!$K$6,ref!E21,1,,CELL("contenu",$AC$2))))</f>
        <v>A</v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>A</v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>
        <f ca="1">CELL("contenu",INDIRECT(ADDRESS(ref!$K$8,ref!E21,1,,CELL("contenu",$AC$2))))</f>
        <v>18.75</v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>A</v>
      </c>
      <c r="Z22" s="3" t="str">
        <f ca="1">CELL("contenu",INDIRECT(ADDRESS(ref!$K$10,ref!H21,1,,CELL("contenu",$AC$2))))</f>
        <v>A</v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LE MINTIER Maixent</v>
      </c>
      <c r="B23" s="1" t="str">
        <f ca="1">CELL("contenu",INDIRECT(ADDRESS(ref!$K$3,ref!E22,1,,CELL("contenu",$AC$2))))</f>
        <v>B</v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>B</v>
      </c>
      <c r="F23" s="5" t="str">
        <f ca="1">CELL("contenu",INDIRECT(ADDRESS(ref!$K$4,ref!E22,1,,CELL("contenu",$AC$2))))</f>
        <v>A</v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>A</v>
      </c>
      <c r="J23" s="5" t="str">
        <f ca="1">CELL("contenu",INDIRECT(ADDRESS(ref!$K$5,ref!E22,1,,CELL("contenu",$AC$2))))</f>
        <v>A</v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>A</v>
      </c>
      <c r="N23" s="5" t="str">
        <f ca="1">CELL("contenu",INDIRECT(ADDRESS(ref!$K$6,ref!E22,1,,CELL("contenu",$AC$2))))</f>
        <v>C</v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>C</v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>
        <f ca="1">CELL("contenu",INDIRECT(ADDRESS(ref!$K$8,ref!E22,1,,CELL("contenu",$AC$2))))</f>
        <v>15</v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>A</v>
      </c>
      <c r="Z23" s="3" t="str">
        <f ca="1">CELL("contenu",INDIRECT(ADDRESS(ref!$K$10,ref!H22,1,,CELL("contenu",$AC$2))))</f>
        <v>A</v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MAGNANT Leonie</v>
      </c>
      <c r="B24" s="1" t="str">
        <f ca="1">CELL("contenu",INDIRECT(ADDRESS(ref!$K$3,ref!E23,1,,CELL("contenu",$AC$2))))</f>
        <v>B</v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>B</v>
      </c>
      <c r="F24" s="5" t="str">
        <f ca="1">CELL("contenu",INDIRECT(ADDRESS(ref!$K$4,ref!E23,1,,CELL("contenu",$AC$2))))</f>
        <v>B</v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>B</v>
      </c>
      <c r="J24" s="5" t="str">
        <f ca="1">CELL("contenu",INDIRECT(ADDRESS(ref!$K$5,ref!E23,1,,CELL("contenu",$AC$2))))</f>
        <v>C</v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>C</v>
      </c>
      <c r="N24" s="5" t="str">
        <f ca="1">CELL("contenu",INDIRECT(ADDRESS(ref!$K$6,ref!E23,1,,CELL("contenu",$AC$2))))</f>
        <v>A</v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>A</v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>
        <f ca="1">CELL("contenu",INDIRECT(ADDRESS(ref!$K$8,ref!E23,1,,CELL("contenu",$AC$2))))</f>
        <v>16.875</v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>B</v>
      </c>
      <c r="Z24" s="3" t="str">
        <f ca="1">CELL("contenu",INDIRECT(ADDRESS(ref!$K$10,ref!H23,1,,CELL("contenu",$AC$2))))</f>
        <v>A</v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MARCHAND Antoine</v>
      </c>
      <c r="B25" s="1" t="str">
        <f ca="1">CELL("contenu",INDIRECT(ADDRESS(ref!$K$3,ref!E24,1,,CELL("contenu",$AC$2))))</f>
        <v>B</v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>B</v>
      </c>
      <c r="F25" s="5" t="str">
        <f ca="1">CELL("contenu",INDIRECT(ADDRESS(ref!$K$4,ref!E24,1,,CELL("contenu",$AC$2))))</f>
        <v>A</v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>A</v>
      </c>
      <c r="J25" s="5" t="str">
        <f ca="1">CELL("contenu",INDIRECT(ADDRESS(ref!$K$5,ref!E24,1,,CELL("contenu",$AC$2))))</f>
        <v>A</v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>A</v>
      </c>
      <c r="N25" s="5" t="str">
        <f ca="1">CELL("contenu",INDIRECT(ADDRESS(ref!$K$6,ref!E24,1,,CELL("contenu",$AC$2))))</f>
        <v>A</v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>A</v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>
        <f ca="1">CELL("contenu",INDIRECT(ADDRESS(ref!$K$8,ref!E24,1,,CELL("contenu",$AC$2))))</f>
        <v>18.75</v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>A</v>
      </c>
      <c r="Z25" s="3" t="str">
        <f ca="1">CELL("contenu",INDIRECT(ADDRESS(ref!$K$10,ref!H24,1,,CELL("contenu",$AC$2))))</f>
        <v>A</v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MARTINEZ Emilio</v>
      </c>
      <c r="B26" s="1" t="str">
        <f ca="1">CELL("contenu",INDIRECT(ADDRESS(ref!$K$3,ref!E25,1,,CELL("contenu",$AC$2))))</f>
        <v>B</v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>B</v>
      </c>
      <c r="F26" s="5" t="str">
        <f ca="1">CELL("contenu",INDIRECT(ADDRESS(ref!$K$4,ref!E25,1,,CELL("contenu",$AC$2))))</f>
        <v>A</v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>A</v>
      </c>
      <c r="J26" s="5" t="str">
        <f ca="1">CELL("contenu",INDIRECT(ADDRESS(ref!$K$5,ref!E25,1,,CELL("contenu",$AC$2))))</f>
        <v>A</v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>A</v>
      </c>
      <c r="N26" s="5" t="str">
        <f ca="1">CELL("contenu",INDIRECT(ADDRESS(ref!$K$6,ref!E25,1,,CELL("contenu",$AC$2))))</f>
        <v>A</v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>A</v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>
        <f ca="1">CELL("contenu",INDIRECT(ADDRESS(ref!$K$8,ref!E25,1,,CELL("contenu",$AC$2))))</f>
        <v>18.75</v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>A</v>
      </c>
      <c r="Z26" s="3" t="str">
        <f ca="1">CELL("contenu",INDIRECT(ADDRESS(ref!$K$10,ref!H25,1,,CELL("contenu",$AC$2))))</f>
        <v>A</v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ORSINI Robinson</v>
      </c>
      <c r="B27" s="1" t="str">
        <f ca="1">CELL("contenu",INDIRECT(ADDRESS(ref!$K$3,ref!E26,1,,CELL("contenu",$AC$2))))</f>
        <v>B</v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>B</v>
      </c>
      <c r="F27" s="5" t="str">
        <f ca="1">CELL("contenu",INDIRECT(ADDRESS(ref!$K$4,ref!E26,1,,CELL("contenu",$AC$2))))</f>
        <v>A</v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>A</v>
      </c>
      <c r="J27" s="5" t="str">
        <f ca="1">CELL("contenu",INDIRECT(ADDRESS(ref!$K$5,ref!E26,1,,CELL("contenu",$AC$2))))</f>
        <v>A</v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>A</v>
      </c>
      <c r="N27" s="5" t="str">
        <f ca="1">CELL("contenu",INDIRECT(ADDRESS(ref!$K$6,ref!E26,1,,CELL("contenu",$AC$2))))</f>
        <v>A</v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>A</v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>
        <f ca="1">CELL("contenu",INDIRECT(ADDRESS(ref!$K$8,ref!E26,1,,CELL("contenu",$AC$2))))</f>
        <v>18.75</v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>A</v>
      </c>
      <c r="Z27" s="3" t="str">
        <f ca="1">CELL("contenu",INDIRECT(ADDRESS(ref!$K$10,ref!H26,1,,CELL("contenu",$AC$2))))</f>
        <v>A</v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RAHARIMANANA Tantely</v>
      </c>
      <c r="B28" s="1" t="str">
        <f ca="1">CELL("contenu",INDIRECT(ADDRESS(ref!$K$3,ref!E27,1,,CELL("contenu",$AC$2))))</f>
        <v>A</v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>A</v>
      </c>
      <c r="F28" s="5" t="str">
        <f ca="1">CELL("contenu",INDIRECT(ADDRESS(ref!$K$4,ref!E27,1,,CELL("contenu",$AC$2))))</f>
        <v>A</v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>A</v>
      </c>
      <c r="J28" s="5" t="str">
        <f ca="1">CELL("contenu",INDIRECT(ADDRESS(ref!$K$5,ref!E27,1,,CELL("contenu",$AC$2))))</f>
        <v>A</v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>A</v>
      </c>
      <c r="N28" s="5" t="str">
        <f ca="1">CELL("contenu",INDIRECT(ADDRESS(ref!$K$6,ref!E27,1,,CELL("contenu",$AC$2))))</f>
        <v>A</v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>A</v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>
        <f ca="1">CELL("contenu",INDIRECT(ADDRESS(ref!$K$8,ref!E27,1,,CELL("contenu",$AC$2))))</f>
        <v>20</v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>A</v>
      </c>
      <c r="Z28" s="3" t="str">
        <f ca="1">CELL("contenu",INDIRECT(ADDRESS(ref!$K$10,ref!H27,1,,CELL("contenu",$AC$2))))</f>
        <v>A</v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ROUVRE Emma</v>
      </c>
      <c r="B29" s="1" t="str">
        <f ca="1">CELL("contenu",INDIRECT(ADDRESS(ref!$K$3,ref!E28,1,,CELL("contenu",$AC$2))))</f>
        <v>B</v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>B</v>
      </c>
      <c r="F29" s="5" t="str">
        <f ca="1">CELL("contenu",INDIRECT(ADDRESS(ref!$K$4,ref!E28,1,,CELL("contenu",$AC$2))))</f>
        <v>A</v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>A</v>
      </c>
      <c r="J29" s="5" t="str">
        <f ca="1">CELL("contenu",INDIRECT(ADDRESS(ref!$K$5,ref!E28,1,,CELL("contenu",$AC$2))))</f>
        <v>A</v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>A</v>
      </c>
      <c r="N29" s="5" t="str">
        <f ca="1">CELL("contenu",INDIRECT(ADDRESS(ref!$K$6,ref!E28,1,,CELL("contenu",$AC$2))))</f>
        <v>A</v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>A</v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>
        <f ca="1">CELL("contenu",INDIRECT(ADDRESS(ref!$K$8,ref!E28,1,,CELL("contenu",$AC$2))))</f>
        <v>18.75</v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>A</v>
      </c>
      <c r="Z29" s="3" t="str">
        <f ca="1">CELL("contenu",INDIRECT(ADDRESS(ref!$K$10,ref!H28,1,,CELL("contenu",$AC$2))))</f>
        <v>A</v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SAINT-JOURS Elena</v>
      </c>
      <c r="B30" s="1" t="str">
        <f ca="1">CELL("contenu",INDIRECT(ADDRESS(ref!$K$3,ref!E29,1,,CELL("contenu",$AC$2))))</f>
        <v>B</v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>B</v>
      </c>
      <c r="F30" s="5" t="str">
        <f ca="1">CELL("contenu",INDIRECT(ADDRESS(ref!$K$4,ref!E29,1,,CELL("contenu",$AC$2))))</f>
        <v>B</v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>B</v>
      </c>
      <c r="J30" s="5" t="str">
        <f ca="1">CELL("contenu",INDIRECT(ADDRESS(ref!$K$5,ref!E29,1,,CELL("contenu",$AC$2))))</f>
        <v>A</v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>A</v>
      </c>
      <c r="N30" s="5" t="str">
        <f ca="1">CELL("contenu",INDIRECT(ADDRESS(ref!$K$6,ref!E29,1,,CELL("contenu",$AC$2))))</f>
        <v>A</v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>A</v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>
        <f ca="1">CELL("contenu",INDIRECT(ADDRESS(ref!$K$8,ref!E29,1,,CELL("contenu",$AC$2))))</f>
        <v>17.5</v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>B</v>
      </c>
      <c r="Z30" s="3" t="str">
        <f ca="1">CELL("contenu",INDIRECT(ADDRESS(ref!$K$10,ref!H29,1,,CELL("contenu",$AC$2))))</f>
        <v>B</v>
      </c>
      <c r="AA30" s="7" t="str">
        <f ca="1">CELL("contenu",INDIRECT(ADDRESS(ref!$K$11,ref!H29,1,,CELL("contenu",$AC$2))))</f>
        <v/>
      </c>
    </row>
    <row r="31" spans="1:27" x14ac:dyDescent="0.25">
      <c r="A31" s="44" t="str">
        <f t="shared" ca="1" si="0"/>
        <v>TARRIERE EL HANNAOUI Lea</v>
      </c>
      <c r="B31" s="1" t="str">
        <f ca="1">CELL("contenu",INDIRECT(ADDRESS(ref!$K$3,ref!E30,1,,CELL("contenu",$AC$2))))</f>
        <v>A</v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>A</v>
      </c>
      <c r="F31" s="5" t="str">
        <f ca="1">CELL("contenu",INDIRECT(ADDRESS(ref!$K$4,ref!E30,1,,CELL("contenu",$AC$2))))</f>
        <v>A</v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>A</v>
      </c>
      <c r="J31" s="5" t="str">
        <f ca="1">CELL("contenu",INDIRECT(ADDRESS(ref!$K$5,ref!E30,1,,CELL("contenu",$AC$2))))</f>
        <v>A</v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>A</v>
      </c>
      <c r="N31" s="5" t="str">
        <f ca="1">CELL("contenu",INDIRECT(ADDRESS(ref!$K$6,ref!E30,1,,CELL("contenu",$AC$2))))</f>
        <v>A</v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>A</v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>
        <f ca="1">CELL("contenu",INDIRECT(ADDRESS(ref!$K$8,ref!E30,1,,CELL("contenu",$AC$2))))</f>
        <v>20</v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>A</v>
      </c>
      <c r="Z31" s="3" t="str">
        <f ca="1">CELL("contenu",INDIRECT(ADDRESS(ref!$K$10,ref!H30,1,,CELL("contenu",$AC$2))))</f>
        <v>A</v>
      </c>
      <c r="AA31" s="7" t="str">
        <f ca="1">CELL("contenu",INDIRECT(ADDRESS(ref!$K$11,ref!H30,1,,CELL("contenu",$AC$2))))</f>
        <v/>
      </c>
    </row>
    <row r="32" spans="1:27" x14ac:dyDescent="0.25">
      <c r="A32" s="44" t="str">
        <f t="shared" ca="1" si="0"/>
        <v>TOUSSAINT Pauline</v>
      </c>
      <c r="B32" s="1" t="str">
        <f ca="1">CELL("contenu",INDIRECT(ADDRESS(ref!$K$3,ref!E31,1,,CELL("contenu",$AC$2))))</f>
        <v>B</v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>B</v>
      </c>
      <c r="F32" s="5" t="str">
        <f ca="1">CELL("contenu",INDIRECT(ADDRESS(ref!$K$4,ref!E31,1,,CELL("contenu",$AC$2))))</f>
        <v>A</v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>A</v>
      </c>
      <c r="J32" s="5" t="str">
        <f ca="1">CELL("contenu",INDIRECT(ADDRESS(ref!$K$5,ref!E31,1,,CELL("contenu",$AC$2))))</f>
        <v>B</v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>B</v>
      </c>
      <c r="N32" s="5" t="str">
        <f ca="1">CELL("contenu",INDIRECT(ADDRESS(ref!$K$6,ref!E31,1,,CELL("contenu",$AC$2))))</f>
        <v>A</v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>A</v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>
        <f ca="1">CELL("contenu",INDIRECT(ADDRESS(ref!$K$8,ref!E31,1,,CELL("contenu",$AC$2))))</f>
        <v>18.125</v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>A</v>
      </c>
      <c r="Z32" s="3" t="str">
        <f ca="1">CELL("contenu",INDIRECT(ADDRESS(ref!$K$10,ref!H31,1,,CELL("contenu",$AC$2))))</f>
        <v>A</v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Bjk8s5bM8uqKMysRUw/n10Ts93ABKkNnC2oexzO/ytYoRaHawPRGGrXHpB5MMK0Mj9MklsMIPgNfNtS2SzqkGQ==" saltValue="jZP3uIWd9/DCLBm6v/s0pw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SR27"/>
  <sheetViews>
    <sheetView topLeftCell="A2" zoomScaleNormal="100" workbookViewId="0">
      <pane xSplit="2" topLeftCell="NB1" activePane="topRight" state="frozen"/>
      <selection activeCell="Y3" sqref="Y3:AA3"/>
      <selection pane="topRight" activeCell="NR18" sqref="NR18"/>
    </sheetView>
  </sheetViews>
  <sheetFormatPr baseColWidth="10" defaultColWidth="5.7109375" defaultRowHeight="15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23" t="s">
        <v>41</v>
      </c>
      <c r="B1" s="224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62</v>
      </c>
      <c r="C2" s="148" t="str">
        <f ca="1">IF(CELL("contenu",INDIRECT(ADDRESS(C1,1,1,1,CELL("contenu",$B$2))))="","----",CELL("contenu",INDIRECT(ADDRESS(C1,1,1,1,CELL("contenu",$B$2)))))</f>
        <v>BLED Alexandre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BOUE Lucie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BOUFELLAH Sylia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BRAULT Amaury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BRENNETOT Marie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CHAPRON Elise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CHATELAIN Antoine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COFFI-BOTREAU Eloise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COSTA Jose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COSTA Paul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DEVANNEAUX Amandine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DUBOCQ Tristan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DUFOUR Nehemie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GOUVAZE Aristide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GUILLARD Honore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HURE Marie-Lys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KARADJIAN Eva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LAGUIONIE Clea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LANGLOIS Agathe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LE MINTIER Maixent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MAGNANT Leonie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MARCHAND Antoine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MARTINEZ Emilio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ORSINI Robinson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RAHARIMANANA Tantely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ROUVRE Emma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SAINT-JOURS Elena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 t="str">
        <f ca="1">IF(CELL("contenu",INDIRECT(ADDRESS(QT1,1,1,1,CELL("contenu",$B$2))))="","----",CELL("contenu",INDIRECT(ADDRESS(QT1,1,1,1,CELL("contenu",$B$2)))))</f>
        <v>TARRIERE EL HANNAOUI Lea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 t="str">
        <f ca="1">IF(CELL("contenu",INDIRECT(ADDRESS(RK1,1,1,1,CELL("contenu",$B$2))))="","----",CELL("contenu",INDIRECT(ADDRESS(RK1,1,1,1,CELL("contenu",$B$2)))))</f>
        <v>TOUSSAINT Pauline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 t="s">
        <v>218</v>
      </c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>CH4/2</v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>CH4/2</v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>CH4/2</v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>CH4/2</v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>CH4/2</v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>CH4/2</v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>CH4/2</v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>CH4/2</v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>CH4/2</v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>CH4/2</v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>CH4/2</v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>CH4/2</v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>CH4/2</v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>CH4/2</v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>CH4/2</v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>CH4/2</v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>CH4/2</v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>CH4/2</v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>CH4/2</v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>CH4/2</v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>CH4/2</v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>CH4/2</v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>CH4/2</v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>CH4/2</v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>CH4/2</v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>CH4/2</v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>CH4/2</v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>CH4/2</v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>CH4/2</v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>
        <f>IFERROR((((COUNTIF('Elève (5ème6)'!C5:E9,"A"))*4)+((COUNTIF('Elève (5ème6)'!C5:E9,"B"))*3)+((COUNTIF('Elève (5ème6)'!C5:E9,"C"))*2)+((COUNTIF('Elève (5ème6)'!C5:E9,"D"))*1))/(COUNTA(C5:E9)),"")</f>
        <v>3</v>
      </c>
      <c r="G4" s="107" t="str">
        <f t="shared" ref="G4:G21" si="0">IF(F4="","",IF(F4&gt;3.7,"A",IF(F4&gt;2.8,"B",IF(F4&gt;1.5,"C",IF(F4&gt;0,"D",IF(F4=0,""))))))</f>
        <v>B</v>
      </c>
      <c r="H4" s="204"/>
      <c r="I4" s="186"/>
      <c r="J4" s="205"/>
      <c r="K4" s="106" t="str">
        <f>IFERROR((((COUNTIF('Elève (5ème6)'!H5:J9,"A"))*4)+((COUNTIF('Elève (5ème6)'!H5:J9,"B"))*3)+((COUNTIF('Elève (5ème6)'!H5:J9,"C"))*2)+((COUNTIF('Elève (5ème6)'!H5:J9,"D"))*1))/(COUNTA(H5:J9)),"")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(5ème6)'!M5:O9,"A"))*4)+((COUNTIF('Elève (5ème6)'!M5:O9,"B"))*3)+((COUNTIF('Elève (5ème6)'!M5:O9,"C"))*2)+((COUNTIF('Elève (5ème6)'!M5:O9,"D"))*1))/(COUNTA(M5:O9)),"")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>3</v>
      </c>
      <c r="S4" s="130" t="str">
        <f t="shared" ref="S4:S21" si="3">IF(R4="","",IF(R4&gt;3.7,"A",IF(R4&gt;2.8,"B",IF(R4&gt;1.5,"C",IF(R4&gt;0,"D",IF(R4=0,""))))))</f>
        <v>B</v>
      </c>
      <c r="T4" s="152"/>
      <c r="U4" s="185"/>
      <c r="V4" s="185"/>
      <c r="W4" s="106">
        <f>IFERROR((((COUNTIF('Elève (5ème6)'!T5:V9,"A"))*4)+((COUNTIF('Elève (5ème6)'!T5:V9,"B"))*3)+((COUNTIF('Elève (5ème6)'!T5:V9,"C"))*2)+((COUNTIF('Elève (5ème6)'!T5:V9,"D"))*1))/(COUNTA(T5:V9)),"")</f>
        <v>3</v>
      </c>
      <c r="X4" s="107" t="str">
        <f t="shared" ref="X4:X21" si="4">IF(W4="","",IF(W4&gt;3.7,"A",IF(W4&gt;2.8,"B",IF(W4&gt;1.5,"C",IF(W4&gt;0,"D",IF(W4=0,""))))))</f>
        <v>B</v>
      </c>
      <c r="Y4" s="204"/>
      <c r="Z4" s="186"/>
      <c r="AA4" s="205"/>
      <c r="AB4" s="106" t="str">
        <f>IFERROR((((COUNTIF('Elève (5ème6)'!Y5:AA9,"A"))*4)+((COUNTIF('Elève (5ème6)'!Y5:AA9,"B"))*3)+((COUNTIF('Elève (5ème6)'!Y5:AA9,"C"))*2)+((COUNTIF('Elève (5ème6)'!Y5:AA9,"D"))*1))/(COUNTA(Y5:AA9)),"")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(5ème6)'!AD5:AF9,"A"))*4)+((COUNTIF('Elève (5ème6)'!AD5:AF9,"B"))*3)+((COUNTIF('Elève (5ème6)'!AD5:AF9,"C"))*2)+((COUNTIF('Elève (5ème6)'!AD5:AF9,"D"))*1))/(COUNTA(AD5:AF9)),"")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>3</v>
      </c>
      <c r="AJ4" s="130" t="str">
        <f t="shared" ref="AJ4:AJ21" si="7">IF(AI4="","",IF(AI4&gt;3.7,"A",IF(AI4&gt;2.8,"B",IF(AI4&gt;1.5,"C",IF(AI4&gt;0,"D",IF(AI4=0,""))))))</f>
        <v>B</v>
      </c>
      <c r="AK4" s="152"/>
      <c r="AL4" s="185"/>
      <c r="AM4" s="185"/>
      <c r="AN4" s="106">
        <f>IFERROR((((COUNTIF('Elève (5ème6)'!AK5:AM9,"A"))*4)+((COUNTIF('Elève (5ème6)'!AK5:AM9,"B"))*3)+((COUNTIF('Elève (5ème6)'!AK5:AM9,"C"))*2)+((COUNTIF('Elève (5ème6)'!AK5:AM9,"D"))*1))/(COUNTA(AK5:AM9)),"")</f>
        <v>2</v>
      </c>
      <c r="AO4" s="107" t="str">
        <f t="shared" ref="AO4:AO21" si="8">IF(AN4="","",IF(AN4&gt;3.7,"A",IF(AN4&gt;2.8,"B",IF(AN4&gt;1.5,"C",IF(AN4&gt;0,"D",IF(AN4=0,""))))))</f>
        <v>C</v>
      </c>
      <c r="AP4" s="204"/>
      <c r="AQ4" s="186"/>
      <c r="AR4" s="205"/>
      <c r="AS4" s="106" t="str">
        <f>IFERROR((((COUNTIF('Elève (5ème6)'!AP5:AR9,"A"))*4)+((COUNTIF('Elève (5ème6)'!AP5:AR9,"B"))*3)+((COUNTIF('Elève (5ème6)'!AP5:AR9,"C"))*2)+((COUNTIF('Elève (5ème6)'!AP5:AR9,"D"))*1))/(COUNTA(AP5:AR9)),"")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(5ème6)'!AU5:AW9,"A"))*4)+((COUNTIF('Elève (5ème6)'!AU5:AW9,"B"))*3)+((COUNTIF('Elève (5ème6)'!AU5:AW9,"C"))*2)+((COUNTIF('Elève (5ème6)'!AU5:AW9,"D"))*1))/(COUNTA(AU5:AW9)),"")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>2</v>
      </c>
      <c r="BA4" s="130" t="str">
        <f t="shared" ref="BA4:BA21" si="11">IF(AZ4="","",IF(AZ4&gt;3.7,"A",IF(AZ4&gt;2.8,"B",IF(AZ4&gt;1.5,"C",IF(AZ4&gt;0,"D",IF(AZ4=0,""))))))</f>
        <v>C</v>
      </c>
      <c r="BB4" s="152"/>
      <c r="BC4" s="185"/>
      <c r="BD4" s="185"/>
      <c r="BE4" s="106">
        <f>IFERROR((((COUNTIF('Elève (5ème6)'!BB5:BD9,"A"))*4)+((COUNTIF('Elève (5ème6)'!BB5:BD9,"B"))*3)+((COUNTIF('Elève (5ème6)'!BB5:BD9,"C"))*2)+((COUNTIF('Elève (5ème6)'!BB5:BD9,"D"))*1))/(COUNTA(BB5:BD9)),"")</f>
        <v>3</v>
      </c>
      <c r="BF4" s="107" t="str">
        <f t="shared" ref="BF4:BF21" si="12">IF(BE4="","",IF(BE4&gt;3.7,"A",IF(BE4&gt;2.8,"B",IF(BE4&gt;1.5,"C",IF(BE4&gt;0,"D",IF(BE4=0,""))))))</f>
        <v>B</v>
      </c>
      <c r="BG4" s="204"/>
      <c r="BH4" s="186"/>
      <c r="BI4" s="205"/>
      <c r="BJ4" s="106" t="str">
        <f>IFERROR((((COUNTIF('Elève (5ème6)'!BG5:BI9,"A"))*4)+((COUNTIF('Elève (5ème6)'!BG5:BI9,"B"))*3)+((COUNTIF('Elève (5ème6)'!BG5:BI9,"C"))*2)+((COUNTIF('Elève (5ème6)'!BG5:BI9,"D"))*1))/(COUNTA(BG5:BI9)),"")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(5ème6)'!BL5:BN9,"A"))*4)+((COUNTIF('Elève (5ème6)'!BL5:BN9,"B"))*3)+((COUNTIF('Elève (5ème6)'!BL5:BN9,"C"))*2)+((COUNTIF('Elève (5ème6)'!BL5:BN9,"D"))*1))/(COUNTA(BL5:BN9)),"")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>3</v>
      </c>
      <c r="BR4" s="130" t="str">
        <f t="shared" ref="BR4:BR21" si="15">IF(BQ4="","",IF(BQ4&gt;3.7,"A",IF(BQ4&gt;2.8,"B",IF(BQ4&gt;1.5,"C",IF(BQ4&gt;0,"D",IF(BQ4=0,""))))))</f>
        <v>B</v>
      </c>
      <c r="BS4" s="152"/>
      <c r="BT4" s="185"/>
      <c r="BU4" s="185"/>
      <c r="BV4" s="106">
        <f>IFERROR((((COUNTIF('Elève (5ème6)'!BS5:BU9,"A"))*4)+((COUNTIF('Elève (5ème6)'!BS5:BU9,"B"))*3)+((COUNTIF('Elève (5ème6)'!BS5:BU9,"C"))*2)+((COUNTIF('Elève (5ème6)'!BS5:BU9,"D"))*1))/(COUNTA(BS5:BU9)),"")</f>
        <v>3</v>
      </c>
      <c r="BW4" s="107" t="str">
        <f t="shared" ref="BW4:BW21" si="16">IF(BV4="","",IF(BV4&gt;3.7,"A",IF(BV4&gt;2.8,"B",IF(BV4&gt;1.5,"C",IF(BV4&gt;0,"D",IF(BV4=0,""))))))</f>
        <v>B</v>
      </c>
      <c r="BX4" s="204"/>
      <c r="BY4" s="186"/>
      <c r="BZ4" s="205"/>
      <c r="CA4" s="106" t="str">
        <f>IFERROR((((COUNTIF('Elève (5ème6)'!BX5:BZ9,"A"))*4)+((COUNTIF('Elève (5ème6)'!BX5:BZ9,"B"))*3)+((COUNTIF('Elève (5ème6)'!BX5:BZ9,"C"))*2)+((COUNTIF('Elève (5ème6)'!BX5:BZ9,"D"))*1))/(COUNTA(BX5:BZ9)),"")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(5ème6)'!CC5:CE9,"A"))*4)+((COUNTIF('Elève (5ème6)'!CC5:CE9,"B"))*3)+((COUNTIF('Elève (5ème6)'!CC5:CE9,"C"))*2)+((COUNTIF('Elève (5ème6)'!CC5:CE9,"D"))*1))/(COUNTA(CC5:CE9)),"")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>3</v>
      </c>
      <c r="CI4" s="130" t="str">
        <f t="shared" ref="CI4:CI21" si="19">IF(CH4="","",IF(CH4&gt;3.7,"A",IF(CH4&gt;2.8,"B",IF(CH4&gt;1.5,"C",IF(CH4&gt;0,"D",IF(CH4=0,""))))))</f>
        <v>B</v>
      </c>
      <c r="CJ4" s="152"/>
      <c r="CK4" s="185"/>
      <c r="CL4" s="185"/>
      <c r="CM4" s="106">
        <f>IFERROR((((COUNTIF('Elève (5ème6)'!CJ5:CL9,"A"))*4)+((COUNTIF('Elève (5ème6)'!CJ5:CL9,"B"))*3)+((COUNTIF('Elève (5ème6)'!CJ5:CL9,"C"))*2)+((COUNTIF('Elève (5ème6)'!CJ5:CL9,"D"))*1))/(COUNTA(CJ5:CL9)),"")</f>
        <v>3</v>
      </c>
      <c r="CN4" s="107" t="str">
        <f t="shared" ref="CN4:CN21" si="20">IF(CM4="","",IF(CM4&gt;3.7,"A",IF(CM4&gt;2.8,"B",IF(CM4&gt;1.5,"C",IF(CM4&gt;0,"D",IF(CM4=0,""))))))</f>
        <v>B</v>
      </c>
      <c r="CO4" s="204"/>
      <c r="CP4" s="186"/>
      <c r="CQ4" s="205"/>
      <c r="CR4" s="106" t="str">
        <f>IFERROR((((COUNTIF('Elève (5ème6)'!CO5:CQ9,"A"))*4)+((COUNTIF('Elève (5ème6)'!CO5:CQ9,"B"))*3)+((COUNTIF('Elève (5ème6)'!CO5:CQ9,"C"))*2)+((COUNTIF('Elève (5ème6)'!CO5:CQ9,"D"))*1))/(COUNTA(CO5:CQ9)),"")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(5ème6)'!CT5:CV9,"A"))*4)+((COUNTIF('Elève (5ème6)'!CT5:CV9,"B"))*3)+((COUNTIF('Elève (5ème6)'!CT5:CV9,"C"))*2)+((COUNTIF('Elève (5ème6)'!CT5:CV9,"D"))*1))/(COUNTA(CT5:CV9)),"")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>3</v>
      </c>
      <c r="CZ4" s="130" t="str">
        <f t="shared" ref="CZ4:CZ21" si="23">IF(CY4="","",IF(CY4&gt;3.7,"A",IF(CY4&gt;2.8,"B",IF(CY4&gt;1.5,"C",IF(CY4&gt;0,"D",IF(CY4=0,""))))))</f>
        <v>B</v>
      </c>
      <c r="DA4" s="152"/>
      <c r="DB4" s="185"/>
      <c r="DC4" s="185"/>
      <c r="DD4" s="106">
        <f>IFERROR((((COUNTIF('Elève (5ème6)'!DA5:DC9,"A"))*4)+((COUNTIF('Elève (5ème6)'!DA5:DC9,"B"))*3)+((COUNTIF('Elève (5ème6)'!DA5:DC9,"C"))*2)+((COUNTIF('Elève (5ème6)'!DA5:DC9,"D"))*1))/(COUNTA(DA5:DC9)),"")</f>
        <v>3</v>
      </c>
      <c r="DE4" s="107" t="str">
        <f t="shared" ref="DE4:DE21" si="24">IF(DD4="","",IF(DD4&gt;3.7,"A",IF(DD4&gt;2.8,"B",IF(DD4&gt;1.5,"C",IF(DD4&gt;0,"D",IF(DD4=0,""))))))</f>
        <v>B</v>
      </c>
      <c r="DF4" s="204"/>
      <c r="DG4" s="186"/>
      <c r="DH4" s="205"/>
      <c r="DI4" s="106" t="str">
        <f>IFERROR((((COUNTIF('Elève (5ème6)'!DF5:DH9,"A"))*4)+((COUNTIF('Elève (5ème6)'!DF5:DH9,"B"))*3)+((COUNTIF('Elève (5ème6)'!DF5:DH9,"C"))*2)+((COUNTIF('Elève (5ème6)'!DF5:DH9,"D"))*1))/(COUNTA(DF5:DH9)),"")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(5ème6)'!DK5:DM9,"A"))*4)+((COUNTIF('Elève (5ème6)'!DK5:DM9,"B"))*3)+((COUNTIF('Elève (5ème6)'!DK5:DM9,"C"))*2)+((COUNTIF('Elève (5ème6)'!DK5:DM9,"D"))*1))/(COUNTA(DK5:DM9)),"")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>3</v>
      </c>
      <c r="DQ4" s="130" t="str">
        <f t="shared" ref="DQ4:DQ21" si="27">IF(DP4="","",IF(DP4&gt;3.7,"A",IF(DP4&gt;2.8,"B",IF(DP4&gt;1.5,"C",IF(DP4&gt;0,"D",IF(DP4=0,""))))))</f>
        <v>B</v>
      </c>
      <c r="DR4" s="152"/>
      <c r="DS4" s="185"/>
      <c r="DT4" s="185"/>
      <c r="DU4" s="106">
        <f>IFERROR((((COUNTIF('Elève (5ème6)'!DR5:DT9,"A"))*4)+((COUNTIF('Elève (5ème6)'!DR5:DT9,"B"))*3)+((COUNTIF('Elève (5ème6)'!DR5:DT9,"C"))*2)+((COUNTIF('Elève (5ème6)'!DR5:DT9,"D"))*1))/(COUNTA(DR5:DT9)),"")</f>
        <v>3</v>
      </c>
      <c r="DV4" s="107" t="str">
        <f t="shared" ref="DV4:DV21" si="28">IF(DU4="","",IF(DU4&gt;3.7,"A",IF(DU4&gt;2.8,"B",IF(DU4&gt;1.5,"C",IF(DU4&gt;0,"D",IF(DU4=0,""))))))</f>
        <v>B</v>
      </c>
      <c r="DW4" s="204"/>
      <c r="DX4" s="186"/>
      <c r="DY4" s="205"/>
      <c r="DZ4" s="106" t="str">
        <f>IFERROR((((COUNTIF('Elève (5ème6)'!DW5:DY9,"A"))*4)+((COUNTIF('Elève (5ème6)'!DW5:DY9,"B"))*3)+((COUNTIF('Elève (5ème6)'!DW5:DY9,"C"))*2)+((COUNTIF('Elève (5ème6)'!DW5:DY9,"D"))*1))/(COUNTA(DW5:DY9)),"")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(5ème6)'!EB5:ED9,"A"))*4)+((COUNTIF('Elève (5ème6)'!EB5:ED9,"B"))*3)+((COUNTIF('Elève (5ème6)'!EB5:ED9,"C"))*2)+((COUNTIF('Elève (5ème6)'!EB5:ED9,"D"))*1))/(COUNTA(EB5:ED9)),"")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>3</v>
      </c>
      <c r="EH4" s="130" t="str">
        <f t="shared" ref="EH4:EH21" si="31">IF(EG4="","",IF(EG4&gt;3.7,"A",IF(EG4&gt;2.8,"B",IF(EG4&gt;1.5,"C",IF(EG4&gt;0,"D",IF(EG4=0,""))))))</f>
        <v>B</v>
      </c>
      <c r="EI4" s="152"/>
      <c r="EJ4" s="185"/>
      <c r="EK4" s="185"/>
      <c r="EL4" s="106">
        <f>IFERROR((((COUNTIF('Elève (5ème6)'!EI5:EK9,"A"))*4)+((COUNTIF('Elève (5ème6)'!EI5:EK9,"B"))*3)+((COUNTIF('Elève (5ème6)'!EI5:EK9,"C"))*2)+((COUNTIF('Elève (5ème6)'!EI5:EK9,"D"))*1))/(COUNTA(EI5:EK9)),"")</f>
        <v>3</v>
      </c>
      <c r="EM4" s="107" t="str">
        <f t="shared" ref="EM4:EM21" si="32">IF(EL4="","",IF(EL4&gt;3.7,"A",IF(EL4&gt;2.8,"B",IF(EL4&gt;1.5,"C",IF(EL4&gt;0,"D",IF(EL4=0,""))))))</f>
        <v>B</v>
      </c>
      <c r="EN4" s="204"/>
      <c r="EO4" s="186"/>
      <c r="EP4" s="205"/>
      <c r="EQ4" s="106" t="str">
        <f>IFERROR((((COUNTIF('Elève (5ème6)'!EN5:EP9,"A"))*4)+((COUNTIF('Elève (5ème6)'!EN5:EP9,"B"))*3)+((COUNTIF('Elève (5ème6)'!EN5:EP9,"C"))*2)+((COUNTIF('Elève (5ème6)'!EN5:EP9,"D"))*1))/(COUNTA(EN5:EP9)),"")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(5ème6)'!ES5:EU9,"A"))*4)+((COUNTIF('Elève (5ème6)'!ES5:EU9,"B"))*3)+((COUNTIF('Elève (5ème6)'!ES5:EU9,"C"))*2)+((COUNTIF('Elève (5ème6)'!ES5:EU9,"D"))*1))/(COUNTA(ES5:EU9)),"")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>3</v>
      </c>
      <c r="EY4" s="130" t="str">
        <f t="shared" ref="EY4:EY21" si="35">IF(EX4="","",IF(EX4&gt;3.7,"A",IF(EX4&gt;2.8,"B",IF(EX4&gt;1.5,"C",IF(EX4&gt;0,"D",IF(EX4=0,""))))))</f>
        <v>B</v>
      </c>
      <c r="EZ4" s="152"/>
      <c r="FA4" s="185"/>
      <c r="FB4" s="185"/>
      <c r="FC4" s="106">
        <f>IFERROR((((COUNTIF('Elève (5ème6)'!EZ5:FB9,"A"))*4)+((COUNTIF('Elève (5ème6)'!EZ5:FB9,"B"))*3)+((COUNTIF('Elève (5ème6)'!EZ5:FB9,"C"))*2)+((COUNTIF('Elève (5ème6)'!EZ5:FB9,"D"))*1))/(COUNTA(EZ5:FB9)),"")</f>
        <v>3</v>
      </c>
      <c r="FD4" s="107" t="str">
        <f t="shared" ref="FD4:FD21" si="36">IF(FC4="","",IF(FC4&gt;3.7,"A",IF(FC4&gt;2.8,"B",IF(FC4&gt;1.5,"C",IF(FC4&gt;0,"D",IF(FC4=0,""))))))</f>
        <v>B</v>
      </c>
      <c r="FE4" s="204"/>
      <c r="FF4" s="186"/>
      <c r="FG4" s="205"/>
      <c r="FH4" s="106" t="str">
        <f>IFERROR((((COUNTIF('Elève (5ème6)'!FE5:FG9,"A"))*4)+((COUNTIF('Elève (5ème6)'!FE5:FG9,"B"))*3)+((COUNTIF('Elève (5ème6)'!FE5:FG9,"C"))*2)+((COUNTIF('Elève (5ème6)'!FE5:FG9,"D"))*1))/(COUNTA(FE5:FG9)),"")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(5ème6)'!FJ5:FL9,"A"))*4)+((COUNTIF('Elève (5ème6)'!FJ5:FL9,"B"))*3)+((COUNTIF('Elève (5ème6)'!FJ5:FL9,"C"))*2)+((COUNTIF('Elève (5ème6)'!FJ5:FL9,"D"))*1))/(COUNTA(FJ5:FL9)),"")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>3</v>
      </c>
      <c r="FP4" s="130" t="str">
        <f t="shared" ref="FP4:FP21" si="39">IF(FO4="","",IF(FO4&gt;3.7,"A",IF(FO4&gt;2.8,"B",IF(FO4&gt;1.5,"C",IF(FO4&gt;0,"D",IF(FO4=0,""))))))</f>
        <v>B</v>
      </c>
      <c r="FQ4" s="152"/>
      <c r="FR4" s="185"/>
      <c r="FS4" s="185"/>
      <c r="FT4" s="106">
        <f>IFERROR((((COUNTIF('Elève (5ème6)'!FQ5:FS9,"A"))*4)+((COUNTIF('Elève (5ème6)'!FQ5:FS9,"B"))*3)+((COUNTIF('Elève (5ème6)'!FQ5:FS9,"C"))*2)+((COUNTIF('Elève (5ème6)'!FQ5:FS9,"D"))*1))/(COUNTA(FQ5:FS9)),"")</f>
        <v>3</v>
      </c>
      <c r="FU4" s="107" t="str">
        <f t="shared" ref="FU4:FU21" si="40">IF(FT4="","",IF(FT4&gt;3.7,"A",IF(FT4&gt;2.8,"B",IF(FT4&gt;1.5,"C",IF(FT4&gt;0,"D",IF(FT4=0,""))))))</f>
        <v>B</v>
      </c>
      <c r="FV4" s="204"/>
      <c r="FW4" s="186"/>
      <c r="FX4" s="205"/>
      <c r="FY4" s="106" t="str">
        <f>IFERROR((((COUNTIF('Elève (5ème6)'!FV5:FX9,"A"))*4)+((COUNTIF('Elève (5ème6)'!FV5:FX9,"B"))*3)+((COUNTIF('Elève (5ème6)'!FV5:FX9,"C"))*2)+((COUNTIF('Elève (5ème6)'!FV5:FX9,"D"))*1))/(COUNTA(FV5:FX9)),"")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(5ème6)'!GA5:GC9,"A"))*4)+((COUNTIF('Elève (5ème6)'!GA5:GC9,"B"))*3)+((COUNTIF('Elève (5ème6)'!GA5:GC9,"C"))*2)+((COUNTIF('Elève (5ème6)'!GA5:GC9,"D"))*1))/(COUNTA(GA5:GC9)),"")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>3</v>
      </c>
      <c r="GG4" s="130" t="str">
        <f t="shared" ref="GG4:GG21" si="43">IF(GF4="","",IF(GF4&gt;3.7,"A",IF(GF4&gt;2.8,"B",IF(GF4&gt;1.5,"C",IF(GF4&gt;0,"D",IF(GF4=0,""))))))</f>
        <v>B</v>
      </c>
      <c r="GH4" s="152"/>
      <c r="GI4" s="185"/>
      <c r="GJ4" s="185"/>
      <c r="GK4" s="106">
        <f>IFERROR((((COUNTIF('Elève (5ème6)'!GH5:GJ9,"A"))*4)+((COUNTIF('Elève (5ème6)'!GH5:GJ9,"B"))*3)+((COUNTIF('Elève (5ème6)'!GH5:GJ9,"C"))*2)+((COUNTIF('Elève (5ème6)'!GH5:GJ9,"D"))*1))/(COUNTA(GH5:GJ9)),"")</f>
        <v>3</v>
      </c>
      <c r="GL4" s="107" t="str">
        <f t="shared" ref="GL4:GL21" si="44">IF(GK4="","",IF(GK4&gt;3.7,"A",IF(GK4&gt;2.8,"B",IF(GK4&gt;1.5,"C",IF(GK4&gt;0,"D",IF(GK4=0,""))))))</f>
        <v>B</v>
      </c>
      <c r="GM4" s="204"/>
      <c r="GN4" s="186"/>
      <c r="GO4" s="205"/>
      <c r="GP4" s="106" t="str">
        <f>IFERROR((((COUNTIF('Elève (5ème6)'!GM5:GO9,"A"))*4)+((COUNTIF('Elève (5ème6)'!GM5:GO9,"B"))*3)+((COUNTIF('Elève (5ème6)'!GM5:GO9,"C"))*2)+((COUNTIF('Elève (5ème6)'!GM5:GO9,"D"))*1))/(COUNTA(GM5:GO9)),"")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(5ème6)'!GR5:GT9,"A"))*4)+((COUNTIF('Elève (5ème6)'!GR5:GT9,"B"))*3)+((COUNTIF('Elève (5ème6)'!GR5:GT9,"C"))*2)+((COUNTIF('Elève (5ème6)'!GR5:GT9,"D"))*1))/(COUNTA(GR5:GT9)),"")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>3</v>
      </c>
      <c r="GX4" s="130" t="str">
        <f t="shared" ref="GX4:GX21" si="47">IF(GW4="","",IF(GW4&gt;3.7,"A",IF(GW4&gt;2.8,"B",IF(GW4&gt;1.5,"C",IF(GW4&gt;0,"D",IF(GW4=0,""))))))</f>
        <v>B</v>
      </c>
      <c r="GY4" s="152"/>
      <c r="GZ4" s="185"/>
      <c r="HA4" s="185"/>
      <c r="HB4" s="106">
        <f>IFERROR((((COUNTIF('Elève (5ème6)'!GY5:HA9,"A"))*4)+((COUNTIF('Elève (5ème6)'!GY5:HA9,"B"))*3)+((COUNTIF('Elève (5ème6)'!GY5:HA9,"C"))*2)+((COUNTIF('Elève (5ème6)'!GY5:HA9,"D"))*1))/(COUNTA(GY5:HA9)),"")</f>
        <v>3</v>
      </c>
      <c r="HC4" s="107" t="str">
        <f t="shared" ref="HC4:HC21" si="48">IF(HB4="","",IF(HB4&gt;3.7,"A",IF(HB4&gt;2.8,"B",IF(HB4&gt;1.5,"C",IF(HB4&gt;0,"D",IF(HB4=0,""))))))</f>
        <v>B</v>
      </c>
      <c r="HD4" s="204"/>
      <c r="HE4" s="186"/>
      <c r="HF4" s="205"/>
      <c r="HG4" s="106" t="str">
        <f>IFERROR((((COUNTIF('Elève (5ème6)'!HD5:HF9,"A"))*4)+((COUNTIF('Elève (5ème6)'!HD5:HF9,"B"))*3)+((COUNTIF('Elève (5ème6)'!HD5:HF9,"C"))*2)+((COUNTIF('Elève (5ème6)'!HD5:HF9,"D"))*1))/(COUNTA(HD5:HF9)),"")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(5ème6)'!HI5:HK9,"A"))*4)+((COUNTIF('Elève (5ème6)'!HI5:HK9,"B"))*3)+((COUNTIF('Elève (5ème6)'!HI5:HK9,"C"))*2)+((COUNTIF('Elève (5ème6)'!HI5:HK9,"D"))*1))/(COUNTA(HI5:HK9)),"")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>3</v>
      </c>
      <c r="HO4" s="130" t="str">
        <f t="shared" ref="HO4:HO21" si="51">IF(HN4="","",IF(HN4&gt;3.7,"A",IF(HN4&gt;2.8,"B",IF(HN4&gt;1.5,"C",IF(HN4&gt;0,"D",IF(HN4=0,""))))))</f>
        <v>B</v>
      </c>
      <c r="HP4" s="152"/>
      <c r="HQ4" s="185"/>
      <c r="HR4" s="185"/>
      <c r="HS4" s="106">
        <f>IFERROR((((COUNTIF('Elève (5ème6)'!HP5:HR9,"A"))*4)+((COUNTIF('Elève (5ème6)'!HP5:HR9,"B"))*3)+((COUNTIF('Elève (5ème6)'!HP5:HR9,"C"))*2)+((COUNTIF('Elève (5ème6)'!HP5:HR9,"D"))*1))/(COUNTA(HP5:HR9)),"")</f>
        <v>4</v>
      </c>
      <c r="HT4" s="107" t="str">
        <f t="shared" ref="HT4:HT21" si="52">IF(HS4="","",IF(HS4&gt;3.7,"A",IF(HS4&gt;2.8,"B",IF(HS4&gt;1.5,"C",IF(HS4&gt;0,"D",IF(HS4=0,""))))))</f>
        <v>A</v>
      </c>
      <c r="HU4" s="204"/>
      <c r="HV4" s="186"/>
      <c r="HW4" s="205"/>
      <c r="HX4" s="106" t="str">
        <f>IFERROR((((COUNTIF('Elève (5ème6)'!HU5:HW9,"A"))*4)+((COUNTIF('Elève (5ème6)'!HU5:HW9,"B"))*3)+((COUNTIF('Elève (5ème6)'!HU5:HW9,"C"))*2)+((COUNTIF('Elève (5ème6)'!HU5:HW9,"D"))*1))/(COUNTA(HU5:HW9)),"")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(5ème6)'!HZ5:IB9,"A"))*4)+((COUNTIF('Elève (5ème6)'!HZ5:IB9,"B"))*3)+((COUNTIF('Elève (5ème6)'!HZ5:IB9,"C"))*2)+((COUNTIF('Elève (5ème6)'!HZ5:IB9,"D"))*1))/(COUNTA(HZ5:IB9)),"")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>4</v>
      </c>
      <c r="IF4" s="130" t="str">
        <f t="shared" ref="IF4:IF21" si="55">IF(IE4="","",IF(IE4&gt;3.7,"A",IF(IE4&gt;2.8,"B",IF(IE4&gt;1.5,"C",IF(IE4&gt;0,"D",IF(IE4=0,""))))))</f>
        <v>A</v>
      </c>
      <c r="IG4" s="152"/>
      <c r="IH4" s="185"/>
      <c r="II4" s="185"/>
      <c r="IJ4" s="106">
        <f>IFERROR((((COUNTIF('Elève (5ème6)'!IG5:II9,"A"))*4)+((COUNTIF('Elève (5ème6)'!IG5:II9,"B"))*3)+((COUNTIF('Elève (5ème6)'!IG5:II9,"C"))*2)+((COUNTIF('Elève (5ème6)'!IG5:II9,"D"))*1))/(COUNTA(IG5:II9)),"")</f>
        <v>3</v>
      </c>
      <c r="IK4" s="107" t="str">
        <f t="shared" ref="IK4:IK21" si="56">IF(IJ4="","",IF(IJ4&gt;3.7,"A",IF(IJ4&gt;2.8,"B",IF(IJ4&gt;1.5,"C",IF(IJ4&gt;0,"D",IF(IJ4=0,""))))))</f>
        <v>B</v>
      </c>
      <c r="IL4" s="204"/>
      <c r="IM4" s="186"/>
      <c r="IN4" s="205"/>
      <c r="IO4" s="106" t="str">
        <f>IFERROR((((COUNTIF('Elève (5ème6)'!IL5:IN9,"A"))*4)+((COUNTIF('Elève (5ème6)'!IL5:IN9,"B"))*3)+((COUNTIF('Elève (5ème6)'!IL5:IN9,"C"))*2)+((COUNTIF('Elève (5ème6)'!IL5:IN9,"D"))*1))/(COUNTA(IL5:IN9)),"")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(5ème6)'!IQ5:IS9,"A"))*4)+((COUNTIF('Elève (5ème6)'!IQ5:IS9,"B"))*3)+((COUNTIF('Elève (5ème6)'!IQ5:IS9,"C"))*2)+((COUNTIF('Elève (5ème6)'!IQ5:IS9,"D"))*1))/(COUNTA(IQ5:IS9)),"")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>3</v>
      </c>
      <c r="IW4" s="130" t="str">
        <f t="shared" ref="IW4:IW21" si="59">IF(IV4="","",IF(IV4&gt;3.7,"A",IF(IV4&gt;2.8,"B",IF(IV4&gt;1.5,"C",IF(IV4&gt;0,"D",IF(IV4=0,""))))))</f>
        <v>B</v>
      </c>
      <c r="IX4" s="152"/>
      <c r="IY4" s="185"/>
      <c r="IZ4" s="185"/>
      <c r="JA4" s="106">
        <f>IFERROR((((COUNTIF('Elève (5ème6)'!IX5:IZ9,"A"))*4)+((COUNTIF('Elève (5ème6)'!IX5:IZ9,"B"))*3)+((COUNTIF('Elève (5ème6)'!IX5:IZ9,"C"))*2)+((COUNTIF('Elève (5ème6)'!IX5:IZ9,"D"))*1))/(COUNTA(IX5:IZ9)),"")</f>
        <v>3</v>
      </c>
      <c r="JB4" s="107" t="str">
        <f t="shared" ref="JB4:JB21" si="60">IF(JA4="","",IF(JA4&gt;3.7,"A",IF(JA4&gt;2.8,"B",IF(JA4&gt;1.5,"C",IF(JA4&gt;0,"D",IF(JA4=0,""))))))</f>
        <v>B</v>
      </c>
      <c r="JC4" s="204"/>
      <c r="JD4" s="186"/>
      <c r="JE4" s="205"/>
      <c r="JF4" s="106" t="str">
        <f>IFERROR((((COUNTIF('Elève (5ème6)'!JC5:JE9,"A"))*4)+((COUNTIF('Elève (5ème6)'!JC5:JE9,"B"))*3)+((COUNTIF('Elève (5ème6)'!JC5:JE9,"C"))*2)+((COUNTIF('Elève (5ème6)'!JC5:JE9,"D"))*1))/(COUNTA(JC5:JE9)),"")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(5ème6)'!JH5:JJ9,"A"))*4)+((COUNTIF('Elève (5ème6)'!JH5:JJ9,"B"))*3)+((COUNTIF('Elève (5ème6)'!JH5:JJ9,"C"))*2)+((COUNTIF('Elève (5ème6)'!JH5:JJ9,"D"))*1))/(COUNTA(JH5:JJ9)),"")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>3</v>
      </c>
      <c r="JN4" s="130" t="str">
        <f t="shared" ref="JN4:JN21" si="63">IF(JM4="","",IF(JM4&gt;3.7,"A",IF(JM4&gt;2.8,"B",IF(JM4&gt;1.5,"C",IF(JM4&gt;0,"D",IF(JM4=0,""))))))</f>
        <v>B</v>
      </c>
      <c r="JO4" s="152"/>
      <c r="JP4" s="185"/>
      <c r="JQ4" s="185"/>
      <c r="JR4" s="106">
        <f>IFERROR((((COUNTIF('Elève (5ème6)'!JO5:JQ9,"A"))*4)+((COUNTIF('Elève (5ème6)'!JO5:JQ9,"B"))*3)+((COUNTIF('Elève (5ème6)'!JO5:JQ9,"C"))*2)+((COUNTIF('Elève (5ème6)'!JO5:JQ9,"D"))*1))/(COUNTA(JO5:JQ9)),"")</f>
        <v>3</v>
      </c>
      <c r="JS4" s="107" t="str">
        <f t="shared" ref="JS4:JS21" si="64">IF(JR4="","",IF(JR4&gt;3.7,"A",IF(JR4&gt;2.8,"B",IF(JR4&gt;1.5,"C",IF(JR4&gt;0,"D",IF(JR4=0,""))))))</f>
        <v>B</v>
      </c>
      <c r="JT4" s="204"/>
      <c r="JU4" s="186"/>
      <c r="JV4" s="205"/>
      <c r="JW4" s="106" t="str">
        <f>IFERROR((((COUNTIF('Elève (5ème6)'!JT5:JV9,"A"))*4)+((COUNTIF('Elève (5ème6)'!JT5:JV9,"B"))*3)+((COUNTIF('Elève (5ème6)'!JT5:JV9,"C"))*2)+((COUNTIF('Elève (5ème6)'!JT5:JV9,"D"))*1))/(COUNTA(JT5:JV9)),"")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(5ème6)'!JY5:KA9,"A"))*4)+((COUNTIF('Elève (5ème6)'!JY5:KA9,"B"))*3)+((COUNTIF('Elève (5ème6)'!JY5:KA9,"C"))*2)+((COUNTIF('Elève (5ème6)'!JY5:KA9,"D"))*1))/(COUNTA(JY5:KA9)),"")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>3</v>
      </c>
      <c r="KE4" s="130" t="str">
        <f t="shared" ref="KE4:KE21" si="67">IF(KD4="","",IF(KD4&gt;3.7,"A",IF(KD4&gt;2.8,"B",IF(KD4&gt;1.5,"C",IF(KD4&gt;0,"D",IF(KD4=0,""))))))</f>
        <v>B</v>
      </c>
      <c r="KF4" s="152"/>
      <c r="KG4" s="185"/>
      <c r="KH4" s="185"/>
      <c r="KI4" s="106">
        <f>IFERROR((((COUNTIF('Elève (5ème6)'!KF5:KH9,"A"))*4)+((COUNTIF('Elève (5ème6)'!KF5:KH9,"B"))*3)+((COUNTIF('Elève (5ème6)'!KF5:KH9,"C"))*2)+((COUNTIF('Elève (5ème6)'!KF5:KH9,"D"))*1))/(COUNTA(KF5:KH9)),"")</f>
        <v>3</v>
      </c>
      <c r="KJ4" s="107" t="str">
        <f t="shared" ref="KJ4:KJ21" si="68">IF(KI4="","",IF(KI4&gt;3.7,"A",IF(KI4&gt;2.8,"B",IF(KI4&gt;1.5,"C",IF(KI4&gt;0,"D",IF(KI4=0,""))))))</f>
        <v>B</v>
      </c>
      <c r="KK4" s="204"/>
      <c r="KL4" s="186"/>
      <c r="KM4" s="205"/>
      <c r="KN4" s="106" t="str">
        <f>IFERROR((((COUNTIF('Elève (5ème6)'!KK5:KM9,"A"))*4)+((COUNTIF('Elève (5ème6)'!KK5:KM9,"B"))*3)+((COUNTIF('Elève (5ème6)'!KK5:KM9,"C"))*2)+((COUNTIF('Elève (5ème6)'!KK5:KM9,"D"))*1))/(COUNTA(KK5:KM9)),"")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(5ème6)'!KP5:KR9,"A"))*4)+((COUNTIF('Elève (5ème6)'!KP5:KR9,"B"))*3)+((COUNTIF('Elève (5ème6)'!KP5:KR9,"C"))*2)+((COUNTIF('Elève (5ème6)'!KP5:KR9,"D"))*1))/(COUNTA(KP5:KR9)),"")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>3</v>
      </c>
      <c r="KV4" s="130" t="str">
        <f t="shared" ref="KV4:KV21" si="71">IF(KU4="","",IF(KU4&gt;3.7,"A",IF(KU4&gt;2.8,"B",IF(KU4&gt;1.5,"C",IF(KU4&gt;0,"D",IF(KU4=0,""))))))</f>
        <v>B</v>
      </c>
      <c r="KW4" s="152"/>
      <c r="KX4" s="185"/>
      <c r="KY4" s="185"/>
      <c r="KZ4" s="106">
        <f>IFERROR((((COUNTIF('Elève (5ème6)'!KW5:KY9,"A"))*4)+((COUNTIF('Elève (5ème6)'!KW5:KY9,"B"))*3)+((COUNTIF('Elève (5ème6)'!KW5:KY9,"C"))*2)+((COUNTIF('Elève (5ème6)'!KW5:KY9,"D"))*1))/(COUNTA(KW5:KY9)),"")</f>
        <v>3</v>
      </c>
      <c r="LA4" s="107" t="str">
        <f t="shared" ref="LA4:LA21" si="72">IF(KZ4="","",IF(KZ4&gt;3.7,"A",IF(KZ4&gt;2.8,"B",IF(KZ4&gt;1.5,"C",IF(KZ4&gt;0,"D",IF(KZ4=0,""))))))</f>
        <v>B</v>
      </c>
      <c r="LB4" s="204"/>
      <c r="LC4" s="186"/>
      <c r="LD4" s="205"/>
      <c r="LE4" s="106" t="str">
        <f>IFERROR((((COUNTIF('Elève (5ème6)'!LB5:LD9,"A"))*4)+((COUNTIF('Elève (5ème6)'!LB5:LD9,"B"))*3)+((COUNTIF('Elève (5ème6)'!LB5:LD9,"C"))*2)+((COUNTIF('Elève (5ème6)'!LB5:LD9,"D"))*1))/(COUNTA(LB5:LD9)),"")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(5ème6)'!LG5:LI9,"A"))*4)+((COUNTIF('Elève (5ème6)'!LG5:LI9,"B"))*3)+((COUNTIF('Elève (5ème6)'!LG5:LI9,"C"))*2)+((COUNTIF('Elève (5ème6)'!LG5:LI9,"D"))*1))/(COUNTA(LG5:LI9)),"")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>3</v>
      </c>
      <c r="LM4" s="130" t="str">
        <f t="shared" ref="LM4:LM21" si="75">IF(LL4="","",IF(LL4&gt;3.7,"A",IF(LL4&gt;2.8,"B",IF(LL4&gt;1.5,"C",IF(LL4&gt;0,"D",IF(LL4=0,""))))))</f>
        <v>B</v>
      </c>
      <c r="LN4" s="152"/>
      <c r="LO4" s="185"/>
      <c r="LP4" s="185"/>
      <c r="LQ4" s="106">
        <f>IFERROR((((COUNTIF('Elève (5ème6)'!LN5:LP9,"A"))*4)+((COUNTIF('Elève (5ème6)'!LN5:LP9,"B"))*3)+((COUNTIF('Elève (5ème6)'!LN5:LP9,"C"))*2)+((COUNTIF('Elève (5ème6)'!LN5:LP9,"D"))*1))/(COUNTA(LN5:LP9)),"")</f>
        <v>3</v>
      </c>
      <c r="LR4" s="107" t="str">
        <f t="shared" ref="LR4:LR21" si="76">IF(LQ4="","",IF(LQ4&gt;3.7,"A",IF(LQ4&gt;2.8,"B",IF(LQ4&gt;1.5,"C",IF(LQ4&gt;0,"D",IF(LQ4=0,""))))))</f>
        <v>B</v>
      </c>
      <c r="LS4" s="204"/>
      <c r="LT4" s="186"/>
      <c r="LU4" s="205"/>
      <c r="LV4" s="106" t="str">
        <f>IFERROR((((COUNTIF('Elève (5ème6)'!LS5:LU9,"A"))*4)+((COUNTIF('Elève (5ème6)'!LS5:LU9,"B"))*3)+((COUNTIF('Elève (5ème6)'!LS5:LU9,"C"))*2)+((COUNTIF('Elève (5ème6)'!LS5:LU9,"D"))*1))/(COUNTA(LS5:LU9)),"")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(5ème6)'!LX5:LZ9,"A"))*4)+((COUNTIF('Elève (5ème6)'!LX5:LZ9,"B"))*3)+((COUNTIF('Elève (5ème6)'!LX5:LZ9,"C"))*2)+((COUNTIF('Elève (5ème6)'!LX5:LZ9,"D"))*1))/(COUNTA(LX5:LZ9)),"")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>3</v>
      </c>
      <c r="MD4" s="130" t="str">
        <f t="shared" ref="MD4:MD21" si="79">IF(MC4="","",IF(MC4&gt;3.7,"A",IF(MC4&gt;2.8,"B",IF(MC4&gt;1.5,"C",IF(MC4&gt;0,"D",IF(MC4=0,""))))))</f>
        <v>B</v>
      </c>
      <c r="ME4" s="152"/>
      <c r="MF4" s="185"/>
      <c r="MG4" s="185"/>
      <c r="MH4" s="106">
        <f>IFERROR((((COUNTIF('Elève (5ème6)'!ME5:MG9,"A"))*4)+((COUNTIF('Elève (5ème6)'!ME5:MG9,"B"))*3)+((COUNTIF('Elève (5ème6)'!ME5:MG9,"C"))*2)+((COUNTIF('Elève (5ème6)'!ME5:MG9,"D"))*1))/(COUNTA(ME5:MG9)),"")</f>
        <v>3</v>
      </c>
      <c r="MI4" s="107" t="str">
        <f t="shared" ref="MI4:MI21" si="80">IF(MH4="","",IF(MH4&gt;3.7,"A",IF(MH4&gt;2.8,"B",IF(MH4&gt;1.5,"C",IF(MH4&gt;0,"D",IF(MH4=0,""))))))</f>
        <v>B</v>
      </c>
      <c r="MJ4" s="204"/>
      <c r="MK4" s="186"/>
      <c r="ML4" s="205"/>
      <c r="MM4" s="106" t="str">
        <f>IFERROR((((COUNTIF('Elève (5ème6)'!MJ5:ML9,"A"))*4)+((COUNTIF('Elève (5ème6)'!MJ5:ML9,"B"))*3)+((COUNTIF('Elève (5ème6)'!MJ5:ML9,"C"))*2)+((COUNTIF('Elève (5ème6)'!MJ5:ML9,"D"))*1))/(COUNTA(MJ5:ML9)),"")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(5ème6)'!MO5:MQ9,"A"))*4)+((COUNTIF('Elève (5ème6)'!MO5:MQ9,"B"))*3)+((COUNTIF('Elève (5ème6)'!MO5:MQ9,"C"))*2)+((COUNTIF('Elève (5ème6)'!MO5:MQ9,"D"))*1))/(COUNTA(MO5:MQ9)),"")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>3</v>
      </c>
      <c r="MU4" s="130" t="str">
        <f t="shared" ref="MU4:MU21" si="83">IF(MT4="","",IF(MT4&gt;3.7,"A",IF(MT4&gt;2.8,"B",IF(MT4&gt;1.5,"C",IF(MT4&gt;0,"D",IF(MT4=0,""))))))</f>
        <v>B</v>
      </c>
      <c r="MV4" s="152"/>
      <c r="MW4" s="185"/>
      <c r="MX4" s="185"/>
      <c r="MY4" s="106">
        <f>IFERROR((((COUNTIF('Elève (5ème6)'!MV5:MX9,"A"))*4)+((COUNTIF('Elève (5ème6)'!MV5:MX9,"B"))*3)+((COUNTIF('Elève (5ème6)'!MV5:MX9,"C"))*2)+((COUNTIF('Elève (5ème6)'!MV5:MX9,"D"))*1))/(COUNTA(MV5:MX9)),"")</f>
        <v>3</v>
      </c>
      <c r="MZ4" s="107" t="str">
        <f t="shared" ref="MZ4:MZ21" si="84">IF(MY4="","",IF(MY4&gt;3.7,"A",IF(MY4&gt;2.8,"B",IF(MY4&gt;1.5,"C",IF(MY4&gt;0,"D",IF(MY4=0,""))))))</f>
        <v>B</v>
      </c>
      <c r="NA4" s="204"/>
      <c r="NB4" s="186"/>
      <c r="NC4" s="205"/>
      <c r="ND4" s="106" t="str">
        <f>IFERROR((((COUNTIF('Elève (5ème6)'!NA5:NC9,"A"))*4)+((COUNTIF('Elève (5ème6)'!NA5:NC9,"B"))*3)+((COUNTIF('Elève (5ème6)'!NA5:NC9,"C"))*2)+((COUNTIF('Elève (5ème6)'!NA5:NC9,"D"))*1))/(COUNTA(NA5:NC9)),"")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(5ème6)'!NF5:NH9,"A"))*4)+((COUNTIF('Elève (5ème6)'!NF5:NH9,"B"))*3)+((COUNTIF('Elève (5ème6)'!NF5:NH9,"C"))*2)+((COUNTIF('Elève (5ème6)'!NF5:NH9,"D"))*1))/(COUNTA(NF5:NH9)),"")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>3</v>
      </c>
      <c r="NL4" s="130" t="str">
        <f t="shared" ref="NL4:NL21" si="87">IF(NK4="","",IF(NK4&gt;3.7,"A",IF(NK4&gt;2.8,"B",IF(NK4&gt;1.5,"C",IF(NK4&gt;0,"D",IF(NK4=0,""))))))</f>
        <v>B</v>
      </c>
      <c r="NM4" s="152"/>
      <c r="NN4" s="185"/>
      <c r="NO4" s="185"/>
      <c r="NP4" s="106">
        <f>IFERROR((((COUNTIF('Elève (5ème6)'!NM5:NO9,"A"))*4)+((COUNTIF('Elève (5ème6)'!NM5:NO9,"B"))*3)+((COUNTIF('Elève (5ème6)'!NM5:NO9,"C"))*2)+((COUNTIF('Elève (5ème6)'!NM5:NO9,"D"))*1))/(COUNTA(NM5:NO9)),"")</f>
        <v>3</v>
      </c>
      <c r="NQ4" s="107" t="str">
        <f t="shared" ref="NQ4:NQ21" si="88">IF(NP4="","",IF(NP4&gt;3.7,"A",IF(NP4&gt;2.8,"B",IF(NP4&gt;1.5,"C",IF(NP4&gt;0,"D",IF(NP4=0,""))))))</f>
        <v>B</v>
      </c>
      <c r="NR4" s="204"/>
      <c r="NS4" s="186"/>
      <c r="NT4" s="205"/>
      <c r="NU4" s="106" t="str">
        <f>IFERROR((((COUNTIF('Elève (5ème6)'!NR5:NT9,"A"))*4)+((COUNTIF('Elève (5ème6)'!NR5:NT9,"B"))*3)+((COUNTIF('Elève (5ème6)'!NR5:NT9,"C"))*2)+((COUNTIF('Elève (5ème6)'!NR5:NT9,"D"))*1))/(COUNTA(NR5:NT9)),"")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(5ème6)'!NW5:NY9,"A"))*4)+((COUNTIF('Elève (5ème6)'!NW5:NY9,"B"))*3)+((COUNTIF('Elève (5ème6)'!NW5:NY9,"C"))*2)+((COUNTIF('Elève (5ème6)'!NW5:NY9,"D"))*1))/(COUNTA(NW5:NY9)),"")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>3</v>
      </c>
      <c r="OC4" s="130" t="str">
        <f t="shared" ref="OC4:OC21" si="91">IF(OB4="","",IF(OB4&gt;3.7,"A",IF(OB4&gt;2.8,"B",IF(OB4&gt;1.5,"C",IF(OB4&gt;0,"D",IF(OB4=0,""))))))</f>
        <v>B</v>
      </c>
      <c r="OD4" s="152"/>
      <c r="OE4" s="185"/>
      <c r="OF4" s="185"/>
      <c r="OG4" s="106">
        <f>IFERROR((((COUNTIF('Elève (5ème6)'!OD5:OF9,"A"))*4)+((COUNTIF('Elève (5ème6)'!OD5:OF9,"B"))*3)+((COUNTIF('Elève (5ème6)'!OD5:OF9,"C"))*2)+((COUNTIF('Elève (5ème6)'!OD5:OF9,"D"))*1))/(COUNTA(OD5:OF9)),"")</f>
        <v>3</v>
      </c>
      <c r="OH4" s="107" t="str">
        <f t="shared" ref="OH4:OH21" si="92">IF(OG4="","",IF(OG4&gt;3.7,"A",IF(OG4&gt;2.8,"B",IF(OG4&gt;1.5,"C",IF(OG4&gt;0,"D",IF(OG4=0,""))))))</f>
        <v>B</v>
      </c>
      <c r="OI4" s="204"/>
      <c r="OJ4" s="186"/>
      <c r="OK4" s="205"/>
      <c r="OL4" s="106" t="str">
        <f>IFERROR((((COUNTIF('Elève (5ème6)'!OI5:OK9,"A"))*4)+((COUNTIF('Elève (5ème6)'!OI5:OK9,"B"))*3)+((COUNTIF('Elève (5ème6)'!OI5:OK9,"C"))*2)+((COUNTIF('Elève (5ème6)'!OI5:OK9,"D"))*1))/(COUNTA(OI5:OK9)),"")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(5ème6)'!ON5:OP9,"A"))*4)+((COUNTIF('Elève (5ème6)'!ON5:OP9,"B"))*3)+((COUNTIF('Elève (5ème6)'!ON5:OP9,"C"))*2)+((COUNTIF('Elève (5ème6)'!ON5:OP9,"D"))*1))/(COUNTA(ON5:OP9)),"")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>3</v>
      </c>
      <c r="OT4" s="130" t="str">
        <f t="shared" ref="OT4:OT21" si="95">IF(OS4="","",IF(OS4&gt;3.7,"A",IF(OS4&gt;2.8,"B",IF(OS4&gt;1.5,"C",IF(OS4&gt;0,"D",IF(OS4=0,""))))))</f>
        <v>B</v>
      </c>
      <c r="OU4" s="152"/>
      <c r="OV4" s="185"/>
      <c r="OW4" s="185"/>
      <c r="OX4" s="106">
        <f>IFERROR((((COUNTIF('Elève (5ème6)'!OU5:OW9,"A"))*4)+((COUNTIF('Elève (5ème6)'!OU5:OW9,"B"))*3)+((COUNTIF('Elève (5ème6)'!OU5:OW9,"C"))*2)+((COUNTIF('Elève (5ème6)'!OU5:OW9,"D"))*1))/(COUNTA(OU5:OW9)),"")</f>
        <v>4</v>
      </c>
      <c r="OY4" s="107" t="str">
        <f t="shared" ref="OY4:OY21" si="96">IF(OX4="","",IF(OX4&gt;3.7,"A",IF(OX4&gt;2.8,"B",IF(OX4&gt;1.5,"C",IF(OX4&gt;0,"D",IF(OX4=0,""))))))</f>
        <v>A</v>
      </c>
      <c r="OZ4" s="204"/>
      <c r="PA4" s="186"/>
      <c r="PB4" s="205"/>
      <c r="PC4" s="106" t="str">
        <f>IFERROR((((COUNTIF('Elève (5ème6)'!OZ5:PB9,"A"))*4)+((COUNTIF('Elève (5ème6)'!OZ5:PB9,"B"))*3)+((COUNTIF('Elève (5ème6)'!OZ5:PB9,"C"))*2)+((COUNTIF('Elève (5ème6)'!OZ5:PB9,"D"))*1))/(COUNTA(OZ5:PB9)),"")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(5ème6)'!PE5:PG9,"A"))*4)+((COUNTIF('Elève (5ème6)'!PE5:PG9,"B"))*3)+((COUNTIF('Elève (5ème6)'!PE5:PG9,"C"))*2)+((COUNTIF('Elève (5ème6)'!PE5:PG9,"D"))*1))/(COUNTA(PE5:PG9)),"")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>4</v>
      </c>
      <c r="PK4" s="130" t="str">
        <f t="shared" ref="PK4:PK21" si="99">IF(PJ4="","",IF(PJ4&gt;3.7,"A",IF(PJ4&gt;2.8,"B",IF(PJ4&gt;1.5,"C",IF(PJ4&gt;0,"D",IF(PJ4=0,""))))))</f>
        <v>A</v>
      </c>
      <c r="PL4" s="152"/>
      <c r="PM4" s="185"/>
      <c r="PN4" s="185"/>
      <c r="PO4" s="106">
        <f>IFERROR((((COUNTIF('Elève (5ème6)'!PL5:PN9,"A"))*4)+((COUNTIF('Elève (5ème6)'!PL5:PN9,"B"))*3)+((COUNTIF('Elève (5ème6)'!PL5:PN9,"C"))*2)+((COUNTIF('Elève (5ème6)'!PL5:PN9,"D"))*1))/(COUNTA(PL5:PN9)),"")</f>
        <v>3</v>
      </c>
      <c r="PP4" s="107" t="str">
        <f t="shared" ref="PP4:PP21" si="100">IF(PO4="","",IF(PO4&gt;3.7,"A",IF(PO4&gt;2.8,"B",IF(PO4&gt;1.5,"C",IF(PO4&gt;0,"D",IF(PO4=0,""))))))</f>
        <v>B</v>
      </c>
      <c r="PQ4" s="204"/>
      <c r="PR4" s="186"/>
      <c r="PS4" s="205"/>
      <c r="PT4" s="106" t="str">
        <f>IFERROR((((COUNTIF('Elève (5ème6)'!PQ5:PS9,"A"))*4)+((COUNTIF('Elève (5ème6)'!PQ5:PS9,"B"))*3)+((COUNTIF('Elève (5ème6)'!PQ5:PS9,"C"))*2)+((COUNTIF('Elève (5ème6)'!PQ5:PS9,"D"))*1))/(COUNTA(PQ5:PS9)),"")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(5ème6)'!PV5:PX9,"A"))*4)+((COUNTIF('Elève (5ème6)'!PV5:PX9,"B"))*3)+((COUNTIF('Elève (5ème6)'!PV5:PX9,"C"))*2)+((COUNTIF('Elève (5ème6)'!PV5:PX9,"D"))*1))/(COUNTA(PV5:PX9)),"")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>3</v>
      </c>
      <c r="QB4" s="130" t="str">
        <f t="shared" ref="QB4:QB21" si="103">IF(QA4="","",IF(QA4&gt;3.7,"A",IF(QA4&gt;2.8,"B",IF(QA4&gt;1.5,"C",IF(QA4&gt;0,"D",IF(QA4=0,""))))))</f>
        <v>B</v>
      </c>
      <c r="QC4" s="152"/>
      <c r="QD4" s="185"/>
      <c r="QE4" s="185"/>
      <c r="QF4" s="106">
        <f>IFERROR((((COUNTIF('Elève (5ème6)'!QC5:QE9,"A"))*4)+((COUNTIF('Elève (5ème6)'!QC5:QE9,"B"))*3)+((COUNTIF('Elève (5ème6)'!QC5:QE9,"C"))*2)+((COUNTIF('Elève (5ème6)'!QC5:QE9,"D"))*1))/(COUNTA(QC5:QE9)),"")</f>
        <v>3</v>
      </c>
      <c r="QG4" s="107" t="str">
        <f t="shared" ref="QG4:QG21" si="104">IF(QF4="","",IF(QF4&gt;3.7,"A",IF(QF4&gt;2.8,"B",IF(QF4&gt;1.5,"C",IF(QF4&gt;0,"D",IF(QF4=0,""))))))</f>
        <v>B</v>
      </c>
      <c r="QH4" s="204"/>
      <c r="QI4" s="186"/>
      <c r="QJ4" s="205"/>
      <c r="QK4" s="106" t="str">
        <f>IFERROR((((COUNTIF('Elève (5ème6)'!QH5:QJ9,"A"))*4)+((COUNTIF('Elève (5ème6)'!QH5:QJ9,"B"))*3)+((COUNTIF('Elève (5ème6)'!QH5:QJ9,"C"))*2)+((COUNTIF('Elève (5ème6)'!QH5:QJ9,"D"))*1))/(COUNTA(QH5:QJ9)),"")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(5ème6)'!QM5:QO9,"A"))*4)+((COUNTIF('Elève (5ème6)'!QM5:QO9,"B"))*3)+((COUNTIF('Elève (5ème6)'!QM5:QO9,"C"))*2)+((COUNTIF('Elève (5ème6)'!QM5:QO9,"D"))*1))/(COUNTA(QM5:QO9)),"")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>3</v>
      </c>
      <c r="QS4" s="130" t="str">
        <f t="shared" ref="QS4:QS21" si="107">IF(QR4="","",IF(QR4&gt;3.7,"A",IF(QR4&gt;2.8,"B",IF(QR4&gt;1.5,"C",IF(QR4&gt;0,"D",IF(QR4=0,""))))))</f>
        <v>B</v>
      </c>
      <c r="QT4" s="152"/>
      <c r="QU4" s="185"/>
      <c r="QV4" s="185"/>
      <c r="QW4" s="106">
        <f>IFERROR((((COUNTIF('Elève (5ème6)'!QT5:QV9,"A"))*4)+((COUNTIF('Elève (5ème6)'!QT5:QV9,"B"))*3)+((COUNTIF('Elève (5ème6)'!QT5:QV9,"C"))*2)+((COUNTIF('Elève (5ème6)'!QT5:QV9,"D"))*1))/(COUNTA(QT5:QV9)),"")</f>
        <v>4</v>
      </c>
      <c r="QX4" s="107" t="str">
        <f t="shared" ref="QX4:QX21" si="108">IF(QW4="","",IF(QW4&gt;3.7,"A",IF(QW4&gt;2.8,"B",IF(QW4&gt;1.5,"C",IF(QW4&gt;0,"D",IF(QW4=0,""))))))</f>
        <v>A</v>
      </c>
      <c r="QY4" s="204"/>
      <c r="QZ4" s="186"/>
      <c r="RA4" s="205"/>
      <c r="RB4" s="106" t="str">
        <f>IFERROR((((COUNTIF('Elève (5ème6)'!QY5:RA9,"A"))*4)+((COUNTIF('Elève (5ème6)'!QY5:RA9,"B"))*3)+((COUNTIF('Elève (5ème6)'!QY5:RA9,"C"))*2)+((COUNTIF('Elève (5ème6)'!QY5:RA9,"D"))*1))/(COUNTA(QY5:RA9)),"")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(5ème6)'!RD5:RF9,"A"))*4)+((COUNTIF('Elève (5ème6)'!RD5:RF9,"B"))*3)+((COUNTIF('Elève (5ème6)'!RD5:RF9,"C"))*2)+((COUNTIF('Elève (5ème6)'!RD5:RF9,"D"))*1))/(COUNTA(RD5:RF9)),"")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>4</v>
      </c>
      <c r="RJ4" s="130" t="str">
        <f t="shared" ref="RJ4:RJ21" si="111">IF(RI4="","",IF(RI4&gt;3.7,"A",IF(RI4&gt;2.8,"B",IF(RI4&gt;1.5,"C",IF(RI4&gt;0,"D",IF(RI4=0,""))))))</f>
        <v>A</v>
      </c>
      <c r="RK4" s="152"/>
      <c r="RL4" s="185"/>
      <c r="RM4" s="185"/>
      <c r="RN4" s="106">
        <f>IFERROR((((COUNTIF('Elève (5ème6)'!RK5:RM9,"A"))*4)+((COUNTIF('Elève (5ème6)'!RK5:RM9,"B"))*3)+((COUNTIF('Elève (5ème6)'!RK5:RM9,"C"))*2)+((COUNTIF('Elève (5ème6)'!RK5:RM9,"D"))*1))/(COUNTA(RK5:RM9)),"")</f>
        <v>3</v>
      </c>
      <c r="RO4" s="107" t="str">
        <f t="shared" ref="RO4:RO21" si="112">IF(RN4="","",IF(RN4&gt;3.7,"A",IF(RN4&gt;2.8,"B",IF(RN4&gt;1.5,"C",IF(RN4&gt;0,"D",IF(RN4=0,""))))))</f>
        <v>B</v>
      </c>
      <c r="RP4" s="204"/>
      <c r="RQ4" s="186"/>
      <c r="RR4" s="205"/>
      <c r="RS4" s="106" t="str">
        <f>IFERROR((((COUNTIF('Elève (5ème6)'!RP5:RR9,"A"))*4)+((COUNTIF('Elève (5ème6)'!RP5:RR9,"B"))*3)+((COUNTIF('Elève (5ème6)'!RP5:RR9,"C"))*2)+((COUNTIF('Elève (5ème6)'!RP5:RR9,"D"))*1))/(COUNTA(RP5:RR9)),"")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(5ème6)'!RU5:RW9,"A"))*4)+((COUNTIF('Elève (5ème6)'!RU5:RW9,"B"))*3)+((COUNTIF('Elève (5ème6)'!RU5:RW9,"C"))*2)+((COUNTIF('Elève (5ème6)'!RU5:RW9,"D"))*1))/(COUNTA(RU5:RW9)),"")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>3</v>
      </c>
      <c r="SA4" s="130" t="str">
        <f t="shared" ref="SA4:SA21" si="115">IF(RZ4="","",IF(RZ4&gt;3.7,"A",IF(RZ4&gt;2.8,"B",IF(RZ4&gt;1.5,"C",IF(RZ4&gt;0,"D",IF(RZ4=0,""))))))</f>
        <v>B</v>
      </c>
      <c r="SB4" s="152"/>
      <c r="SC4" s="185"/>
      <c r="SD4" s="185"/>
      <c r="SE4" s="106" t="str">
        <f>IFERROR((((COUNTIF('Elève (5ème6)'!SB5:SD9,"A"))*4)+((COUNTIF('Elève (5ème6)'!SB5:SD9,"B"))*3)+((COUNTIF('Elève (5ème6)'!SB5:SD9,"C"))*2)+((COUNTIF('Elève (5ème6)'!SB5:SD9,"D"))*1))/(COUNTA(SB5:SD9)),"")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4"/>
      <c r="SH4" s="186"/>
      <c r="SI4" s="205"/>
      <c r="SJ4" s="106" t="str">
        <f>IFERROR((((COUNTIF('Elève (5ème6)'!SG5:SI9,"A"))*4)+((COUNTIF('Elève (5ème6)'!SG5:SI9,"B"))*3)+((COUNTIF('Elève (5ème6)'!SG5:SI9,"C"))*2)+((COUNTIF('Elève (5ème6)'!SG5:SI9,"D"))*1))/(COUNTA(SG5:SI9)),"")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(5ème6)'!SL5:SN9,"A"))*4)+((COUNTIF('Elève (5ème6)'!SL5:SN9,"B"))*3)+((COUNTIF('Elève (5ème6)'!SL5:SN9,"C"))*2)+((COUNTIF('Elève (5ème6)'!SL5:SN9,"D"))*1))/(COUNTA(SL5:SN9)),"")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1" t="s">
        <v>12</v>
      </c>
      <c r="B5" s="222"/>
      <c r="C5" s="153" t="s">
        <v>28</v>
      </c>
      <c r="D5" s="154"/>
      <c r="E5" s="155"/>
      <c r="F5" s="108">
        <f>IFERROR((((COUNTIF('Elève (5ème6)'!C5:E5,"A"))*4)+((COUNTIF('Elève (5ème6)'!C5:E5,"B"))*3)+((COUNTIF('Elève (5ème6)'!C5:E5,"C"))*2)+((COUNTIF('Elève (5ème6)'!C5:E5,"D"))*1))/(COUNTA(C5:E5)),"")</f>
        <v>3</v>
      </c>
      <c r="G5" s="109" t="str">
        <f t="shared" si="0"/>
        <v>B</v>
      </c>
      <c r="H5" s="78"/>
      <c r="I5" s="79"/>
      <c r="J5" s="80"/>
      <c r="K5" s="108" t="str">
        <f>IFERROR((((COUNTIF('Elève (5ème6)'!H5:J5,"A"))*4)+((COUNTIF('Elève (5ème6)'!H5:J5,"B"))*3)+((COUNTIF('Elève (5ème6)'!H5:J5,"C"))*2)+((COUNTIF('Elève (5ème6)'!H5:J5,"D"))*1))/(COUNTA(H5:J5)),"")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(5ème6)'!M5:O5,"A"))*4)+((COUNTIF('Elève (5ème6)'!M5:O5,"B"))*3)+((COUNTIF('Elève (5ème6)'!M5:O5,"C"))*2)+((COUNTIF('Elève (5ème6)'!M5:O5,"D"))*1))/(COUNTA(M5:O5)),"")</f>
        <v/>
      </c>
      <c r="Q5" s="109" t="str">
        <f t="shared" si="2"/>
        <v/>
      </c>
      <c r="R5" s="178">
        <f>IF(COUNT(F5,K5,P5)=0,"",SUM(F5,K5,P5)/COUNT(F5,K5,P5))</f>
        <v>3</v>
      </c>
      <c r="S5" s="131" t="str">
        <f t="shared" si="3"/>
        <v>B</v>
      </c>
      <c r="T5" s="153" t="s">
        <v>28</v>
      </c>
      <c r="U5" s="154"/>
      <c r="V5" s="155"/>
      <c r="W5" s="108">
        <f>IFERROR((((COUNTIF('Elève (5ème6)'!T5:V5,"A"))*4)+((COUNTIF('Elève (5ème6)'!T5:V5,"B"))*3)+((COUNTIF('Elève (5ème6)'!T5:V5,"C"))*2)+((COUNTIF('Elève (5ème6)'!T5:V5,"D"))*1))/(COUNTA(T5:V5)),"")</f>
        <v>3</v>
      </c>
      <c r="X5" s="109" t="str">
        <f t="shared" si="4"/>
        <v>B</v>
      </c>
      <c r="Y5" s="78"/>
      <c r="Z5" s="79"/>
      <c r="AA5" s="80"/>
      <c r="AB5" s="108" t="str">
        <f>IFERROR((((COUNTIF('Elève (5ème6)'!Y5:AA5,"A"))*4)+((COUNTIF('Elève (5ème6)'!Y5:AA5,"B"))*3)+((COUNTIF('Elève (5ème6)'!Y5:AA5,"C"))*2)+((COUNTIF('Elève (5ème6)'!Y5:AA5,"D"))*1))/(COUNTA(Y5:AA5)),"")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(5ème6)'!AD5:AF5,"A"))*4)+((COUNTIF('Elève (5ème6)'!AD5:AF5,"B"))*3)+((COUNTIF('Elève (5ème6)'!AD5:AF5,"C"))*2)+((COUNTIF('Elève (5ème6)'!AD5:AF5,"D"))*1))/(COUNTA(AD5:AF5)),"")</f>
        <v/>
      </c>
      <c r="AH5" s="109" t="str">
        <f t="shared" si="6"/>
        <v/>
      </c>
      <c r="AI5" s="178">
        <f>IF(COUNT(W5,AB5,AG5)=0,"",SUM(W5,AB5,AG5)/COUNT(W5,AB5,AG5))</f>
        <v>3</v>
      </c>
      <c r="AJ5" s="131" t="str">
        <f t="shared" si="7"/>
        <v>B</v>
      </c>
      <c r="AK5" s="153" t="s">
        <v>29</v>
      </c>
      <c r="AL5" s="154"/>
      <c r="AM5" s="155"/>
      <c r="AN5" s="108">
        <f>IFERROR((((COUNTIF('Elève (5ème6)'!AK5:AM5,"A"))*4)+((COUNTIF('Elève (5ème6)'!AK5:AM5,"B"))*3)+((COUNTIF('Elève (5ème6)'!AK5:AM5,"C"))*2)+((COUNTIF('Elève (5ème6)'!AK5:AM5,"D"))*1))/(COUNTA(AK5:AM5)),"")</f>
        <v>2</v>
      </c>
      <c r="AO5" s="109" t="str">
        <f t="shared" si="8"/>
        <v>C</v>
      </c>
      <c r="AP5" s="78"/>
      <c r="AQ5" s="79"/>
      <c r="AR5" s="80"/>
      <c r="AS5" s="108" t="str">
        <f>IFERROR((((COUNTIF('Elève (5ème6)'!AP5:AR5,"A"))*4)+((COUNTIF('Elève (5ème6)'!AP5:AR5,"B"))*3)+((COUNTIF('Elève (5ème6)'!AP5:AR5,"C"))*2)+((COUNTIF('Elève (5ème6)'!AP5:AR5,"D"))*1))/(COUNTA(AP5:AR5)),"")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(5ème6)'!AU5:AW5,"A"))*4)+((COUNTIF('Elève (5ème6)'!AU5:AW5,"B"))*3)+((COUNTIF('Elève (5ème6)'!AU5:AW5,"C"))*2)+((COUNTIF('Elève (5ème6)'!AU5:AW5,"D"))*1))/(COUNTA(AU5:AW5)),"")</f>
        <v/>
      </c>
      <c r="AY5" s="109" t="str">
        <f t="shared" si="10"/>
        <v/>
      </c>
      <c r="AZ5" s="178">
        <f>IF(COUNT(AN5,AS5,AX5)=0,"",SUM(AN5,AS5,AX5)/COUNT(AN5,AS5,AX5))</f>
        <v>2</v>
      </c>
      <c r="BA5" s="131" t="str">
        <f t="shared" si="11"/>
        <v>C</v>
      </c>
      <c r="BB5" s="153" t="s">
        <v>28</v>
      </c>
      <c r="BC5" s="154"/>
      <c r="BD5" s="155"/>
      <c r="BE5" s="108">
        <f>IFERROR((((COUNTIF('Elève (5ème6)'!BB5:BD5,"A"))*4)+((COUNTIF('Elève (5ème6)'!BB5:BD5,"B"))*3)+((COUNTIF('Elève (5ème6)'!BB5:BD5,"C"))*2)+((COUNTIF('Elève (5ème6)'!BB5:BD5,"D"))*1))/(COUNTA(BB5:BD5)),"")</f>
        <v>3</v>
      </c>
      <c r="BF5" s="109" t="str">
        <f t="shared" si="12"/>
        <v>B</v>
      </c>
      <c r="BG5" s="78"/>
      <c r="BH5" s="79"/>
      <c r="BI5" s="80"/>
      <c r="BJ5" s="108" t="str">
        <f>IFERROR((((COUNTIF('Elève (5ème6)'!BG5:BI5,"A"))*4)+((COUNTIF('Elève (5ème6)'!BG5:BI5,"B"))*3)+((COUNTIF('Elève (5ème6)'!BG5:BI5,"C"))*2)+((COUNTIF('Elève (5ème6)'!BG5:BI5,"D"))*1))/(COUNTA(BG5:BI5)),"")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(5ème6)'!BL5:BN5,"A"))*4)+((COUNTIF('Elève (5ème6)'!BL5:BN5,"B"))*3)+((COUNTIF('Elève (5ème6)'!BL5:BN5,"C"))*2)+((COUNTIF('Elève (5ème6)'!BL5:BN5,"D"))*1))/(COUNTA(BL5:BN5)),"")</f>
        <v/>
      </c>
      <c r="BP5" s="109" t="str">
        <f t="shared" si="14"/>
        <v/>
      </c>
      <c r="BQ5" s="178">
        <f>IF(COUNT(BE5,BJ5,BO5)=0,"",SUM(BE5,BJ5,BO5)/COUNT(BE5,BJ5,BO5))</f>
        <v>3</v>
      </c>
      <c r="BR5" s="131" t="str">
        <f t="shared" si="15"/>
        <v>B</v>
      </c>
      <c r="BS5" s="153" t="s">
        <v>28</v>
      </c>
      <c r="BT5" s="154"/>
      <c r="BU5" s="155"/>
      <c r="BV5" s="108">
        <f>IFERROR((((COUNTIF('Elève (5ème6)'!BS5:BU5,"A"))*4)+((COUNTIF('Elève (5ème6)'!BS5:BU5,"B"))*3)+((COUNTIF('Elève (5ème6)'!BS5:BU5,"C"))*2)+((COUNTIF('Elève (5ème6)'!BS5:BU5,"D"))*1))/(COUNTA(BS5:BU5)),"")</f>
        <v>3</v>
      </c>
      <c r="BW5" s="109" t="str">
        <f t="shared" si="16"/>
        <v>B</v>
      </c>
      <c r="BX5" s="78"/>
      <c r="BY5" s="79"/>
      <c r="BZ5" s="80"/>
      <c r="CA5" s="108" t="str">
        <f>IFERROR((((COUNTIF('Elève (5ème6)'!BX5:BZ5,"A"))*4)+((COUNTIF('Elève (5ème6)'!BX5:BZ5,"B"))*3)+((COUNTIF('Elève (5ème6)'!BX5:BZ5,"C"))*2)+((COUNTIF('Elève (5ème6)'!BX5:BZ5,"D"))*1))/(COUNTA(BX5:BZ5)),"")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(5ème6)'!CC5:CE5,"A"))*4)+((COUNTIF('Elève (5ème6)'!CC5:CE5,"B"))*3)+((COUNTIF('Elève (5ème6)'!CC5:CE5,"C"))*2)+((COUNTIF('Elève (5ème6)'!CC5:CE5,"D"))*1))/(COUNTA(CC5:CE5)),"")</f>
        <v/>
      </c>
      <c r="CG5" s="109" t="str">
        <f t="shared" si="18"/>
        <v/>
      </c>
      <c r="CH5" s="178">
        <f>IF(COUNT(BV5,CA5,CF5)=0,"",SUM(BV5,CA5,CF5)/COUNT(BV5,CA5,CF5))</f>
        <v>3</v>
      </c>
      <c r="CI5" s="131" t="str">
        <f t="shared" si="19"/>
        <v>B</v>
      </c>
      <c r="CJ5" s="153" t="s">
        <v>28</v>
      </c>
      <c r="CK5" s="154"/>
      <c r="CL5" s="155"/>
      <c r="CM5" s="108">
        <f>IFERROR((((COUNTIF('Elève (5ème6)'!CJ5:CL5,"A"))*4)+((COUNTIF('Elève (5ème6)'!CJ5:CL5,"B"))*3)+((COUNTIF('Elève (5ème6)'!CJ5:CL5,"C"))*2)+((COUNTIF('Elève (5ème6)'!CJ5:CL5,"D"))*1))/(COUNTA(CJ5:CL5)),"")</f>
        <v>3</v>
      </c>
      <c r="CN5" s="109" t="str">
        <f t="shared" si="20"/>
        <v>B</v>
      </c>
      <c r="CO5" s="78"/>
      <c r="CP5" s="79"/>
      <c r="CQ5" s="80"/>
      <c r="CR5" s="108" t="str">
        <f>IFERROR((((COUNTIF('Elève (5ème6)'!CO5:CQ5,"A"))*4)+((COUNTIF('Elève (5ème6)'!CO5:CQ5,"B"))*3)+((COUNTIF('Elève (5ème6)'!CO5:CQ5,"C"))*2)+((COUNTIF('Elève (5ème6)'!CO5:CQ5,"D"))*1))/(COUNTA(CO5:CQ5)),"")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(5ème6)'!CT5:CV5,"A"))*4)+((COUNTIF('Elève (5ème6)'!CT5:CV5,"B"))*3)+((COUNTIF('Elève (5ème6)'!CT5:CV5,"C"))*2)+((COUNTIF('Elève (5ème6)'!CT5:CV5,"D"))*1))/(COUNTA(CT5:CV5)),"")</f>
        <v/>
      </c>
      <c r="CX5" s="109" t="str">
        <f t="shared" si="22"/>
        <v/>
      </c>
      <c r="CY5" s="178">
        <f>IF(COUNT(CM5,CR5,CW5)=0,"",SUM(CM5,CR5,CW5)/COUNT(CM5,CR5,CW5))</f>
        <v>3</v>
      </c>
      <c r="CZ5" s="131" t="str">
        <f t="shared" si="23"/>
        <v>B</v>
      </c>
      <c r="DA5" s="153" t="s">
        <v>28</v>
      </c>
      <c r="DB5" s="154"/>
      <c r="DC5" s="155"/>
      <c r="DD5" s="108">
        <f>IFERROR((((COUNTIF('Elève (5ème6)'!DA5:DC5,"A"))*4)+((COUNTIF('Elève (5ème6)'!DA5:DC5,"B"))*3)+((COUNTIF('Elève (5ème6)'!DA5:DC5,"C"))*2)+((COUNTIF('Elève (5ème6)'!DA5:DC5,"D"))*1))/(COUNTA(DA5:DC5)),"")</f>
        <v>3</v>
      </c>
      <c r="DE5" s="109" t="str">
        <f t="shared" si="24"/>
        <v>B</v>
      </c>
      <c r="DF5" s="78"/>
      <c r="DG5" s="79"/>
      <c r="DH5" s="80"/>
      <c r="DI5" s="108" t="str">
        <f>IFERROR((((COUNTIF('Elève (5ème6)'!DF5:DH5,"A"))*4)+((COUNTIF('Elève (5ème6)'!DF5:DH5,"B"))*3)+((COUNTIF('Elève (5ème6)'!DF5:DH5,"C"))*2)+((COUNTIF('Elève (5ème6)'!DF5:DH5,"D"))*1))/(COUNTA(DF5:DH5)),"")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(5ème6)'!DK5:DM5,"A"))*4)+((COUNTIF('Elève (5ème6)'!DK5:DM5,"B"))*3)+((COUNTIF('Elève (5ème6)'!DK5:DM5,"C"))*2)+((COUNTIF('Elève (5ème6)'!DK5:DM5,"D"))*1))/(COUNTA(DK5:DM5)),"")</f>
        <v/>
      </c>
      <c r="DO5" s="109" t="str">
        <f t="shared" si="26"/>
        <v/>
      </c>
      <c r="DP5" s="178">
        <f>IF(COUNT(DD5,DI5,DN5)=0,"",SUM(DD5,DI5,DN5)/COUNT(DD5,DI5,DN5))</f>
        <v>3</v>
      </c>
      <c r="DQ5" s="131" t="str">
        <f t="shared" si="27"/>
        <v>B</v>
      </c>
      <c r="DR5" s="153" t="s">
        <v>28</v>
      </c>
      <c r="DS5" s="154"/>
      <c r="DT5" s="155"/>
      <c r="DU5" s="108">
        <f>IFERROR((((COUNTIF('Elève (5ème6)'!DR5:DT5,"A"))*4)+((COUNTIF('Elève (5ème6)'!DR5:DT5,"B"))*3)+((COUNTIF('Elève (5ème6)'!DR5:DT5,"C"))*2)+((COUNTIF('Elève (5ème6)'!DR5:DT5,"D"))*1))/(COUNTA(DR5:DT5)),"")</f>
        <v>3</v>
      </c>
      <c r="DV5" s="109" t="str">
        <f t="shared" si="28"/>
        <v>B</v>
      </c>
      <c r="DW5" s="78"/>
      <c r="DX5" s="79"/>
      <c r="DY5" s="80"/>
      <c r="DZ5" s="108" t="str">
        <f>IFERROR((((COUNTIF('Elève (5ème6)'!DW5:DY5,"A"))*4)+((COUNTIF('Elève (5ème6)'!DW5:DY5,"B"))*3)+((COUNTIF('Elève (5ème6)'!DW5:DY5,"C"))*2)+((COUNTIF('Elève (5ème6)'!DW5:DY5,"D"))*1))/(COUNTA(DW5:DY5)),"")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(5ème6)'!EB5:ED5,"A"))*4)+((COUNTIF('Elève (5ème6)'!EB5:ED5,"B"))*3)+((COUNTIF('Elève (5ème6)'!EB5:ED5,"C"))*2)+((COUNTIF('Elève (5ème6)'!EB5:ED5,"D"))*1))/(COUNTA(EB5:ED5)),"")</f>
        <v/>
      </c>
      <c r="EF5" s="109" t="str">
        <f t="shared" si="30"/>
        <v/>
      </c>
      <c r="EG5" s="178">
        <f>IF(COUNT(DU5,DZ5,EE5)=0,"",SUM(DU5,DZ5,EE5)/COUNT(DU5,DZ5,EE5))</f>
        <v>3</v>
      </c>
      <c r="EH5" s="131" t="str">
        <f t="shared" si="31"/>
        <v>B</v>
      </c>
      <c r="EI5" s="153" t="s">
        <v>28</v>
      </c>
      <c r="EJ5" s="154"/>
      <c r="EK5" s="155"/>
      <c r="EL5" s="108">
        <f>IFERROR((((COUNTIF('Elève (5ème6)'!EI5:EK5,"A"))*4)+((COUNTIF('Elève (5ème6)'!EI5:EK5,"B"))*3)+((COUNTIF('Elève (5ème6)'!EI5:EK5,"C"))*2)+((COUNTIF('Elève (5ème6)'!EI5:EK5,"D"))*1))/(COUNTA(EI5:EK5)),"")</f>
        <v>3</v>
      </c>
      <c r="EM5" s="109" t="str">
        <f t="shared" si="32"/>
        <v>B</v>
      </c>
      <c r="EN5" s="78"/>
      <c r="EO5" s="79"/>
      <c r="EP5" s="80"/>
      <c r="EQ5" s="108" t="str">
        <f>IFERROR((((COUNTIF('Elève (5ème6)'!EN5:EP5,"A"))*4)+((COUNTIF('Elève (5ème6)'!EN5:EP5,"B"))*3)+((COUNTIF('Elève (5ème6)'!EN5:EP5,"C"))*2)+((COUNTIF('Elève (5ème6)'!EN5:EP5,"D"))*1))/(COUNTA(EN5:EP5)),"")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(5ème6)'!ES5:EU5,"A"))*4)+((COUNTIF('Elève (5ème6)'!ES5:EU5,"B"))*3)+((COUNTIF('Elève (5ème6)'!ES5:EU5,"C"))*2)+((COUNTIF('Elève (5ème6)'!ES5:EU5,"D"))*1))/(COUNTA(ES5:EU5)),"")</f>
        <v/>
      </c>
      <c r="EW5" s="109" t="str">
        <f t="shared" si="34"/>
        <v/>
      </c>
      <c r="EX5" s="178">
        <f>IF(COUNT(EL5,EQ5,EV5)=0,"",SUM(EL5,EQ5,EV5)/COUNT(EL5,EQ5,EV5))</f>
        <v>3</v>
      </c>
      <c r="EY5" s="131" t="str">
        <f t="shared" si="35"/>
        <v>B</v>
      </c>
      <c r="EZ5" s="153" t="s">
        <v>28</v>
      </c>
      <c r="FA5" s="154"/>
      <c r="FB5" s="155"/>
      <c r="FC5" s="108">
        <f>IFERROR((((COUNTIF('Elève (5ème6)'!EZ5:FB5,"A"))*4)+((COUNTIF('Elève (5ème6)'!EZ5:FB5,"B"))*3)+((COUNTIF('Elève (5ème6)'!EZ5:FB5,"C"))*2)+((COUNTIF('Elève (5ème6)'!EZ5:FB5,"D"))*1))/(COUNTA(EZ5:FB5)),"")</f>
        <v>3</v>
      </c>
      <c r="FD5" s="109" t="str">
        <f t="shared" si="36"/>
        <v>B</v>
      </c>
      <c r="FE5" s="78"/>
      <c r="FF5" s="79"/>
      <c r="FG5" s="80"/>
      <c r="FH5" s="108" t="str">
        <f>IFERROR((((COUNTIF('Elève (5ème6)'!FE5:FG5,"A"))*4)+((COUNTIF('Elève (5ème6)'!FE5:FG5,"B"))*3)+((COUNTIF('Elève (5ème6)'!FE5:FG5,"C"))*2)+((COUNTIF('Elève (5ème6)'!FE5:FG5,"D"))*1))/(COUNTA(FE5:FG5)),"")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(5ème6)'!FJ5:FL5,"A"))*4)+((COUNTIF('Elève (5ème6)'!FJ5:FL5,"B"))*3)+((COUNTIF('Elève (5ème6)'!FJ5:FL5,"C"))*2)+((COUNTIF('Elève (5ème6)'!FJ5:FL5,"D"))*1))/(COUNTA(FJ5:FL5)),"")</f>
        <v/>
      </c>
      <c r="FN5" s="109" t="str">
        <f t="shared" si="38"/>
        <v/>
      </c>
      <c r="FO5" s="178">
        <f>IF(COUNT(FC5,FH5,FM5)=0,"",SUM(FC5,FH5,FM5)/COUNT(FC5,FH5,FM5))</f>
        <v>3</v>
      </c>
      <c r="FP5" s="131" t="str">
        <f t="shared" si="39"/>
        <v>B</v>
      </c>
      <c r="FQ5" s="153" t="s">
        <v>28</v>
      </c>
      <c r="FR5" s="154"/>
      <c r="FS5" s="155"/>
      <c r="FT5" s="108">
        <f>IFERROR((((COUNTIF('Elève (5ème6)'!FQ5:FS5,"A"))*4)+((COUNTIF('Elève (5ème6)'!FQ5:FS5,"B"))*3)+((COUNTIF('Elève (5ème6)'!FQ5:FS5,"C"))*2)+((COUNTIF('Elève (5ème6)'!FQ5:FS5,"D"))*1))/(COUNTA(FQ5:FS5)),"")</f>
        <v>3</v>
      </c>
      <c r="FU5" s="109" t="str">
        <f t="shared" si="40"/>
        <v>B</v>
      </c>
      <c r="FV5" s="78"/>
      <c r="FW5" s="79"/>
      <c r="FX5" s="80"/>
      <c r="FY5" s="108" t="str">
        <f>IFERROR((((COUNTIF('Elève (5ème6)'!FV5:FX5,"A"))*4)+((COUNTIF('Elève (5ème6)'!FV5:FX5,"B"))*3)+((COUNTIF('Elève (5ème6)'!FV5:FX5,"C"))*2)+((COUNTIF('Elève (5ème6)'!FV5:FX5,"D"))*1))/(COUNTA(FV5:FX5)),"")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(5ème6)'!GA5:GC5,"A"))*4)+((COUNTIF('Elève (5ème6)'!GA5:GC5,"B"))*3)+((COUNTIF('Elève (5ème6)'!GA5:GC5,"C"))*2)+((COUNTIF('Elève (5ème6)'!GA5:GC5,"D"))*1))/(COUNTA(GA5:GC5)),"")</f>
        <v/>
      </c>
      <c r="GE5" s="109" t="str">
        <f t="shared" si="42"/>
        <v/>
      </c>
      <c r="GF5" s="178">
        <f>IF(COUNT(FT5,FY5,GD5)=0,"",SUM(FT5,FY5,GD5)/COUNT(FT5,FY5,GD5))</f>
        <v>3</v>
      </c>
      <c r="GG5" s="131" t="str">
        <f t="shared" si="43"/>
        <v>B</v>
      </c>
      <c r="GH5" s="153" t="s">
        <v>28</v>
      </c>
      <c r="GI5" s="154"/>
      <c r="GJ5" s="155"/>
      <c r="GK5" s="108">
        <f>IFERROR((((COUNTIF('Elève (5ème6)'!GH5:GJ5,"A"))*4)+((COUNTIF('Elève (5ème6)'!GH5:GJ5,"B"))*3)+((COUNTIF('Elève (5ème6)'!GH5:GJ5,"C"))*2)+((COUNTIF('Elève (5ème6)'!GH5:GJ5,"D"))*1))/(COUNTA(GH5:GJ5)),"")</f>
        <v>3</v>
      </c>
      <c r="GL5" s="109" t="str">
        <f t="shared" si="44"/>
        <v>B</v>
      </c>
      <c r="GM5" s="78"/>
      <c r="GN5" s="79"/>
      <c r="GO5" s="80"/>
      <c r="GP5" s="108" t="str">
        <f>IFERROR((((COUNTIF('Elève (5ème6)'!GM5:GO5,"A"))*4)+((COUNTIF('Elève (5ème6)'!GM5:GO5,"B"))*3)+((COUNTIF('Elève (5ème6)'!GM5:GO5,"C"))*2)+((COUNTIF('Elève (5ème6)'!GM5:GO5,"D"))*1))/(COUNTA(GM5:GO5)),"")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(5ème6)'!GR5:GT5,"A"))*4)+((COUNTIF('Elève (5ème6)'!GR5:GT5,"B"))*3)+((COUNTIF('Elève (5ème6)'!GR5:GT5,"C"))*2)+((COUNTIF('Elève (5ème6)'!GR5:GT5,"D"))*1))/(COUNTA(GR5:GT5)),"")</f>
        <v/>
      </c>
      <c r="GV5" s="109" t="str">
        <f t="shared" si="46"/>
        <v/>
      </c>
      <c r="GW5" s="178">
        <f>IF(COUNT(GK5,GP5,GU5)=0,"",SUM(GK5,GP5,GU5)/COUNT(GK5,GP5,GU5))</f>
        <v>3</v>
      </c>
      <c r="GX5" s="131" t="str">
        <f t="shared" si="47"/>
        <v>B</v>
      </c>
      <c r="GY5" s="153" t="s">
        <v>28</v>
      </c>
      <c r="GZ5" s="154"/>
      <c r="HA5" s="155"/>
      <c r="HB5" s="108">
        <f>IFERROR((((COUNTIF('Elève (5ème6)'!GY5:HA5,"A"))*4)+((COUNTIF('Elève (5ème6)'!GY5:HA5,"B"))*3)+((COUNTIF('Elève (5ème6)'!GY5:HA5,"C"))*2)+((COUNTIF('Elève (5ème6)'!GY5:HA5,"D"))*1))/(COUNTA(GY5:HA5)),"")</f>
        <v>3</v>
      </c>
      <c r="HC5" s="109" t="str">
        <f t="shared" si="48"/>
        <v>B</v>
      </c>
      <c r="HD5" s="78"/>
      <c r="HE5" s="79"/>
      <c r="HF5" s="80"/>
      <c r="HG5" s="108" t="str">
        <f>IFERROR((((COUNTIF('Elève (5ème6)'!HD5:HF5,"A"))*4)+((COUNTIF('Elève (5ème6)'!HD5:HF5,"B"))*3)+((COUNTIF('Elève (5ème6)'!HD5:HF5,"C"))*2)+((COUNTIF('Elève (5ème6)'!HD5:HF5,"D"))*1))/(COUNTA(HD5:HF5)),"")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(5ème6)'!HI5:HK5,"A"))*4)+((COUNTIF('Elève (5ème6)'!HI5:HK5,"B"))*3)+((COUNTIF('Elève (5ème6)'!HI5:HK5,"C"))*2)+((COUNTIF('Elève (5ème6)'!HI5:HK5,"D"))*1))/(COUNTA(HI5:HK5)),"")</f>
        <v/>
      </c>
      <c r="HM5" s="109" t="str">
        <f t="shared" si="50"/>
        <v/>
      </c>
      <c r="HN5" s="178">
        <f>IF(COUNT(HB5,HG5,HL5)=0,"",SUM(HB5,HG5,HL5)/COUNT(HB5,HG5,HL5))</f>
        <v>3</v>
      </c>
      <c r="HO5" s="131" t="str">
        <f t="shared" si="51"/>
        <v>B</v>
      </c>
      <c r="HP5" s="153" t="s">
        <v>27</v>
      </c>
      <c r="HQ5" s="154"/>
      <c r="HR5" s="155"/>
      <c r="HS5" s="108">
        <f>IFERROR((((COUNTIF('Elève (5ème6)'!HP5:HR5,"A"))*4)+((COUNTIF('Elève (5ème6)'!HP5:HR5,"B"))*3)+((COUNTIF('Elève (5ème6)'!HP5:HR5,"C"))*2)+((COUNTIF('Elève (5ème6)'!HP5:HR5,"D"))*1))/(COUNTA(HP5:HR5)),"")</f>
        <v>4</v>
      </c>
      <c r="HT5" s="109" t="str">
        <f t="shared" si="52"/>
        <v>A</v>
      </c>
      <c r="HU5" s="78"/>
      <c r="HV5" s="79"/>
      <c r="HW5" s="80"/>
      <c r="HX5" s="108" t="str">
        <f>IFERROR((((COUNTIF('Elève (5ème6)'!HU5:HW5,"A"))*4)+((COUNTIF('Elève (5ème6)'!HU5:HW5,"B"))*3)+((COUNTIF('Elève (5ème6)'!HU5:HW5,"C"))*2)+((COUNTIF('Elève (5ème6)'!HU5:HW5,"D"))*1))/(COUNTA(HU5:HW5)),"")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(5ème6)'!HZ5:IB5,"A"))*4)+((COUNTIF('Elève (5ème6)'!HZ5:IB5,"B"))*3)+((COUNTIF('Elève (5ème6)'!HZ5:IB5,"C"))*2)+((COUNTIF('Elève (5ème6)'!HZ5:IB5,"D"))*1))/(COUNTA(HZ5:IB5)),"")</f>
        <v/>
      </c>
      <c r="ID5" s="109" t="str">
        <f t="shared" si="54"/>
        <v/>
      </c>
      <c r="IE5" s="178">
        <f>IF(COUNT(HS5,HX5,IC5)=0,"",SUM(HS5,HX5,IC5)/COUNT(HS5,HX5,IC5))</f>
        <v>4</v>
      </c>
      <c r="IF5" s="131" t="str">
        <f t="shared" si="55"/>
        <v>A</v>
      </c>
      <c r="IG5" s="153" t="s">
        <v>28</v>
      </c>
      <c r="IH5" s="154"/>
      <c r="II5" s="155"/>
      <c r="IJ5" s="108">
        <f>IFERROR((((COUNTIF('Elève (5ème6)'!IG5:II5,"A"))*4)+((COUNTIF('Elève (5ème6)'!IG5:II5,"B"))*3)+((COUNTIF('Elève (5ème6)'!IG5:II5,"C"))*2)+((COUNTIF('Elève (5ème6)'!IG5:II5,"D"))*1))/(COUNTA(IG5:II5)),"")</f>
        <v>3</v>
      </c>
      <c r="IK5" s="109" t="str">
        <f t="shared" si="56"/>
        <v>B</v>
      </c>
      <c r="IL5" s="78"/>
      <c r="IM5" s="79"/>
      <c r="IN5" s="80"/>
      <c r="IO5" s="108" t="str">
        <f>IFERROR((((COUNTIF('Elève (5ème6)'!IL5:IN5,"A"))*4)+((COUNTIF('Elève (5ème6)'!IL5:IN5,"B"))*3)+((COUNTIF('Elève (5ème6)'!IL5:IN5,"C"))*2)+((COUNTIF('Elève (5ème6)'!IL5:IN5,"D"))*1))/(COUNTA(IL5:IN5)),"")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(5ème6)'!IQ5:IS5,"A"))*4)+((COUNTIF('Elève (5ème6)'!IQ5:IS5,"B"))*3)+((COUNTIF('Elève (5ème6)'!IQ5:IS5,"C"))*2)+((COUNTIF('Elève (5ème6)'!IQ5:IS5,"D"))*1))/(COUNTA(IQ5:IS5)),"")</f>
        <v/>
      </c>
      <c r="IU5" s="109" t="str">
        <f t="shared" si="58"/>
        <v/>
      </c>
      <c r="IV5" s="178">
        <f>IF(COUNT(IJ5,IO5,IT5)=0,"",SUM(IJ5,IO5,IT5)/COUNT(IJ5,IO5,IT5))</f>
        <v>3</v>
      </c>
      <c r="IW5" s="131" t="str">
        <f t="shared" si="59"/>
        <v>B</v>
      </c>
      <c r="IX5" s="153" t="s">
        <v>28</v>
      </c>
      <c r="IY5" s="154"/>
      <c r="IZ5" s="155"/>
      <c r="JA5" s="108">
        <f>IFERROR((((COUNTIF('Elève (5ème6)'!IX5:IZ5,"A"))*4)+((COUNTIF('Elève (5ème6)'!IX5:IZ5,"B"))*3)+((COUNTIF('Elève (5ème6)'!IX5:IZ5,"C"))*2)+((COUNTIF('Elève (5ème6)'!IX5:IZ5,"D"))*1))/(COUNTA(IX5:IZ5)),"")</f>
        <v>3</v>
      </c>
      <c r="JB5" s="109" t="str">
        <f t="shared" si="60"/>
        <v>B</v>
      </c>
      <c r="JC5" s="78"/>
      <c r="JD5" s="79"/>
      <c r="JE5" s="80"/>
      <c r="JF5" s="108" t="str">
        <f>IFERROR((((COUNTIF('Elève (5ème6)'!JC5:JE5,"A"))*4)+((COUNTIF('Elève (5ème6)'!JC5:JE5,"B"))*3)+((COUNTIF('Elève (5ème6)'!JC5:JE5,"C"))*2)+((COUNTIF('Elève (5ème6)'!JC5:JE5,"D"))*1))/(COUNTA(JC5:JE5)),"")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(5ème6)'!JH5:JJ5,"A"))*4)+((COUNTIF('Elève (5ème6)'!JH5:JJ5,"B"))*3)+((COUNTIF('Elève (5ème6)'!JH5:JJ5,"C"))*2)+((COUNTIF('Elève (5ème6)'!JH5:JJ5,"D"))*1))/(COUNTA(JH5:JJ5)),"")</f>
        <v/>
      </c>
      <c r="JL5" s="109" t="str">
        <f t="shared" si="62"/>
        <v/>
      </c>
      <c r="JM5" s="178">
        <f>IF(COUNT(JA5,JF5,JK5)=0,"",SUM(JA5,JF5,JK5)/COUNT(JA5,JF5,JK5))</f>
        <v>3</v>
      </c>
      <c r="JN5" s="131" t="str">
        <f t="shared" si="63"/>
        <v>B</v>
      </c>
      <c r="JO5" s="153" t="s">
        <v>28</v>
      </c>
      <c r="JP5" s="154"/>
      <c r="JQ5" s="155"/>
      <c r="JR5" s="108">
        <f>IFERROR((((COUNTIF('Elève (5ème6)'!JO5:JQ5,"A"))*4)+((COUNTIF('Elève (5ème6)'!JO5:JQ5,"B"))*3)+((COUNTIF('Elève (5ème6)'!JO5:JQ5,"C"))*2)+((COUNTIF('Elève (5ème6)'!JO5:JQ5,"D"))*1))/(COUNTA(JO5:JQ5)),"")</f>
        <v>3</v>
      </c>
      <c r="JS5" s="109" t="str">
        <f t="shared" si="64"/>
        <v>B</v>
      </c>
      <c r="JT5" s="78"/>
      <c r="JU5" s="79"/>
      <c r="JV5" s="80"/>
      <c r="JW5" s="108" t="str">
        <f>IFERROR((((COUNTIF('Elève (5ème6)'!JT5:JV5,"A"))*4)+((COUNTIF('Elève (5ème6)'!JT5:JV5,"B"))*3)+((COUNTIF('Elève (5ème6)'!JT5:JV5,"C"))*2)+((COUNTIF('Elève (5ème6)'!JT5:JV5,"D"))*1))/(COUNTA(JT5:JV5)),"")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(5ème6)'!JY5:KA5,"A"))*4)+((COUNTIF('Elève (5ème6)'!JY5:KA5,"B"))*3)+((COUNTIF('Elève (5ème6)'!JY5:KA5,"C"))*2)+((COUNTIF('Elève (5ème6)'!JY5:KA5,"D"))*1))/(COUNTA(JY5:KA5)),"")</f>
        <v/>
      </c>
      <c r="KC5" s="109" t="str">
        <f t="shared" si="66"/>
        <v/>
      </c>
      <c r="KD5" s="178">
        <f>IF(COUNT(JR5,JW5,KB5)=0,"",SUM(JR5,JW5,KB5)/COUNT(JR5,JW5,KB5))</f>
        <v>3</v>
      </c>
      <c r="KE5" s="131" t="str">
        <f t="shared" si="67"/>
        <v>B</v>
      </c>
      <c r="KF5" s="153" t="s">
        <v>28</v>
      </c>
      <c r="KG5" s="154"/>
      <c r="KH5" s="155"/>
      <c r="KI5" s="108">
        <f>IFERROR((((COUNTIF('Elève (5ème6)'!KF5:KH5,"A"))*4)+((COUNTIF('Elève (5ème6)'!KF5:KH5,"B"))*3)+((COUNTIF('Elève (5ème6)'!KF5:KH5,"C"))*2)+((COUNTIF('Elève (5ème6)'!KF5:KH5,"D"))*1))/(COUNTA(KF5:KH5)),"")</f>
        <v>3</v>
      </c>
      <c r="KJ5" s="109" t="str">
        <f t="shared" si="68"/>
        <v>B</v>
      </c>
      <c r="KK5" s="78"/>
      <c r="KL5" s="79"/>
      <c r="KM5" s="80"/>
      <c r="KN5" s="108" t="str">
        <f>IFERROR((((COUNTIF('Elève (5ème6)'!KK5:KM5,"A"))*4)+((COUNTIF('Elève (5ème6)'!KK5:KM5,"B"))*3)+((COUNTIF('Elève (5ème6)'!KK5:KM5,"C"))*2)+((COUNTIF('Elève (5ème6)'!KK5:KM5,"D"))*1))/(COUNTA(KK5:KM5)),"")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(5ème6)'!KP5:KR5,"A"))*4)+((COUNTIF('Elève (5ème6)'!KP5:KR5,"B"))*3)+((COUNTIF('Elève (5ème6)'!KP5:KR5,"C"))*2)+((COUNTIF('Elève (5ème6)'!KP5:KR5,"D"))*1))/(COUNTA(KP5:KR5)),"")</f>
        <v/>
      </c>
      <c r="KT5" s="109" t="str">
        <f t="shared" si="70"/>
        <v/>
      </c>
      <c r="KU5" s="178">
        <f>IF(COUNT(KI5,KN5,KS5)=0,"",SUM(KI5,KN5,KS5)/COUNT(KI5,KN5,KS5))</f>
        <v>3</v>
      </c>
      <c r="KV5" s="131" t="str">
        <f t="shared" si="71"/>
        <v>B</v>
      </c>
      <c r="KW5" s="153" t="s">
        <v>28</v>
      </c>
      <c r="KX5" s="154"/>
      <c r="KY5" s="155"/>
      <c r="KZ5" s="108">
        <f>IFERROR((((COUNTIF('Elève (5ème6)'!KW5:KY5,"A"))*4)+((COUNTIF('Elève (5ème6)'!KW5:KY5,"B"))*3)+((COUNTIF('Elève (5ème6)'!KW5:KY5,"C"))*2)+((COUNTIF('Elève (5ème6)'!KW5:KY5,"D"))*1))/(COUNTA(KW5:KY5)),"")</f>
        <v>3</v>
      </c>
      <c r="LA5" s="109" t="str">
        <f t="shared" si="72"/>
        <v>B</v>
      </c>
      <c r="LB5" s="78"/>
      <c r="LC5" s="79"/>
      <c r="LD5" s="80"/>
      <c r="LE5" s="108" t="str">
        <f>IFERROR((((COUNTIF('Elève (5ème6)'!LB5:LD5,"A"))*4)+((COUNTIF('Elève (5ème6)'!LB5:LD5,"B"))*3)+((COUNTIF('Elève (5ème6)'!LB5:LD5,"C"))*2)+((COUNTIF('Elève (5ème6)'!LB5:LD5,"D"))*1))/(COUNTA(LB5:LD5)),"")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(5ème6)'!LG5:LI5,"A"))*4)+((COUNTIF('Elève (5ème6)'!LG5:LI5,"B"))*3)+((COUNTIF('Elève (5ème6)'!LG5:LI5,"C"))*2)+((COUNTIF('Elève (5ème6)'!LG5:LI5,"D"))*1))/(COUNTA(LG5:LI5)),"")</f>
        <v/>
      </c>
      <c r="LK5" s="109" t="str">
        <f t="shared" si="74"/>
        <v/>
      </c>
      <c r="LL5" s="178">
        <f>IF(COUNT(KZ5,LE5,LJ5)=0,"",SUM(KZ5,LE5,LJ5)/COUNT(KZ5,LE5,LJ5))</f>
        <v>3</v>
      </c>
      <c r="LM5" s="131" t="str">
        <f t="shared" si="75"/>
        <v>B</v>
      </c>
      <c r="LN5" s="153" t="s">
        <v>28</v>
      </c>
      <c r="LO5" s="154"/>
      <c r="LP5" s="155"/>
      <c r="LQ5" s="108">
        <f>IFERROR((((COUNTIF('Elève (5ème6)'!LN5:LP5,"A"))*4)+((COUNTIF('Elève (5ème6)'!LN5:LP5,"B"))*3)+((COUNTIF('Elève (5ème6)'!LN5:LP5,"C"))*2)+((COUNTIF('Elève (5ème6)'!LN5:LP5,"D"))*1))/(COUNTA(LN5:LP5)),"")</f>
        <v>3</v>
      </c>
      <c r="LR5" s="109" t="str">
        <f t="shared" si="76"/>
        <v>B</v>
      </c>
      <c r="LS5" s="78"/>
      <c r="LT5" s="79"/>
      <c r="LU5" s="80"/>
      <c r="LV5" s="108" t="str">
        <f>IFERROR((((COUNTIF('Elève (5ème6)'!LS5:LU5,"A"))*4)+((COUNTIF('Elève (5ème6)'!LS5:LU5,"B"))*3)+((COUNTIF('Elève (5ème6)'!LS5:LU5,"C"))*2)+((COUNTIF('Elève (5ème6)'!LS5:LU5,"D"))*1))/(COUNTA(LS5:LU5)),"")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(5ème6)'!LX5:LZ5,"A"))*4)+((COUNTIF('Elève (5ème6)'!LX5:LZ5,"B"))*3)+((COUNTIF('Elève (5ème6)'!LX5:LZ5,"C"))*2)+((COUNTIF('Elève (5ème6)'!LX5:LZ5,"D"))*1))/(COUNTA(LX5:LZ5)),"")</f>
        <v/>
      </c>
      <c r="MB5" s="109" t="str">
        <f t="shared" si="78"/>
        <v/>
      </c>
      <c r="MC5" s="178">
        <f>IF(COUNT(LQ5,LV5,MA5)=0,"",SUM(LQ5,LV5,MA5)/COUNT(LQ5,LV5,MA5))</f>
        <v>3</v>
      </c>
      <c r="MD5" s="131" t="str">
        <f t="shared" si="79"/>
        <v>B</v>
      </c>
      <c r="ME5" s="153" t="s">
        <v>28</v>
      </c>
      <c r="MF5" s="154"/>
      <c r="MG5" s="155"/>
      <c r="MH5" s="108">
        <f>IFERROR((((COUNTIF('Elève (5ème6)'!ME5:MG5,"A"))*4)+((COUNTIF('Elève (5ème6)'!ME5:MG5,"B"))*3)+((COUNTIF('Elève (5ème6)'!ME5:MG5,"C"))*2)+((COUNTIF('Elève (5ème6)'!ME5:MG5,"D"))*1))/(COUNTA(ME5:MG5)),"")</f>
        <v>3</v>
      </c>
      <c r="MI5" s="109" t="str">
        <f t="shared" si="80"/>
        <v>B</v>
      </c>
      <c r="MJ5" s="78"/>
      <c r="MK5" s="79"/>
      <c r="ML5" s="80"/>
      <c r="MM5" s="108" t="str">
        <f>IFERROR((((COUNTIF('Elève (5ème6)'!MJ5:ML5,"A"))*4)+((COUNTIF('Elève (5ème6)'!MJ5:ML5,"B"))*3)+((COUNTIF('Elève (5ème6)'!MJ5:ML5,"C"))*2)+((COUNTIF('Elève (5ème6)'!MJ5:ML5,"D"))*1))/(COUNTA(MJ5:ML5)),"")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(5ème6)'!MO5:MQ5,"A"))*4)+((COUNTIF('Elève (5ème6)'!MO5:MQ5,"B"))*3)+((COUNTIF('Elève (5ème6)'!MO5:MQ5,"C"))*2)+((COUNTIF('Elève (5ème6)'!MO5:MQ5,"D"))*1))/(COUNTA(MO5:MQ5)),"")</f>
        <v/>
      </c>
      <c r="MS5" s="109" t="str">
        <f t="shared" si="82"/>
        <v/>
      </c>
      <c r="MT5" s="178">
        <f>IF(COUNT(MH5,MM5,MR5)=0,"",SUM(MH5,MM5,MR5)/COUNT(MH5,MM5,MR5))</f>
        <v>3</v>
      </c>
      <c r="MU5" s="131" t="str">
        <f t="shared" si="83"/>
        <v>B</v>
      </c>
      <c r="MV5" s="153" t="s">
        <v>28</v>
      </c>
      <c r="MW5" s="154"/>
      <c r="MX5" s="155"/>
      <c r="MY5" s="108">
        <f>IFERROR((((COUNTIF('Elève (5ème6)'!MV5:MX5,"A"))*4)+((COUNTIF('Elève (5ème6)'!MV5:MX5,"B"))*3)+((COUNTIF('Elève (5ème6)'!MV5:MX5,"C"))*2)+((COUNTIF('Elève (5ème6)'!MV5:MX5,"D"))*1))/(COUNTA(MV5:MX5)),"")</f>
        <v>3</v>
      </c>
      <c r="MZ5" s="109" t="str">
        <f t="shared" si="84"/>
        <v>B</v>
      </c>
      <c r="NA5" s="78"/>
      <c r="NB5" s="79"/>
      <c r="NC5" s="80"/>
      <c r="ND5" s="108" t="str">
        <f>IFERROR((((COUNTIF('Elève (5ème6)'!NA5:NC5,"A"))*4)+((COUNTIF('Elève (5ème6)'!NA5:NC5,"B"))*3)+((COUNTIF('Elève (5ème6)'!NA5:NC5,"C"))*2)+((COUNTIF('Elève (5ème6)'!NA5:NC5,"D"))*1))/(COUNTA(NA5:NC5)),"")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(5ème6)'!NF5:NH5,"A"))*4)+((COUNTIF('Elève (5ème6)'!NF5:NH5,"B"))*3)+((COUNTIF('Elève (5ème6)'!NF5:NH5,"C"))*2)+((COUNTIF('Elève (5ème6)'!NF5:NH5,"D"))*1))/(COUNTA(NF5:NH5)),"")</f>
        <v/>
      </c>
      <c r="NJ5" s="109" t="str">
        <f t="shared" si="86"/>
        <v/>
      </c>
      <c r="NK5" s="178">
        <f>IF(COUNT(MY5,ND5,NI5)=0,"",SUM(MY5,ND5,NI5)/COUNT(MY5,ND5,NI5))</f>
        <v>3</v>
      </c>
      <c r="NL5" s="131" t="str">
        <f t="shared" si="87"/>
        <v>B</v>
      </c>
      <c r="NM5" s="153" t="s">
        <v>28</v>
      </c>
      <c r="NN5" s="154"/>
      <c r="NO5" s="155"/>
      <c r="NP5" s="108">
        <f>IFERROR((((COUNTIF('Elève (5ème6)'!NM5:NO5,"A"))*4)+((COUNTIF('Elève (5ème6)'!NM5:NO5,"B"))*3)+((COUNTIF('Elève (5ème6)'!NM5:NO5,"C"))*2)+((COUNTIF('Elève (5ème6)'!NM5:NO5,"D"))*1))/(COUNTA(NM5:NO5)),"")</f>
        <v>3</v>
      </c>
      <c r="NQ5" s="109" t="str">
        <f t="shared" si="88"/>
        <v>B</v>
      </c>
      <c r="NR5" s="78"/>
      <c r="NS5" s="79"/>
      <c r="NT5" s="80"/>
      <c r="NU5" s="108" t="str">
        <f>IFERROR((((COUNTIF('Elève (5ème6)'!NR5:NT5,"A"))*4)+((COUNTIF('Elève (5ème6)'!NR5:NT5,"B"))*3)+((COUNTIF('Elève (5ème6)'!NR5:NT5,"C"))*2)+((COUNTIF('Elève (5ème6)'!NR5:NT5,"D"))*1))/(COUNTA(NR5:NT5)),"")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(5ème6)'!NW5:NY5,"A"))*4)+((COUNTIF('Elève (5ème6)'!NW5:NY5,"B"))*3)+((COUNTIF('Elève (5ème6)'!NW5:NY5,"C"))*2)+((COUNTIF('Elève (5ème6)'!NW5:NY5,"D"))*1))/(COUNTA(NW5:NY5)),"")</f>
        <v/>
      </c>
      <c r="OA5" s="109" t="str">
        <f t="shared" si="90"/>
        <v/>
      </c>
      <c r="OB5" s="178">
        <f>IF(COUNT(NP5,NU5,NZ5)=0,"",SUM(NP5,NU5,NZ5)/COUNT(NP5,NU5,NZ5))</f>
        <v>3</v>
      </c>
      <c r="OC5" s="131" t="str">
        <f t="shared" si="91"/>
        <v>B</v>
      </c>
      <c r="OD5" s="153" t="s">
        <v>28</v>
      </c>
      <c r="OE5" s="154"/>
      <c r="OF5" s="155"/>
      <c r="OG5" s="108">
        <f>IFERROR((((COUNTIF('Elève (5ème6)'!OD5:OF5,"A"))*4)+((COUNTIF('Elève (5ème6)'!OD5:OF5,"B"))*3)+((COUNTIF('Elève (5ème6)'!OD5:OF5,"C"))*2)+((COUNTIF('Elève (5ème6)'!OD5:OF5,"D"))*1))/(COUNTA(OD5:OF5)),"")</f>
        <v>3</v>
      </c>
      <c r="OH5" s="109" t="str">
        <f t="shared" si="92"/>
        <v>B</v>
      </c>
      <c r="OI5" s="78"/>
      <c r="OJ5" s="79"/>
      <c r="OK5" s="80"/>
      <c r="OL5" s="108" t="str">
        <f>IFERROR((((COUNTIF('Elève (5ème6)'!OI5:OK5,"A"))*4)+((COUNTIF('Elève (5ème6)'!OI5:OK5,"B"))*3)+((COUNTIF('Elève (5ème6)'!OI5:OK5,"C"))*2)+((COUNTIF('Elève (5ème6)'!OI5:OK5,"D"))*1))/(COUNTA(OI5:OK5)),"")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(5ème6)'!ON5:OP5,"A"))*4)+((COUNTIF('Elève (5ème6)'!ON5:OP5,"B"))*3)+((COUNTIF('Elève (5ème6)'!ON5:OP5,"C"))*2)+((COUNTIF('Elève (5ème6)'!ON5:OP5,"D"))*1))/(COUNTA(ON5:OP5)),"")</f>
        <v/>
      </c>
      <c r="OR5" s="109" t="str">
        <f t="shared" si="94"/>
        <v/>
      </c>
      <c r="OS5" s="178">
        <f>IF(COUNT(OG5,OL5,OQ5)=0,"",SUM(OG5,OL5,OQ5)/COUNT(OG5,OL5,OQ5))</f>
        <v>3</v>
      </c>
      <c r="OT5" s="131" t="str">
        <f t="shared" si="95"/>
        <v>B</v>
      </c>
      <c r="OU5" s="153" t="s">
        <v>27</v>
      </c>
      <c r="OV5" s="154"/>
      <c r="OW5" s="155"/>
      <c r="OX5" s="108">
        <f>IFERROR((((COUNTIF('Elève (5ème6)'!OU5:OW5,"A"))*4)+((COUNTIF('Elève (5ème6)'!OU5:OW5,"B"))*3)+((COUNTIF('Elève (5ème6)'!OU5:OW5,"C"))*2)+((COUNTIF('Elève (5ème6)'!OU5:OW5,"D"))*1))/(COUNTA(OU5:OW5)),"")</f>
        <v>4</v>
      </c>
      <c r="OY5" s="109" t="str">
        <f t="shared" si="96"/>
        <v>A</v>
      </c>
      <c r="OZ5" s="78"/>
      <c r="PA5" s="79"/>
      <c r="PB5" s="80"/>
      <c r="PC5" s="108" t="str">
        <f>IFERROR((((COUNTIF('Elève (5ème6)'!OZ5:PB5,"A"))*4)+((COUNTIF('Elève (5ème6)'!OZ5:PB5,"B"))*3)+((COUNTIF('Elève (5ème6)'!OZ5:PB5,"C"))*2)+((COUNTIF('Elève (5ème6)'!OZ5:PB5,"D"))*1))/(COUNTA(OZ5:PB5)),"")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(5ème6)'!PE5:PG5,"A"))*4)+((COUNTIF('Elève (5ème6)'!PE5:PG5,"B"))*3)+((COUNTIF('Elève (5ème6)'!PE5:PG5,"C"))*2)+((COUNTIF('Elève (5ème6)'!PE5:PG5,"D"))*1))/(COUNTA(PE5:PG5)),"")</f>
        <v/>
      </c>
      <c r="PI5" s="109" t="str">
        <f t="shared" si="98"/>
        <v/>
      </c>
      <c r="PJ5" s="178">
        <f>IF(COUNT(OX5,PC5,PH5)=0,"",SUM(OX5,PC5,PH5)/COUNT(OX5,PC5,PH5))</f>
        <v>4</v>
      </c>
      <c r="PK5" s="131" t="str">
        <f t="shared" si="99"/>
        <v>A</v>
      </c>
      <c r="PL5" s="153" t="s">
        <v>28</v>
      </c>
      <c r="PM5" s="154"/>
      <c r="PN5" s="155"/>
      <c r="PO5" s="108">
        <f>IFERROR((((COUNTIF('Elève (5ème6)'!PL5:PN5,"A"))*4)+((COUNTIF('Elève (5ème6)'!PL5:PN5,"B"))*3)+((COUNTIF('Elève (5ème6)'!PL5:PN5,"C"))*2)+((COUNTIF('Elève (5ème6)'!PL5:PN5,"D"))*1))/(COUNTA(PL5:PN5)),"")</f>
        <v>3</v>
      </c>
      <c r="PP5" s="109" t="str">
        <f t="shared" si="100"/>
        <v>B</v>
      </c>
      <c r="PQ5" s="78"/>
      <c r="PR5" s="79"/>
      <c r="PS5" s="80"/>
      <c r="PT5" s="108" t="str">
        <f>IFERROR((((COUNTIF('Elève (5ème6)'!PQ5:PS5,"A"))*4)+((COUNTIF('Elève (5ème6)'!PQ5:PS5,"B"))*3)+((COUNTIF('Elève (5ème6)'!PQ5:PS5,"C"))*2)+((COUNTIF('Elève (5ème6)'!PQ5:PS5,"D"))*1))/(COUNTA(PQ5:PS5)),"")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(5ème6)'!PV5:PX5,"A"))*4)+((COUNTIF('Elève (5ème6)'!PV5:PX5,"B"))*3)+((COUNTIF('Elève (5ème6)'!PV5:PX5,"C"))*2)+((COUNTIF('Elève (5ème6)'!PV5:PX5,"D"))*1))/(COUNTA(PV5:PX5)),"")</f>
        <v/>
      </c>
      <c r="PZ5" s="109" t="str">
        <f t="shared" si="102"/>
        <v/>
      </c>
      <c r="QA5" s="178">
        <f>IF(COUNT(PO5,PT5,PY5)=0,"",SUM(PO5,PT5,PY5)/COUNT(PO5,PT5,PY5))</f>
        <v>3</v>
      </c>
      <c r="QB5" s="131" t="str">
        <f t="shared" si="103"/>
        <v>B</v>
      </c>
      <c r="QC5" s="153" t="s">
        <v>28</v>
      </c>
      <c r="QD5" s="154"/>
      <c r="QE5" s="155"/>
      <c r="QF5" s="108">
        <f>IFERROR((((COUNTIF('Elève (5ème6)'!QC5:QE5,"A"))*4)+((COUNTIF('Elève (5ème6)'!QC5:QE5,"B"))*3)+((COUNTIF('Elève (5ème6)'!QC5:QE5,"C"))*2)+((COUNTIF('Elève (5ème6)'!QC5:QE5,"D"))*1))/(COUNTA(QC5:QE5)),"")</f>
        <v>3</v>
      </c>
      <c r="QG5" s="109" t="str">
        <f t="shared" si="104"/>
        <v>B</v>
      </c>
      <c r="QH5" s="78"/>
      <c r="QI5" s="79"/>
      <c r="QJ5" s="80"/>
      <c r="QK5" s="108" t="str">
        <f>IFERROR((((COUNTIF('Elève (5ème6)'!QH5:QJ5,"A"))*4)+((COUNTIF('Elève (5ème6)'!QH5:QJ5,"B"))*3)+((COUNTIF('Elève (5ème6)'!QH5:QJ5,"C"))*2)+((COUNTIF('Elève (5ème6)'!QH5:QJ5,"D"))*1))/(COUNTA(QH5:QJ5)),"")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(5ème6)'!QM5:QO5,"A"))*4)+((COUNTIF('Elève (5ème6)'!QM5:QO5,"B"))*3)+((COUNTIF('Elève (5ème6)'!QM5:QO5,"C"))*2)+((COUNTIF('Elève (5ème6)'!QM5:QO5,"D"))*1))/(COUNTA(QM5:QO5)),"")</f>
        <v/>
      </c>
      <c r="QQ5" s="109" t="str">
        <f t="shared" si="106"/>
        <v/>
      </c>
      <c r="QR5" s="178">
        <f>IF(COUNT(QF5,QK5,QP5)=0,"",SUM(QF5,QK5,QP5)/COUNT(QF5,QK5,QP5))</f>
        <v>3</v>
      </c>
      <c r="QS5" s="131" t="str">
        <f t="shared" si="107"/>
        <v>B</v>
      </c>
      <c r="QT5" s="153" t="s">
        <v>27</v>
      </c>
      <c r="QU5" s="154"/>
      <c r="QV5" s="155"/>
      <c r="QW5" s="108">
        <f>IFERROR((((COUNTIF('Elève (5ème6)'!QT5:QV5,"A"))*4)+((COUNTIF('Elève (5ème6)'!QT5:QV5,"B"))*3)+((COUNTIF('Elève (5ème6)'!QT5:QV5,"C"))*2)+((COUNTIF('Elève (5ème6)'!QT5:QV5,"D"))*1))/(COUNTA(QT5:QV5)),"")</f>
        <v>4</v>
      </c>
      <c r="QX5" s="109" t="str">
        <f t="shared" si="108"/>
        <v>A</v>
      </c>
      <c r="QY5" s="78"/>
      <c r="QZ5" s="79"/>
      <c r="RA5" s="80"/>
      <c r="RB5" s="108" t="str">
        <f>IFERROR((((COUNTIF('Elève (5ème6)'!QY5:RA5,"A"))*4)+((COUNTIF('Elève (5ème6)'!QY5:RA5,"B"))*3)+((COUNTIF('Elève (5ème6)'!QY5:RA5,"C"))*2)+((COUNTIF('Elève (5ème6)'!QY5:RA5,"D"))*1))/(COUNTA(QY5:RA5)),"")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(5ème6)'!RD5:RF5,"A"))*4)+((COUNTIF('Elève (5ème6)'!RD5:RF5,"B"))*3)+((COUNTIF('Elève (5ème6)'!RD5:RF5,"C"))*2)+((COUNTIF('Elève (5ème6)'!RD5:RF5,"D"))*1))/(COUNTA(RD5:RF5)),"")</f>
        <v/>
      </c>
      <c r="RH5" s="109" t="str">
        <f t="shared" si="110"/>
        <v/>
      </c>
      <c r="RI5" s="178">
        <f>IF(COUNT(QW5,RB5,RG5)=0,"",SUM(QW5,RB5,RG5)/COUNT(QW5,RB5,RG5))</f>
        <v>4</v>
      </c>
      <c r="RJ5" s="131" t="str">
        <f t="shared" si="111"/>
        <v>A</v>
      </c>
      <c r="RK5" s="153" t="s">
        <v>28</v>
      </c>
      <c r="RL5" s="154"/>
      <c r="RM5" s="155"/>
      <c r="RN5" s="108">
        <f>IFERROR((((COUNTIF('Elève (5ème6)'!RK5:RM5,"A"))*4)+((COUNTIF('Elève (5ème6)'!RK5:RM5,"B"))*3)+((COUNTIF('Elève (5ème6)'!RK5:RM5,"C"))*2)+((COUNTIF('Elève (5ème6)'!RK5:RM5,"D"))*1))/(COUNTA(RK5:RM5)),"")</f>
        <v>3</v>
      </c>
      <c r="RO5" s="109" t="str">
        <f t="shared" si="112"/>
        <v>B</v>
      </c>
      <c r="RP5" s="78"/>
      <c r="RQ5" s="79"/>
      <c r="RR5" s="80"/>
      <c r="RS5" s="108" t="str">
        <f>IFERROR((((COUNTIF('Elève (5ème6)'!RP5:RR5,"A"))*4)+((COUNTIF('Elève (5ème6)'!RP5:RR5,"B"))*3)+((COUNTIF('Elève (5ème6)'!RP5:RR5,"C"))*2)+((COUNTIF('Elève (5ème6)'!RP5:RR5,"D"))*1))/(COUNTA(RP5:RR5)),"")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(5ème6)'!RU5:RW5,"A"))*4)+((COUNTIF('Elève (5ème6)'!RU5:RW5,"B"))*3)+((COUNTIF('Elève (5ème6)'!RU5:RW5,"C"))*2)+((COUNTIF('Elève (5ème6)'!RU5:RW5,"D"))*1))/(COUNTA(RU5:RW5)),"")</f>
        <v/>
      </c>
      <c r="RY5" s="109" t="str">
        <f t="shared" si="114"/>
        <v/>
      </c>
      <c r="RZ5" s="178">
        <f>IF(COUNT(RN5,RS5,RX5)=0,"",SUM(RN5,RS5,RX5)/COUNT(RN5,RS5,RX5))</f>
        <v>3</v>
      </c>
      <c r="SA5" s="131" t="str">
        <f t="shared" si="115"/>
        <v>B</v>
      </c>
      <c r="SB5" s="153"/>
      <c r="SC5" s="154"/>
      <c r="SD5" s="155"/>
      <c r="SE5" s="108" t="str">
        <f>IFERROR((((COUNTIF('Elève (5ème6)'!SB5:SD5,"A"))*4)+((COUNTIF('Elève (5ème6)'!SB5:SD5,"B"))*3)+((COUNTIF('Elève (5ème6)'!SB5:SD5,"C"))*2)+((COUNTIF('Elève (5ème6)'!SB5:SD5,"D"))*1))/(COUNTA(SB5:SD5)),"")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(5ème6)'!SG5:SI5,"A"))*4)+((COUNTIF('Elève (5ème6)'!SG5:SI5,"B"))*3)+((COUNTIF('Elève (5ème6)'!SG5:SI5,"C"))*2)+((COUNTIF('Elève (5ème6)'!SG5:SI5,"D"))*1))/(COUNTA(SG5:SI5)),"")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(5ème6)'!SL5:SN5,"A"))*4)+((COUNTIF('Elève (5ème6)'!SL5:SN5,"B"))*3)+((COUNTIF('Elève (5ème6)'!SL5:SN5,"C"))*2)+((COUNTIF('Elève (5ème6)'!SL5:SN5,"D"))*1))/(COUNTA(SL5:SN5)),"")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7" t="s">
        <v>13</v>
      </c>
      <c r="B6" s="228"/>
      <c r="C6" s="156"/>
      <c r="D6" s="157"/>
      <c r="E6" s="158"/>
      <c r="F6" s="110" t="str">
        <f>IFERROR((((COUNTIF('Elève (5ème6)'!C6:E6,"A"))*4)+((COUNTIF('Elève (5ème6)'!C6:E6,"B"))*3)+((COUNTIF('Elève (5ème6)'!C6:E6,"C"))*2)+((COUNTIF('Elève (5ème6)'!C6:E6,"D"))*1))/(COUNTA(C6:E6)),"")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(5ème6)'!H6:J6,"A"))*4)+((COUNTIF('Elève (5ème6)'!H6:J6,"B"))*3)+((COUNTIF('Elève (5ème6)'!H6:J6,"C"))*2)+((COUNTIF('Elève (5ème6)'!H6:J6,"D"))*1))/(COUNTA(H6:J6)),"")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(5ème6)'!M6:O6,"A"))*4)+((COUNTIF('Elève (5ème6)'!M6:O6,"B"))*3)+((COUNTIF('Elève (5ème6)'!M6:O6,"C"))*2)+((COUNTIF('Elève (5ème6)'!M6:O6,"D"))*1))/(COUNTA(M6:O6)),"")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(5ème6)'!T6:V6,"A"))*4)+((COUNTIF('Elève (5ème6)'!T6:V6,"B"))*3)+((COUNTIF('Elève (5ème6)'!T6:V6,"C"))*2)+((COUNTIF('Elève (5ème6)'!T6:V6,"D"))*1))/(COUNTA(T6:V6)),"")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(5ème6)'!Y6:AA6,"A"))*4)+((COUNTIF('Elève (5ème6)'!Y6:AA6,"B"))*3)+((COUNTIF('Elève (5ème6)'!Y6:AA6,"C"))*2)+((COUNTIF('Elève (5ème6)'!Y6:AA6,"D"))*1))/(COUNTA(Y6:AA6)),"")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(5ème6)'!AD6:AF6,"A"))*4)+((COUNTIF('Elève (5ème6)'!AD6:AF6,"B"))*3)+((COUNTIF('Elève (5ème6)'!AD6:AF6,"C"))*2)+((COUNTIF('Elève (5ème6)'!AD6:AF6,"D"))*1))/(COUNTA(AD6:AF6)),"")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(5ème6)'!AK6:AM6,"A"))*4)+((COUNTIF('Elève (5ème6)'!AK6:AM6,"B"))*3)+((COUNTIF('Elève (5ème6)'!AK6:AM6,"C"))*2)+((COUNTIF('Elève (5ème6)'!AK6:AM6,"D"))*1))/(COUNTA(AK6:AM6)),"")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(5ème6)'!AP6:AR6,"A"))*4)+((COUNTIF('Elève (5ème6)'!AP6:AR6,"B"))*3)+((COUNTIF('Elève (5ème6)'!AP6:AR6,"C"))*2)+((COUNTIF('Elève (5ème6)'!AP6:AR6,"D"))*1))/(COUNTA(AP6:AR6)),"")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(5ème6)'!AU6:AW6,"A"))*4)+((COUNTIF('Elève (5ème6)'!AU6:AW6,"B"))*3)+((COUNTIF('Elève (5ème6)'!AU6:AW6,"C"))*2)+((COUNTIF('Elève (5ème6)'!AU6:AW6,"D"))*1))/(COUNTA(AU6:AW6)),"")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(5ème6)'!BB6:BD6,"A"))*4)+((COUNTIF('Elève (5ème6)'!BB6:BD6,"B"))*3)+((COUNTIF('Elève (5ème6)'!BB6:BD6,"C"))*2)+((COUNTIF('Elève (5ème6)'!BB6:BD6,"D"))*1))/(COUNTA(BB6:BD6)),"")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(5ème6)'!BG6:BI6,"A"))*4)+((COUNTIF('Elève (5ème6)'!BG6:BI6,"B"))*3)+((COUNTIF('Elève (5ème6)'!BG6:BI6,"C"))*2)+((COUNTIF('Elève (5ème6)'!BG6:BI6,"D"))*1))/(COUNTA(BG6:BI6)),"")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(5ème6)'!BL6:BN6,"A"))*4)+((COUNTIF('Elève (5ème6)'!BL6:BN6,"B"))*3)+((COUNTIF('Elève (5ème6)'!BL6:BN6,"C"))*2)+((COUNTIF('Elève (5ème6)'!BL6:BN6,"D"))*1))/(COUNTA(BL6:BN6)),"")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(5ème6)'!BS6:BU6,"A"))*4)+((COUNTIF('Elève (5ème6)'!BS6:BU6,"B"))*3)+((COUNTIF('Elève (5ème6)'!BS6:BU6,"C"))*2)+((COUNTIF('Elève (5ème6)'!BS6:BU6,"D"))*1))/(COUNTA(BS6:BU6)),"")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(5ème6)'!BX6:BZ6,"A"))*4)+((COUNTIF('Elève (5ème6)'!BX6:BZ6,"B"))*3)+((COUNTIF('Elève (5ème6)'!BX6:BZ6,"C"))*2)+((COUNTIF('Elève (5ème6)'!BX6:BZ6,"D"))*1))/(COUNTA(BX6:BZ6)),"")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(5ème6)'!CC6:CE6,"A"))*4)+((COUNTIF('Elève (5ème6)'!CC6:CE6,"B"))*3)+((COUNTIF('Elève (5ème6)'!CC6:CE6,"C"))*2)+((COUNTIF('Elève (5ème6)'!CC6:CE6,"D"))*1))/(COUNTA(CC6:CE6)),"")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(5ème6)'!CJ6:CL6,"A"))*4)+((COUNTIF('Elève (5ème6)'!CJ6:CL6,"B"))*3)+((COUNTIF('Elève (5ème6)'!CJ6:CL6,"C"))*2)+((COUNTIF('Elève (5ème6)'!CJ6:CL6,"D"))*1))/(COUNTA(CJ6:CL6)),"")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(5ème6)'!CO6:CQ6,"A"))*4)+((COUNTIF('Elève (5ème6)'!CO6:CQ6,"B"))*3)+((COUNTIF('Elève (5ème6)'!CO6:CQ6,"C"))*2)+((COUNTIF('Elève (5ème6)'!CO6:CQ6,"D"))*1))/(COUNTA(CO6:CQ6)),"")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(5ème6)'!CT6:CV6,"A"))*4)+((COUNTIF('Elève (5ème6)'!CT6:CV6,"B"))*3)+((COUNTIF('Elève (5ème6)'!CT6:CV6,"C"))*2)+((COUNTIF('Elève (5ème6)'!CT6:CV6,"D"))*1))/(COUNTA(CT6:CV6)),"")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(5ème6)'!DA6:DC6,"A"))*4)+((COUNTIF('Elève (5ème6)'!DA6:DC6,"B"))*3)+((COUNTIF('Elève (5ème6)'!DA6:DC6,"C"))*2)+((COUNTIF('Elève (5ème6)'!DA6:DC6,"D"))*1))/(COUNTA(DA6:DC6)),"")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(5ème6)'!DF6:DH6,"A"))*4)+((COUNTIF('Elève (5ème6)'!DF6:DH6,"B"))*3)+((COUNTIF('Elève (5ème6)'!DF6:DH6,"C"))*2)+((COUNTIF('Elève (5ème6)'!DF6:DH6,"D"))*1))/(COUNTA(DF6:DH6)),"")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(5ème6)'!DK6:DM6,"A"))*4)+((COUNTIF('Elève (5ème6)'!DK6:DM6,"B"))*3)+((COUNTIF('Elève (5ème6)'!DK6:DM6,"C"))*2)+((COUNTIF('Elève (5ème6)'!DK6:DM6,"D"))*1))/(COUNTA(DK6:DM6)),"")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(5ème6)'!DR6:DT6,"A"))*4)+((COUNTIF('Elève (5ème6)'!DR6:DT6,"B"))*3)+((COUNTIF('Elève (5ème6)'!DR6:DT6,"C"))*2)+((COUNTIF('Elève (5ème6)'!DR6:DT6,"D"))*1))/(COUNTA(DR6:DT6)),"")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(5ème6)'!DW6:DY6,"A"))*4)+((COUNTIF('Elève (5ème6)'!DW6:DY6,"B"))*3)+((COUNTIF('Elève (5ème6)'!DW6:DY6,"C"))*2)+((COUNTIF('Elève (5ème6)'!DW6:DY6,"D"))*1))/(COUNTA(DW6:DY6)),"")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(5ème6)'!EB6:ED6,"A"))*4)+((COUNTIF('Elève (5ème6)'!EB6:ED6,"B"))*3)+((COUNTIF('Elève (5ème6)'!EB6:ED6,"C"))*2)+((COUNTIF('Elève (5ème6)'!EB6:ED6,"D"))*1))/(COUNTA(EB6:ED6)),"")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(5ème6)'!EI6:EK6,"A"))*4)+((COUNTIF('Elève (5ème6)'!EI6:EK6,"B"))*3)+((COUNTIF('Elève (5ème6)'!EI6:EK6,"C"))*2)+((COUNTIF('Elève (5ème6)'!EI6:EK6,"D"))*1))/(COUNTA(EI6:EK6)),"")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(5ème6)'!EN6:EP6,"A"))*4)+((COUNTIF('Elève (5ème6)'!EN6:EP6,"B"))*3)+((COUNTIF('Elève (5ème6)'!EN6:EP6,"C"))*2)+((COUNTIF('Elève (5ème6)'!EN6:EP6,"D"))*1))/(COUNTA(EN6:EP6)),"")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(5ème6)'!ES6:EU6,"A"))*4)+((COUNTIF('Elève (5ème6)'!ES6:EU6,"B"))*3)+((COUNTIF('Elève (5ème6)'!ES6:EU6,"C"))*2)+((COUNTIF('Elève (5ème6)'!ES6:EU6,"D"))*1))/(COUNTA(ES6:EU6)),"")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(5ème6)'!EZ6:FB6,"A"))*4)+((COUNTIF('Elève (5ème6)'!EZ6:FB6,"B"))*3)+((COUNTIF('Elève (5ème6)'!EZ6:FB6,"C"))*2)+((COUNTIF('Elève (5ème6)'!EZ6:FB6,"D"))*1))/(COUNTA(EZ6:FB6)),"")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(5ème6)'!FE6:FG6,"A"))*4)+((COUNTIF('Elève (5ème6)'!FE6:FG6,"B"))*3)+((COUNTIF('Elève (5ème6)'!FE6:FG6,"C"))*2)+((COUNTIF('Elève (5ème6)'!FE6:FG6,"D"))*1))/(COUNTA(FE6:FG6)),"")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(5ème6)'!FJ6:FL6,"A"))*4)+((COUNTIF('Elève (5ème6)'!FJ6:FL6,"B"))*3)+((COUNTIF('Elève (5ème6)'!FJ6:FL6,"C"))*2)+((COUNTIF('Elève (5ème6)'!FJ6:FL6,"D"))*1))/(COUNTA(FJ6:FL6)),"")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(5ème6)'!FQ6:FS6,"A"))*4)+((COUNTIF('Elève (5ème6)'!FQ6:FS6,"B"))*3)+((COUNTIF('Elève (5ème6)'!FQ6:FS6,"C"))*2)+((COUNTIF('Elève (5ème6)'!FQ6:FS6,"D"))*1))/(COUNTA(FQ6:FS6)),"")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(5ème6)'!FV6:FX6,"A"))*4)+((COUNTIF('Elève (5ème6)'!FV6:FX6,"B"))*3)+((COUNTIF('Elève (5ème6)'!FV6:FX6,"C"))*2)+((COUNTIF('Elève (5ème6)'!FV6:FX6,"D"))*1))/(COUNTA(FV6:FX6)),"")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(5ème6)'!GA6:GC6,"A"))*4)+((COUNTIF('Elève (5ème6)'!GA6:GC6,"B"))*3)+((COUNTIF('Elève (5ème6)'!GA6:GC6,"C"))*2)+((COUNTIF('Elève (5ème6)'!GA6:GC6,"D"))*1))/(COUNTA(GA6:GC6)),"")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(5ème6)'!GH6:GJ6,"A"))*4)+((COUNTIF('Elève (5ème6)'!GH6:GJ6,"B"))*3)+((COUNTIF('Elève (5ème6)'!GH6:GJ6,"C"))*2)+((COUNTIF('Elève (5ème6)'!GH6:GJ6,"D"))*1))/(COUNTA(GH6:GJ6)),"")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(5ème6)'!GM6:GO6,"A"))*4)+((COUNTIF('Elève (5ème6)'!GM6:GO6,"B"))*3)+((COUNTIF('Elève (5ème6)'!GM6:GO6,"C"))*2)+((COUNTIF('Elève (5ème6)'!GM6:GO6,"D"))*1))/(COUNTA(GM6:GO6)),"")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(5ème6)'!GR6:GT6,"A"))*4)+((COUNTIF('Elève (5ème6)'!GR6:GT6,"B"))*3)+((COUNTIF('Elève (5ème6)'!GR6:GT6,"C"))*2)+((COUNTIF('Elève (5ème6)'!GR6:GT6,"D"))*1))/(COUNTA(GR6:GT6)),"")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(5ème6)'!GY6:HA6,"A"))*4)+((COUNTIF('Elève (5ème6)'!GY6:HA6,"B"))*3)+((COUNTIF('Elève (5ème6)'!GY6:HA6,"C"))*2)+((COUNTIF('Elève (5ème6)'!GY6:HA6,"D"))*1))/(COUNTA(GY6:HA6)),"")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(5ème6)'!HD6:HF6,"A"))*4)+((COUNTIF('Elève (5ème6)'!HD6:HF6,"B"))*3)+((COUNTIF('Elève (5ème6)'!HD6:HF6,"C"))*2)+((COUNTIF('Elève (5ème6)'!HD6:HF6,"D"))*1))/(COUNTA(HD6:HF6)),"")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(5ème6)'!HI6:HK6,"A"))*4)+((COUNTIF('Elève (5ème6)'!HI6:HK6,"B"))*3)+((COUNTIF('Elève (5ème6)'!HI6:HK6,"C"))*2)+((COUNTIF('Elève (5ème6)'!HI6:HK6,"D"))*1))/(COUNTA(HI6:HK6)),"")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(5ème6)'!HP6:HR6,"A"))*4)+((COUNTIF('Elève (5ème6)'!HP6:HR6,"B"))*3)+((COUNTIF('Elève (5ème6)'!HP6:HR6,"C"))*2)+((COUNTIF('Elève (5ème6)'!HP6:HR6,"D"))*1))/(COUNTA(HP6:HR6)),"")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(5ème6)'!HU6:HW6,"A"))*4)+((COUNTIF('Elève (5ème6)'!HU6:HW6,"B"))*3)+((COUNTIF('Elève (5ème6)'!HU6:HW6,"C"))*2)+((COUNTIF('Elève (5ème6)'!HU6:HW6,"D"))*1))/(COUNTA(HU6:HW6)),"")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(5ème6)'!HZ6:IB6,"A"))*4)+((COUNTIF('Elève (5ème6)'!HZ6:IB6,"B"))*3)+((COUNTIF('Elève (5ème6)'!HZ6:IB6,"C"))*2)+((COUNTIF('Elève (5ème6)'!HZ6:IB6,"D"))*1))/(COUNTA(HZ6:IB6)),"")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(5ème6)'!IG6:II6,"A"))*4)+((COUNTIF('Elève (5ème6)'!IG6:II6,"B"))*3)+((COUNTIF('Elève (5ème6)'!IG6:II6,"C"))*2)+((COUNTIF('Elève (5ème6)'!IG6:II6,"D"))*1))/(COUNTA(IG6:II6)),"")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(5ème6)'!IL6:IN6,"A"))*4)+((COUNTIF('Elève (5ème6)'!IL6:IN6,"B"))*3)+((COUNTIF('Elève (5ème6)'!IL6:IN6,"C"))*2)+((COUNTIF('Elève (5ème6)'!IL6:IN6,"D"))*1))/(COUNTA(IL6:IN6)),"")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(5ème6)'!IQ6:IS6,"A"))*4)+((COUNTIF('Elève (5ème6)'!IQ6:IS6,"B"))*3)+((COUNTIF('Elève (5ème6)'!IQ6:IS6,"C"))*2)+((COUNTIF('Elève (5ème6)'!IQ6:IS6,"D"))*1))/(COUNTA(IQ6:IS6)),"")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(5ème6)'!IX6:IZ6,"A"))*4)+((COUNTIF('Elève (5ème6)'!IX6:IZ6,"B"))*3)+((COUNTIF('Elève (5ème6)'!IX6:IZ6,"C"))*2)+((COUNTIF('Elève (5ème6)'!IX6:IZ6,"D"))*1))/(COUNTA(IX6:IZ6)),"")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(5ème6)'!JC6:JE6,"A"))*4)+((COUNTIF('Elève (5ème6)'!JC6:JE6,"B"))*3)+((COUNTIF('Elève (5ème6)'!JC6:JE6,"C"))*2)+((COUNTIF('Elève (5ème6)'!JC6:JE6,"D"))*1))/(COUNTA(JC6:JE6)),"")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(5ème6)'!JH6:JJ6,"A"))*4)+((COUNTIF('Elève (5ème6)'!JH6:JJ6,"B"))*3)+((COUNTIF('Elève (5ème6)'!JH6:JJ6,"C"))*2)+((COUNTIF('Elève (5ème6)'!JH6:JJ6,"D"))*1))/(COUNTA(JH6:JJ6)),"")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(5ème6)'!JO6:JQ6,"A"))*4)+((COUNTIF('Elève (5ème6)'!JO6:JQ6,"B"))*3)+((COUNTIF('Elève (5ème6)'!JO6:JQ6,"C"))*2)+((COUNTIF('Elève (5ème6)'!JO6:JQ6,"D"))*1))/(COUNTA(JO6:JQ6)),"")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(5ème6)'!JT6:JV6,"A"))*4)+((COUNTIF('Elève (5ème6)'!JT6:JV6,"B"))*3)+((COUNTIF('Elève (5ème6)'!JT6:JV6,"C"))*2)+((COUNTIF('Elève (5ème6)'!JT6:JV6,"D"))*1))/(COUNTA(JT6:JV6)),"")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(5ème6)'!JY6:KA6,"A"))*4)+((COUNTIF('Elève (5ème6)'!JY6:KA6,"B"))*3)+((COUNTIF('Elève (5ème6)'!JY6:KA6,"C"))*2)+((COUNTIF('Elève (5ème6)'!JY6:KA6,"D"))*1))/(COUNTA(JY6:KA6)),"")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(5ème6)'!KF6:KH6,"A"))*4)+((COUNTIF('Elève (5ème6)'!KF6:KH6,"B"))*3)+((COUNTIF('Elève (5ème6)'!KF6:KH6,"C"))*2)+((COUNTIF('Elève (5ème6)'!KF6:KH6,"D"))*1))/(COUNTA(KF6:KH6)),"")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(5ème6)'!KK6:KM6,"A"))*4)+((COUNTIF('Elève (5ème6)'!KK6:KM6,"B"))*3)+((COUNTIF('Elève (5ème6)'!KK6:KM6,"C"))*2)+((COUNTIF('Elève (5ème6)'!KK6:KM6,"D"))*1))/(COUNTA(KK6:KM6)),"")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(5ème6)'!KP6:KR6,"A"))*4)+((COUNTIF('Elève (5ème6)'!KP6:KR6,"B"))*3)+((COUNTIF('Elève (5ème6)'!KP6:KR6,"C"))*2)+((COUNTIF('Elève (5ème6)'!KP6:KR6,"D"))*1))/(COUNTA(KP6:KR6)),"")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(5ème6)'!KW6:KY6,"A"))*4)+((COUNTIF('Elève (5ème6)'!KW6:KY6,"B"))*3)+((COUNTIF('Elève (5ème6)'!KW6:KY6,"C"))*2)+((COUNTIF('Elève (5ème6)'!KW6:KY6,"D"))*1))/(COUNTA(KW6:KY6)),"")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(5ème6)'!LB6:LD6,"A"))*4)+((COUNTIF('Elève (5ème6)'!LB6:LD6,"B"))*3)+((COUNTIF('Elève (5ème6)'!LB6:LD6,"C"))*2)+((COUNTIF('Elève (5ème6)'!LB6:LD6,"D"))*1))/(COUNTA(LB6:LD6)),"")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(5ème6)'!LG6:LI6,"A"))*4)+((COUNTIF('Elève (5ème6)'!LG6:LI6,"B"))*3)+((COUNTIF('Elève (5ème6)'!LG6:LI6,"C"))*2)+((COUNTIF('Elève (5ème6)'!LG6:LI6,"D"))*1))/(COUNTA(LG6:LI6)),"")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(5ème6)'!LN6:LP6,"A"))*4)+((COUNTIF('Elève (5ème6)'!LN6:LP6,"B"))*3)+((COUNTIF('Elève (5ème6)'!LN6:LP6,"C"))*2)+((COUNTIF('Elève (5ème6)'!LN6:LP6,"D"))*1))/(COUNTA(LN6:LP6)),"")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(5ème6)'!LS6:LU6,"A"))*4)+((COUNTIF('Elève (5ème6)'!LS6:LU6,"B"))*3)+((COUNTIF('Elève (5ème6)'!LS6:LU6,"C"))*2)+((COUNTIF('Elève (5ème6)'!LS6:LU6,"D"))*1))/(COUNTA(LS6:LU6)),"")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(5ème6)'!LX6:LZ6,"A"))*4)+((COUNTIF('Elève (5ème6)'!LX6:LZ6,"B"))*3)+((COUNTIF('Elève (5ème6)'!LX6:LZ6,"C"))*2)+((COUNTIF('Elève (5ème6)'!LX6:LZ6,"D"))*1))/(COUNTA(LX6:LZ6)),"")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(5ème6)'!ME6:MG6,"A"))*4)+((COUNTIF('Elève (5ème6)'!ME6:MG6,"B"))*3)+((COUNTIF('Elève (5ème6)'!ME6:MG6,"C"))*2)+((COUNTIF('Elève (5ème6)'!ME6:MG6,"D"))*1))/(COUNTA(ME6:MG6)),"")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(5ème6)'!MJ6:ML6,"A"))*4)+((COUNTIF('Elève (5ème6)'!MJ6:ML6,"B"))*3)+((COUNTIF('Elève (5ème6)'!MJ6:ML6,"C"))*2)+((COUNTIF('Elève (5ème6)'!MJ6:ML6,"D"))*1))/(COUNTA(MJ6:ML6)),"")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(5ème6)'!MO6:MQ6,"A"))*4)+((COUNTIF('Elève (5ème6)'!MO6:MQ6,"B"))*3)+((COUNTIF('Elève (5ème6)'!MO6:MQ6,"C"))*2)+((COUNTIF('Elève (5ème6)'!MO6:MQ6,"D"))*1))/(COUNTA(MO6:MQ6)),"")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(5ème6)'!MV6:MX6,"A"))*4)+((COUNTIF('Elève (5ème6)'!MV6:MX6,"B"))*3)+((COUNTIF('Elève (5ème6)'!MV6:MX6,"C"))*2)+((COUNTIF('Elève (5ème6)'!MV6:MX6,"D"))*1))/(COUNTA(MV6:MX6)),"")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(5ème6)'!NA6:NC6,"A"))*4)+((COUNTIF('Elève (5ème6)'!NA6:NC6,"B"))*3)+((COUNTIF('Elève (5ème6)'!NA6:NC6,"C"))*2)+((COUNTIF('Elève (5ème6)'!NA6:NC6,"D"))*1))/(COUNTA(NA6:NC6)),"")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(5ème6)'!NF6:NH6,"A"))*4)+((COUNTIF('Elève (5ème6)'!NF6:NH6,"B"))*3)+((COUNTIF('Elève (5ème6)'!NF6:NH6,"C"))*2)+((COUNTIF('Elève (5ème6)'!NF6:NH6,"D"))*1))/(COUNTA(NF6:NH6)),"")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(5ème6)'!NM6:NO6,"A"))*4)+((COUNTIF('Elève (5ème6)'!NM6:NO6,"B"))*3)+((COUNTIF('Elève (5ème6)'!NM6:NO6,"C"))*2)+((COUNTIF('Elève (5ème6)'!NM6:NO6,"D"))*1))/(COUNTA(NM6:NO6)),"")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(5ème6)'!NR6:NT6,"A"))*4)+((COUNTIF('Elève (5ème6)'!NR6:NT6,"B"))*3)+((COUNTIF('Elève (5ème6)'!NR6:NT6,"C"))*2)+((COUNTIF('Elève (5ème6)'!NR6:NT6,"D"))*1))/(COUNTA(NR6:NT6)),"")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(5ème6)'!NW6:NY6,"A"))*4)+((COUNTIF('Elève (5ème6)'!NW6:NY6,"B"))*3)+((COUNTIF('Elève (5ème6)'!NW6:NY6,"C"))*2)+((COUNTIF('Elève (5ème6)'!NW6:NY6,"D"))*1))/(COUNTA(NW6:NY6)),"")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(5ème6)'!OD6:OF6,"A"))*4)+((COUNTIF('Elève (5ème6)'!OD6:OF6,"B"))*3)+((COUNTIF('Elève (5ème6)'!OD6:OF6,"C"))*2)+((COUNTIF('Elève (5ème6)'!OD6:OF6,"D"))*1))/(COUNTA(OD6:OF6)),"")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(5ème6)'!OI6:OK6,"A"))*4)+((COUNTIF('Elève (5ème6)'!OI6:OK6,"B"))*3)+((COUNTIF('Elève (5ème6)'!OI6:OK6,"C"))*2)+((COUNTIF('Elève (5ème6)'!OI6:OK6,"D"))*1))/(COUNTA(OI6:OK6)),"")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(5ème6)'!ON6:OP6,"A"))*4)+((COUNTIF('Elève (5ème6)'!ON6:OP6,"B"))*3)+((COUNTIF('Elève (5ème6)'!ON6:OP6,"C"))*2)+((COUNTIF('Elève (5ème6)'!ON6:OP6,"D"))*1))/(COUNTA(ON6:OP6)),"")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(5ème6)'!OU6:OW6,"A"))*4)+((COUNTIF('Elève (5ème6)'!OU6:OW6,"B"))*3)+((COUNTIF('Elève (5ème6)'!OU6:OW6,"C"))*2)+((COUNTIF('Elève (5ème6)'!OU6:OW6,"D"))*1))/(COUNTA(OU6:OW6)),"")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(5ème6)'!OZ6:PB6,"A"))*4)+((COUNTIF('Elève (5ème6)'!OZ6:PB6,"B"))*3)+((COUNTIF('Elève (5ème6)'!OZ6:PB6,"C"))*2)+((COUNTIF('Elève (5ème6)'!OZ6:PB6,"D"))*1))/(COUNTA(OZ6:PB6)),"")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(5ème6)'!PE6:PG6,"A"))*4)+((COUNTIF('Elève (5ème6)'!PE6:PG6,"B"))*3)+((COUNTIF('Elève (5ème6)'!PE6:PG6,"C"))*2)+((COUNTIF('Elève (5ème6)'!PE6:PG6,"D"))*1))/(COUNTA(PE6:PG6)),"")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(5ème6)'!PL6:PN6,"A"))*4)+((COUNTIF('Elève (5ème6)'!PL6:PN6,"B"))*3)+((COUNTIF('Elève (5ème6)'!PL6:PN6,"C"))*2)+((COUNTIF('Elève (5ème6)'!PL6:PN6,"D"))*1))/(COUNTA(PL6:PN6)),"")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(5ème6)'!PQ6:PS6,"A"))*4)+((COUNTIF('Elève (5ème6)'!PQ6:PS6,"B"))*3)+((COUNTIF('Elève (5ème6)'!PQ6:PS6,"C"))*2)+((COUNTIF('Elève (5ème6)'!PQ6:PS6,"D"))*1))/(COUNTA(PQ6:PS6)),"")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(5ème6)'!PV6:PX6,"A"))*4)+((COUNTIF('Elève (5ème6)'!PV6:PX6,"B"))*3)+((COUNTIF('Elève (5ème6)'!PV6:PX6,"C"))*2)+((COUNTIF('Elève (5ème6)'!PV6:PX6,"D"))*1))/(COUNTA(PV6:PX6)),"")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(5ème6)'!QC6:QE6,"A"))*4)+((COUNTIF('Elève (5ème6)'!QC6:QE6,"B"))*3)+((COUNTIF('Elève (5ème6)'!QC6:QE6,"C"))*2)+((COUNTIF('Elève (5ème6)'!QC6:QE6,"D"))*1))/(COUNTA(QC6:QE6)),"")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(5ème6)'!QH6:QJ6,"A"))*4)+((COUNTIF('Elève (5ème6)'!QH6:QJ6,"B"))*3)+((COUNTIF('Elève (5ème6)'!QH6:QJ6,"C"))*2)+((COUNTIF('Elève (5ème6)'!QH6:QJ6,"D"))*1))/(COUNTA(QH6:QJ6)),"")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(5ème6)'!QM6:QO6,"A"))*4)+((COUNTIF('Elève (5ème6)'!QM6:QO6,"B"))*3)+((COUNTIF('Elève (5ème6)'!QM6:QO6,"C"))*2)+((COUNTIF('Elève (5ème6)'!QM6:QO6,"D"))*1))/(COUNTA(QM6:QO6)),"")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(5ème6)'!QT6:QV6,"A"))*4)+((COUNTIF('Elève (5ème6)'!QT6:QV6,"B"))*3)+((COUNTIF('Elève (5ème6)'!QT6:QV6,"C"))*2)+((COUNTIF('Elève (5ème6)'!QT6:QV6,"D"))*1))/(COUNTA(QT6:QV6)),"")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(5ème6)'!QY6:RA6,"A"))*4)+((COUNTIF('Elève (5ème6)'!QY6:RA6,"B"))*3)+((COUNTIF('Elève (5ème6)'!QY6:RA6,"C"))*2)+((COUNTIF('Elève (5ème6)'!QY6:RA6,"D"))*1))/(COUNTA(QY6:RA6)),"")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(5ème6)'!RD6:RF6,"A"))*4)+((COUNTIF('Elève (5ème6)'!RD6:RF6,"B"))*3)+((COUNTIF('Elève (5ème6)'!RD6:RF6,"C"))*2)+((COUNTIF('Elève (5ème6)'!RD6:RF6,"D"))*1))/(COUNTA(RD6:RF6)),"")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(5ème6)'!RK6:RM6,"A"))*4)+((COUNTIF('Elève (5ème6)'!RK6:RM6,"B"))*3)+((COUNTIF('Elève (5ème6)'!RK6:RM6,"C"))*2)+((COUNTIF('Elève (5ème6)'!RK6:RM6,"D"))*1))/(COUNTA(RK6:RM6)),"")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(5ème6)'!RP6:RR6,"A"))*4)+((COUNTIF('Elève (5ème6)'!RP6:RR6,"B"))*3)+((COUNTIF('Elève (5ème6)'!RP6:RR6,"C"))*2)+((COUNTIF('Elève (5ème6)'!RP6:RR6,"D"))*1))/(COUNTA(RP6:RR6)),"")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(5ème6)'!RU6:RW6,"A"))*4)+((COUNTIF('Elève (5ème6)'!RU6:RW6,"B"))*3)+((COUNTIF('Elève (5ème6)'!RU6:RW6,"C"))*2)+((COUNTIF('Elève (5ème6)'!RU6:RW6,"D"))*1))/(COUNTA(RU6:RW6)),"")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(5ème6)'!SB6:SD6,"A"))*4)+((COUNTIF('Elève (5ème6)'!SB6:SD6,"B"))*3)+((COUNTIF('Elève (5ème6)'!SB6:SD6,"C"))*2)+((COUNTIF('Elève (5ème6)'!SB6:SD6,"D"))*1))/(COUNTA(SB6:SD6)),"")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(5ème6)'!SG6:SI6,"A"))*4)+((COUNTIF('Elève (5ème6)'!SG6:SI6,"B"))*3)+((COUNTIF('Elève (5ème6)'!SG6:SI6,"C"))*2)+((COUNTIF('Elève (5ème6)'!SG6:SI6,"D"))*1))/(COUNTA(SG6:SI6)),"")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(5ème6)'!SL6:SN6,"A"))*4)+((COUNTIF('Elève (5ème6)'!SL6:SN6,"B"))*3)+((COUNTIF('Elève (5ème6)'!SL6:SN6,"C"))*2)+((COUNTIF('Elève (5ème6)'!SL6:SN6,"D"))*1))/(COUNTA(SL6:SN6)),"")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7" t="s">
        <v>14</v>
      </c>
      <c r="B7" s="228"/>
      <c r="C7" s="156"/>
      <c r="D7" s="157"/>
      <c r="E7" s="158"/>
      <c r="F7" s="110" t="str">
        <f>IFERROR((((COUNTIF('Elève (5ème6)'!C7:E7,"A"))*4)+((COUNTIF('Elève (5ème6)'!C7:E7,"B"))*3)+((COUNTIF('Elève (5ème6)'!C7:E7,"C"))*2)+((COUNTIF('Elève (5ème6)'!C7:E7,"D"))*1))/(COUNTA(C7:E7)),"")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(5ème6)'!H7:J7,"A"))*4)+((COUNTIF('Elève (5ème6)'!H7:J7,"B"))*3)+((COUNTIF('Elève (5ème6)'!H7:J7,"C"))*2)+((COUNTIF('Elève (5ème6)'!H7:J7,"D"))*1))/(COUNTA(H7:J7)),"")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(5ème6)'!M7:O7,"A"))*4)+((COUNTIF('Elève (5ème6)'!M7:O7,"B"))*3)+((COUNTIF('Elève (5ème6)'!M7:O7,"C"))*2)+((COUNTIF('Elève (5ème6)'!M7:O7,"D"))*1))/(COUNTA(M7:O7)),"")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(5ème6)'!T7:V7,"A"))*4)+((COUNTIF('Elève (5ème6)'!T7:V7,"B"))*3)+((COUNTIF('Elève (5ème6)'!T7:V7,"C"))*2)+((COUNTIF('Elève (5ème6)'!T7:V7,"D"))*1))/(COUNTA(T7:V7)),"")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(5ème6)'!Y7:AA7,"A"))*4)+((COUNTIF('Elève (5ème6)'!Y7:AA7,"B"))*3)+((COUNTIF('Elève (5ème6)'!Y7:AA7,"C"))*2)+((COUNTIF('Elève (5ème6)'!Y7:AA7,"D"))*1))/(COUNTA(Y7:AA7)),"")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(5ème6)'!AD7:AF7,"A"))*4)+((COUNTIF('Elève (5ème6)'!AD7:AF7,"B"))*3)+((COUNTIF('Elève (5ème6)'!AD7:AF7,"C"))*2)+((COUNTIF('Elève (5ème6)'!AD7:AF7,"D"))*1))/(COUNTA(AD7:AF7)),"")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(5ème6)'!AK7:AM7,"A"))*4)+((COUNTIF('Elève (5ème6)'!AK7:AM7,"B"))*3)+((COUNTIF('Elève (5ème6)'!AK7:AM7,"C"))*2)+((COUNTIF('Elève (5ème6)'!AK7:AM7,"D"))*1))/(COUNTA(AK7:AM7)),"")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(5ème6)'!AP7:AR7,"A"))*4)+((COUNTIF('Elève (5ème6)'!AP7:AR7,"B"))*3)+((COUNTIF('Elève (5ème6)'!AP7:AR7,"C"))*2)+((COUNTIF('Elève (5ème6)'!AP7:AR7,"D"))*1))/(COUNTA(AP7:AR7)),"")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(5ème6)'!AU7:AW7,"A"))*4)+((COUNTIF('Elève (5ème6)'!AU7:AW7,"B"))*3)+((COUNTIF('Elève (5ème6)'!AU7:AW7,"C"))*2)+((COUNTIF('Elève (5ème6)'!AU7:AW7,"D"))*1))/(COUNTA(AU7:AW7)),"")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(5ème6)'!BB7:BD7,"A"))*4)+((COUNTIF('Elève (5ème6)'!BB7:BD7,"B"))*3)+((COUNTIF('Elève (5ème6)'!BB7:BD7,"C"))*2)+((COUNTIF('Elève (5ème6)'!BB7:BD7,"D"))*1))/(COUNTA(BB7:BD7)),"")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(5ème6)'!BG7:BI7,"A"))*4)+((COUNTIF('Elève (5ème6)'!BG7:BI7,"B"))*3)+((COUNTIF('Elève (5ème6)'!BG7:BI7,"C"))*2)+((COUNTIF('Elève (5ème6)'!BG7:BI7,"D"))*1))/(COUNTA(BG7:BI7)),"")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(5ème6)'!BL7:BN7,"A"))*4)+((COUNTIF('Elève (5ème6)'!BL7:BN7,"B"))*3)+((COUNTIF('Elève (5ème6)'!BL7:BN7,"C"))*2)+((COUNTIF('Elève (5ème6)'!BL7:BN7,"D"))*1))/(COUNTA(BL7:BN7)),"")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(5ème6)'!BS7:BU7,"A"))*4)+((COUNTIF('Elève (5ème6)'!BS7:BU7,"B"))*3)+((COUNTIF('Elève (5ème6)'!BS7:BU7,"C"))*2)+((COUNTIF('Elève (5ème6)'!BS7:BU7,"D"))*1))/(COUNTA(BS7:BU7)),"")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(5ème6)'!BX7:BZ7,"A"))*4)+((COUNTIF('Elève (5ème6)'!BX7:BZ7,"B"))*3)+((COUNTIF('Elève (5ème6)'!BX7:BZ7,"C"))*2)+((COUNTIF('Elève (5ème6)'!BX7:BZ7,"D"))*1))/(COUNTA(BX7:BZ7)),"")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(5ème6)'!CC7:CE7,"A"))*4)+((COUNTIF('Elève (5ème6)'!CC7:CE7,"B"))*3)+((COUNTIF('Elève (5ème6)'!CC7:CE7,"C"))*2)+((COUNTIF('Elève (5ème6)'!CC7:CE7,"D"))*1))/(COUNTA(CC7:CE7)),"")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(5ème6)'!CJ7:CL7,"A"))*4)+((COUNTIF('Elève (5ème6)'!CJ7:CL7,"B"))*3)+((COUNTIF('Elève (5ème6)'!CJ7:CL7,"C"))*2)+((COUNTIF('Elève (5ème6)'!CJ7:CL7,"D"))*1))/(COUNTA(CJ7:CL7)),"")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(5ème6)'!CO7:CQ7,"A"))*4)+((COUNTIF('Elève (5ème6)'!CO7:CQ7,"B"))*3)+((COUNTIF('Elève (5ème6)'!CO7:CQ7,"C"))*2)+((COUNTIF('Elève (5ème6)'!CO7:CQ7,"D"))*1))/(COUNTA(CO7:CQ7)),"")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(5ème6)'!CT7:CV7,"A"))*4)+((COUNTIF('Elève (5ème6)'!CT7:CV7,"B"))*3)+((COUNTIF('Elève (5ème6)'!CT7:CV7,"C"))*2)+((COUNTIF('Elève (5ème6)'!CT7:CV7,"D"))*1))/(COUNTA(CT7:CV7)),"")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(5ème6)'!DA7:DC7,"A"))*4)+((COUNTIF('Elève (5ème6)'!DA7:DC7,"B"))*3)+((COUNTIF('Elève (5ème6)'!DA7:DC7,"C"))*2)+((COUNTIF('Elève (5ème6)'!DA7:DC7,"D"))*1))/(COUNTA(DA7:DC7)),"")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(5ème6)'!DF7:DH7,"A"))*4)+((COUNTIF('Elève (5ème6)'!DF7:DH7,"B"))*3)+((COUNTIF('Elève (5ème6)'!DF7:DH7,"C"))*2)+((COUNTIF('Elève (5ème6)'!DF7:DH7,"D"))*1))/(COUNTA(DF7:DH7)),"")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(5ème6)'!DK7:DM7,"A"))*4)+((COUNTIF('Elève (5ème6)'!DK7:DM7,"B"))*3)+((COUNTIF('Elève (5ème6)'!DK7:DM7,"C"))*2)+((COUNTIF('Elève (5ème6)'!DK7:DM7,"D"))*1))/(COUNTA(DK7:DM7)),"")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(5ème6)'!DR7:DT7,"A"))*4)+((COUNTIF('Elève (5ème6)'!DR7:DT7,"B"))*3)+((COUNTIF('Elève (5ème6)'!DR7:DT7,"C"))*2)+((COUNTIF('Elève (5ème6)'!DR7:DT7,"D"))*1))/(COUNTA(DR7:DT7)),"")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(5ème6)'!DW7:DY7,"A"))*4)+((COUNTIF('Elève (5ème6)'!DW7:DY7,"B"))*3)+((COUNTIF('Elève (5ème6)'!DW7:DY7,"C"))*2)+((COUNTIF('Elève (5ème6)'!DW7:DY7,"D"))*1))/(COUNTA(DW7:DY7)),"")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(5ème6)'!EB7:ED7,"A"))*4)+((COUNTIF('Elève (5ème6)'!EB7:ED7,"B"))*3)+((COUNTIF('Elève (5ème6)'!EB7:ED7,"C"))*2)+((COUNTIF('Elève (5ème6)'!EB7:ED7,"D"))*1))/(COUNTA(EB7:ED7)),"")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(5ème6)'!EI7:EK7,"A"))*4)+((COUNTIF('Elève (5ème6)'!EI7:EK7,"B"))*3)+((COUNTIF('Elève (5ème6)'!EI7:EK7,"C"))*2)+((COUNTIF('Elève (5ème6)'!EI7:EK7,"D"))*1))/(COUNTA(EI7:EK7)),"")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(5ème6)'!EN7:EP7,"A"))*4)+((COUNTIF('Elève (5ème6)'!EN7:EP7,"B"))*3)+((COUNTIF('Elève (5ème6)'!EN7:EP7,"C"))*2)+((COUNTIF('Elève (5ème6)'!EN7:EP7,"D"))*1))/(COUNTA(EN7:EP7)),"")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(5ème6)'!ES7:EU7,"A"))*4)+((COUNTIF('Elève (5ème6)'!ES7:EU7,"B"))*3)+((COUNTIF('Elève (5ème6)'!ES7:EU7,"C"))*2)+((COUNTIF('Elève (5ème6)'!ES7:EU7,"D"))*1))/(COUNTA(ES7:EU7)),"")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(5ème6)'!EZ7:FB7,"A"))*4)+((COUNTIF('Elève (5ème6)'!EZ7:FB7,"B"))*3)+((COUNTIF('Elève (5ème6)'!EZ7:FB7,"C"))*2)+((COUNTIF('Elève (5ème6)'!EZ7:FB7,"D"))*1))/(COUNTA(EZ7:FB7)),"")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(5ème6)'!FE7:FG7,"A"))*4)+((COUNTIF('Elève (5ème6)'!FE7:FG7,"B"))*3)+((COUNTIF('Elève (5ème6)'!FE7:FG7,"C"))*2)+((COUNTIF('Elève (5ème6)'!FE7:FG7,"D"))*1))/(COUNTA(FE7:FG7)),"")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(5ème6)'!FJ7:FL7,"A"))*4)+((COUNTIF('Elève (5ème6)'!FJ7:FL7,"B"))*3)+((COUNTIF('Elève (5ème6)'!FJ7:FL7,"C"))*2)+((COUNTIF('Elève (5ème6)'!FJ7:FL7,"D"))*1))/(COUNTA(FJ7:FL7)),"")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(5ème6)'!FQ7:FS7,"A"))*4)+((COUNTIF('Elève (5ème6)'!FQ7:FS7,"B"))*3)+((COUNTIF('Elève (5ème6)'!FQ7:FS7,"C"))*2)+((COUNTIF('Elève (5ème6)'!FQ7:FS7,"D"))*1))/(COUNTA(FQ7:FS7)),"")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(5ème6)'!FV7:FX7,"A"))*4)+((COUNTIF('Elève (5ème6)'!FV7:FX7,"B"))*3)+((COUNTIF('Elève (5ème6)'!FV7:FX7,"C"))*2)+((COUNTIF('Elève (5ème6)'!FV7:FX7,"D"))*1))/(COUNTA(FV7:FX7)),"")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(5ème6)'!GA7:GC7,"A"))*4)+((COUNTIF('Elève (5ème6)'!GA7:GC7,"B"))*3)+((COUNTIF('Elève (5ème6)'!GA7:GC7,"C"))*2)+((COUNTIF('Elève (5ème6)'!GA7:GC7,"D"))*1))/(COUNTA(GA7:GC7)),"")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(5ème6)'!GH7:GJ7,"A"))*4)+((COUNTIF('Elève (5ème6)'!GH7:GJ7,"B"))*3)+((COUNTIF('Elève (5ème6)'!GH7:GJ7,"C"))*2)+((COUNTIF('Elève (5ème6)'!GH7:GJ7,"D"))*1))/(COUNTA(GH7:GJ7)),"")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(5ème6)'!GM7:GO7,"A"))*4)+((COUNTIF('Elève (5ème6)'!GM7:GO7,"B"))*3)+((COUNTIF('Elève (5ème6)'!GM7:GO7,"C"))*2)+((COUNTIF('Elève (5ème6)'!GM7:GO7,"D"))*1))/(COUNTA(GM7:GO7)),"")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(5ème6)'!GR7:GT7,"A"))*4)+((COUNTIF('Elève (5ème6)'!GR7:GT7,"B"))*3)+((COUNTIF('Elève (5ème6)'!GR7:GT7,"C"))*2)+((COUNTIF('Elève (5ème6)'!GR7:GT7,"D"))*1))/(COUNTA(GR7:GT7)),"")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(5ème6)'!GY7:HA7,"A"))*4)+((COUNTIF('Elève (5ème6)'!GY7:HA7,"B"))*3)+((COUNTIF('Elève (5ème6)'!GY7:HA7,"C"))*2)+((COUNTIF('Elève (5ème6)'!GY7:HA7,"D"))*1))/(COUNTA(GY7:HA7)),"")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(5ème6)'!HD7:HF7,"A"))*4)+((COUNTIF('Elève (5ème6)'!HD7:HF7,"B"))*3)+((COUNTIF('Elève (5ème6)'!HD7:HF7,"C"))*2)+((COUNTIF('Elève (5ème6)'!HD7:HF7,"D"))*1))/(COUNTA(HD7:HF7)),"")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(5ème6)'!HI7:HK7,"A"))*4)+((COUNTIF('Elève (5ème6)'!HI7:HK7,"B"))*3)+((COUNTIF('Elève (5ème6)'!HI7:HK7,"C"))*2)+((COUNTIF('Elève (5ème6)'!HI7:HK7,"D"))*1))/(COUNTA(HI7:HK7)),"")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(5ème6)'!HP7:HR7,"A"))*4)+((COUNTIF('Elève (5ème6)'!HP7:HR7,"B"))*3)+((COUNTIF('Elève (5ème6)'!HP7:HR7,"C"))*2)+((COUNTIF('Elève (5ème6)'!HP7:HR7,"D"))*1))/(COUNTA(HP7:HR7)),"")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(5ème6)'!HU7:HW7,"A"))*4)+((COUNTIF('Elève (5ème6)'!HU7:HW7,"B"))*3)+((COUNTIF('Elève (5ème6)'!HU7:HW7,"C"))*2)+((COUNTIF('Elève (5ème6)'!HU7:HW7,"D"))*1))/(COUNTA(HU7:HW7)),"")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(5ème6)'!HZ7:IB7,"A"))*4)+((COUNTIF('Elève (5ème6)'!HZ7:IB7,"B"))*3)+((COUNTIF('Elève (5ème6)'!HZ7:IB7,"C"))*2)+((COUNTIF('Elève (5ème6)'!HZ7:IB7,"D"))*1))/(COUNTA(HZ7:IB7)),"")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(5ème6)'!IG7:II7,"A"))*4)+((COUNTIF('Elève (5ème6)'!IG7:II7,"B"))*3)+((COUNTIF('Elève (5ème6)'!IG7:II7,"C"))*2)+((COUNTIF('Elève (5ème6)'!IG7:II7,"D"))*1))/(COUNTA(IG7:II7)),"")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(5ème6)'!IL7:IN7,"A"))*4)+((COUNTIF('Elève (5ème6)'!IL7:IN7,"B"))*3)+((COUNTIF('Elève (5ème6)'!IL7:IN7,"C"))*2)+((COUNTIF('Elève (5ème6)'!IL7:IN7,"D"))*1))/(COUNTA(IL7:IN7)),"")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(5ème6)'!IQ7:IS7,"A"))*4)+((COUNTIF('Elève (5ème6)'!IQ7:IS7,"B"))*3)+((COUNTIF('Elève (5ème6)'!IQ7:IS7,"C"))*2)+((COUNTIF('Elève (5ème6)'!IQ7:IS7,"D"))*1))/(COUNTA(IQ7:IS7)),"")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(5ème6)'!IX7:IZ7,"A"))*4)+((COUNTIF('Elève (5ème6)'!IX7:IZ7,"B"))*3)+((COUNTIF('Elève (5ème6)'!IX7:IZ7,"C"))*2)+((COUNTIF('Elève (5ème6)'!IX7:IZ7,"D"))*1))/(COUNTA(IX7:IZ7)),"")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(5ème6)'!JC7:JE7,"A"))*4)+((COUNTIF('Elève (5ème6)'!JC7:JE7,"B"))*3)+((COUNTIF('Elève (5ème6)'!JC7:JE7,"C"))*2)+((COUNTIF('Elève (5ème6)'!JC7:JE7,"D"))*1))/(COUNTA(JC7:JE7)),"")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(5ème6)'!JH7:JJ7,"A"))*4)+((COUNTIF('Elève (5ème6)'!JH7:JJ7,"B"))*3)+((COUNTIF('Elève (5ème6)'!JH7:JJ7,"C"))*2)+((COUNTIF('Elève (5ème6)'!JH7:JJ7,"D"))*1))/(COUNTA(JH7:JJ7)),"")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(5ème6)'!JO7:JQ7,"A"))*4)+((COUNTIF('Elève (5ème6)'!JO7:JQ7,"B"))*3)+((COUNTIF('Elève (5ème6)'!JO7:JQ7,"C"))*2)+((COUNTIF('Elève (5ème6)'!JO7:JQ7,"D"))*1))/(COUNTA(JO7:JQ7)),"")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(5ème6)'!JT7:JV7,"A"))*4)+((COUNTIF('Elève (5ème6)'!JT7:JV7,"B"))*3)+((COUNTIF('Elève (5ème6)'!JT7:JV7,"C"))*2)+((COUNTIF('Elève (5ème6)'!JT7:JV7,"D"))*1))/(COUNTA(JT7:JV7)),"")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(5ème6)'!JY7:KA7,"A"))*4)+((COUNTIF('Elève (5ème6)'!JY7:KA7,"B"))*3)+((COUNTIF('Elève (5ème6)'!JY7:KA7,"C"))*2)+((COUNTIF('Elève (5ème6)'!JY7:KA7,"D"))*1))/(COUNTA(JY7:KA7)),"")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(5ème6)'!KF7:KH7,"A"))*4)+((COUNTIF('Elève (5ème6)'!KF7:KH7,"B"))*3)+((COUNTIF('Elève (5ème6)'!KF7:KH7,"C"))*2)+((COUNTIF('Elève (5ème6)'!KF7:KH7,"D"))*1))/(COUNTA(KF7:KH7)),"")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(5ème6)'!KK7:KM7,"A"))*4)+((COUNTIF('Elève (5ème6)'!KK7:KM7,"B"))*3)+((COUNTIF('Elève (5ème6)'!KK7:KM7,"C"))*2)+((COUNTIF('Elève (5ème6)'!KK7:KM7,"D"))*1))/(COUNTA(KK7:KM7)),"")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(5ème6)'!KP7:KR7,"A"))*4)+((COUNTIF('Elève (5ème6)'!KP7:KR7,"B"))*3)+((COUNTIF('Elève (5ème6)'!KP7:KR7,"C"))*2)+((COUNTIF('Elève (5ème6)'!KP7:KR7,"D"))*1))/(COUNTA(KP7:KR7)),"")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(5ème6)'!KW7:KY7,"A"))*4)+((COUNTIF('Elève (5ème6)'!KW7:KY7,"B"))*3)+((COUNTIF('Elève (5ème6)'!KW7:KY7,"C"))*2)+((COUNTIF('Elève (5ème6)'!KW7:KY7,"D"))*1))/(COUNTA(KW7:KY7)),"")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(5ème6)'!LB7:LD7,"A"))*4)+((COUNTIF('Elève (5ème6)'!LB7:LD7,"B"))*3)+((COUNTIF('Elève (5ème6)'!LB7:LD7,"C"))*2)+((COUNTIF('Elève (5ème6)'!LB7:LD7,"D"))*1))/(COUNTA(LB7:LD7)),"")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(5ème6)'!LG7:LI7,"A"))*4)+((COUNTIF('Elève (5ème6)'!LG7:LI7,"B"))*3)+((COUNTIF('Elève (5ème6)'!LG7:LI7,"C"))*2)+((COUNTIF('Elève (5ème6)'!LG7:LI7,"D"))*1))/(COUNTA(LG7:LI7)),"")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(5ème6)'!LN7:LP7,"A"))*4)+((COUNTIF('Elève (5ème6)'!LN7:LP7,"B"))*3)+((COUNTIF('Elève (5ème6)'!LN7:LP7,"C"))*2)+((COUNTIF('Elève (5ème6)'!LN7:LP7,"D"))*1))/(COUNTA(LN7:LP7)),"")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(5ème6)'!LS7:LU7,"A"))*4)+((COUNTIF('Elève (5ème6)'!LS7:LU7,"B"))*3)+((COUNTIF('Elève (5ème6)'!LS7:LU7,"C"))*2)+((COUNTIF('Elève (5ème6)'!LS7:LU7,"D"))*1))/(COUNTA(LS7:LU7)),"")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(5ème6)'!LX7:LZ7,"A"))*4)+((COUNTIF('Elève (5ème6)'!LX7:LZ7,"B"))*3)+((COUNTIF('Elève (5ème6)'!LX7:LZ7,"C"))*2)+((COUNTIF('Elève (5ème6)'!LX7:LZ7,"D"))*1))/(COUNTA(LX7:LZ7)),"")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(5ème6)'!ME7:MG7,"A"))*4)+((COUNTIF('Elève (5ème6)'!ME7:MG7,"B"))*3)+((COUNTIF('Elève (5ème6)'!ME7:MG7,"C"))*2)+((COUNTIF('Elève (5ème6)'!ME7:MG7,"D"))*1))/(COUNTA(ME7:MG7)),"")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(5ème6)'!MJ7:ML7,"A"))*4)+((COUNTIF('Elève (5ème6)'!MJ7:ML7,"B"))*3)+((COUNTIF('Elève (5ème6)'!MJ7:ML7,"C"))*2)+((COUNTIF('Elève (5ème6)'!MJ7:ML7,"D"))*1))/(COUNTA(MJ7:ML7)),"")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(5ème6)'!MO7:MQ7,"A"))*4)+((COUNTIF('Elève (5ème6)'!MO7:MQ7,"B"))*3)+((COUNTIF('Elève (5ème6)'!MO7:MQ7,"C"))*2)+((COUNTIF('Elève (5ème6)'!MO7:MQ7,"D"))*1))/(COUNTA(MO7:MQ7)),"")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(5ème6)'!MV7:MX7,"A"))*4)+((COUNTIF('Elève (5ème6)'!MV7:MX7,"B"))*3)+((COUNTIF('Elève (5ème6)'!MV7:MX7,"C"))*2)+((COUNTIF('Elève (5ème6)'!MV7:MX7,"D"))*1))/(COUNTA(MV7:MX7)),"")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(5ème6)'!NA7:NC7,"A"))*4)+((COUNTIF('Elève (5ème6)'!NA7:NC7,"B"))*3)+((COUNTIF('Elève (5ème6)'!NA7:NC7,"C"))*2)+((COUNTIF('Elève (5ème6)'!NA7:NC7,"D"))*1))/(COUNTA(NA7:NC7)),"")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(5ème6)'!NF7:NH7,"A"))*4)+((COUNTIF('Elève (5ème6)'!NF7:NH7,"B"))*3)+((COUNTIF('Elève (5ème6)'!NF7:NH7,"C"))*2)+((COUNTIF('Elève (5ème6)'!NF7:NH7,"D"))*1))/(COUNTA(NF7:NH7)),"")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(5ème6)'!NM7:NO7,"A"))*4)+((COUNTIF('Elève (5ème6)'!NM7:NO7,"B"))*3)+((COUNTIF('Elève (5ème6)'!NM7:NO7,"C"))*2)+((COUNTIF('Elève (5ème6)'!NM7:NO7,"D"))*1))/(COUNTA(NM7:NO7)),"")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(5ème6)'!NR7:NT7,"A"))*4)+((COUNTIF('Elève (5ème6)'!NR7:NT7,"B"))*3)+((COUNTIF('Elève (5ème6)'!NR7:NT7,"C"))*2)+((COUNTIF('Elève (5ème6)'!NR7:NT7,"D"))*1))/(COUNTA(NR7:NT7)),"")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(5ème6)'!NW7:NY7,"A"))*4)+((COUNTIF('Elève (5ème6)'!NW7:NY7,"B"))*3)+((COUNTIF('Elève (5ème6)'!NW7:NY7,"C"))*2)+((COUNTIF('Elève (5ème6)'!NW7:NY7,"D"))*1))/(COUNTA(NW7:NY7)),"")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(5ème6)'!OD7:OF7,"A"))*4)+((COUNTIF('Elève (5ème6)'!OD7:OF7,"B"))*3)+((COUNTIF('Elève (5ème6)'!OD7:OF7,"C"))*2)+((COUNTIF('Elève (5ème6)'!OD7:OF7,"D"))*1))/(COUNTA(OD7:OF7)),"")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(5ème6)'!OI7:OK7,"A"))*4)+((COUNTIF('Elève (5ème6)'!OI7:OK7,"B"))*3)+((COUNTIF('Elève (5ème6)'!OI7:OK7,"C"))*2)+((COUNTIF('Elève (5ème6)'!OI7:OK7,"D"))*1))/(COUNTA(OI7:OK7)),"")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(5ème6)'!ON7:OP7,"A"))*4)+((COUNTIF('Elève (5ème6)'!ON7:OP7,"B"))*3)+((COUNTIF('Elève (5ème6)'!ON7:OP7,"C"))*2)+((COUNTIF('Elève (5ème6)'!ON7:OP7,"D"))*1))/(COUNTA(ON7:OP7)),"")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(5ème6)'!OU7:OW7,"A"))*4)+((COUNTIF('Elève (5ème6)'!OU7:OW7,"B"))*3)+((COUNTIF('Elève (5ème6)'!OU7:OW7,"C"))*2)+((COUNTIF('Elève (5ème6)'!OU7:OW7,"D"))*1))/(COUNTA(OU7:OW7)),"")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(5ème6)'!OZ7:PB7,"A"))*4)+((COUNTIF('Elève (5ème6)'!OZ7:PB7,"B"))*3)+((COUNTIF('Elève (5ème6)'!OZ7:PB7,"C"))*2)+((COUNTIF('Elève (5ème6)'!OZ7:PB7,"D"))*1))/(COUNTA(OZ7:PB7)),"")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(5ème6)'!PE7:PG7,"A"))*4)+((COUNTIF('Elève (5ème6)'!PE7:PG7,"B"))*3)+((COUNTIF('Elève (5ème6)'!PE7:PG7,"C"))*2)+((COUNTIF('Elève (5ème6)'!PE7:PG7,"D"))*1))/(COUNTA(PE7:PG7)),"")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(5ème6)'!PL7:PN7,"A"))*4)+((COUNTIF('Elève (5ème6)'!PL7:PN7,"B"))*3)+((COUNTIF('Elève (5ème6)'!PL7:PN7,"C"))*2)+((COUNTIF('Elève (5ème6)'!PL7:PN7,"D"))*1))/(COUNTA(PL7:PN7)),"")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(5ème6)'!PQ7:PS7,"A"))*4)+((COUNTIF('Elève (5ème6)'!PQ7:PS7,"B"))*3)+((COUNTIF('Elève (5ème6)'!PQ7:PS7,"C"))*2)+((COUNTIF('Elève (5ème6)'!PQ7:PS7,"D"))*1))/(COUNTA(PQ7:PS7)),"")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(5ème6)'!PV7:PX7,"A"))*4)+((COUNTIF('Elève (5ème6)'!PV7:PX7,"B"))*3)+((COUNTIF('Elève (5ème6)'!PV7:PX7,"C"))*2)+((COUNTIF('Elève (5ème6)'!PV7:PX7,"D"))*1))/(COUNTA(PV7:PX7)),"")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(5ème6)'!QC7:QE7,"A"))*4)+((COUNTIF('Elève (5ème6)'!QC7:QE7,"B"))*3)+((COUNTIF('Elève (5ème6)'!QC7:QE7,"C"))*2)+((COUNTIF('Elève (5ème6)'!QC7:QE7,"D"))*1))/(COUNTA(QC7:QE7)),"")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(5ème6)'!QH7:QJ7,"A"))*4)+((COUNTIF('Elève (5ème6)'!QH7:QJ7,"B"))*3)+((COUNTIF('Elève (5ème6)'!QH7:QJ7,"C"))*2)+((COUNTIF('Elève (5ème6)'!QH7:QJ7,"D"))*1))/(COUNTA(QH7:QJ7)),"")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(5ème6)'!QM7:QO7,"A"))*4)+((COUNTIF('Elève (5ème6)'!QM7:QO7,"B"))*3)+((COUNTIF('Elève (5ème6)'!QM7:QO7,"C"))*2)+((COUNTIF('Elève (5ème6)'!QM7:QO7,"D"))*1))/(COUNTA(QM7:QO7)),"")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(5ème6)'!QT7:QV7,"A"))*4)+((COUNTIF('Elève (5ème6)'!QT7:QV7,"B"))*3)+((COUNTIF('Elève (5ème6)'!QT7:QV7,"C"))*2)+((COUNTIF('Elève (5ème6)'!QT7:QV7,"D"))*1))/(COUNTA(QT7:QV7)),"")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(5ème6)'!QY7:RA7,"A"))*4)+((COUNTIF('Elève (5ème6)'!QY7:RA7,"B"))*3)+((COUNTIF('Elève (5ème6)'!QY7:RA7,"C"))*2)+((COUNTIF('Elève (5ème6)'!QY7:RA7,"D"))*1))/(COUNTA(QY7:RA7)),"")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(5ème6)'!RD7:RF7,"A"))*4)+((COUNTIF('Elève (5ème6)'!RD7:RF7,"B"))*3)+((COUNTIF('Elève (5ème6)'!RD7:RF7,"C"))*2)+((COUNTIF('Elève (5ème6)'!RD7:RF7,"D"))*1))/(COUNTA(RD7:RF7)),"")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(5ème6)'!RK7:RM7,"A"))*4)+((COUNTIF('Elève (5ème6)'!RK7:RM7,"B"))*3)+((COUNTIF('Elève (5ème6)'!RK7:RM7,"C"))*2)+((COUNTIF('Elève (5ème6)'!RK7:RM7,"D"))*1))/(COUNTA(RK7:RM7)),"")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(5ème6)'!RP7:RR7,"A"))*4)+((COUNTIF('Elève (5ème6)'!RP7:RR7,"B"))*3)+((COUNTIF('Elève (5ème6)'!RP7:RR7,"C"))*2)+((COUNTIF('Elève (5ème6)'!RP7:RR7,"D"))*1))/(COUNTA(RP7:RR7)),"")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(5ème6)'!RU7:RW7,"A"))*4)+((COUNTIF('Elève (5ème6)'!RU7:RW7,"B"))*3)+((COUNTIF('Elève (5ème6)'!RU7:RW7,"C"))*2)+((COUNTIF('Elève (5ème6)'!RU7:RW7,"D"))*1))/(COUNTA(RU7:RW7)),"")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(5ème6)'!SB7:SD7,"A"))*4)+((COUNTIF('Elève (5ème6)'!SB7:SD7,"B"))*3)+((COUNTIF('Elève (5ème6)'!SB7:SD7,"C"))*2)+((COUNTIF('Elève (5ème6)'!SB7:SD7,"D"))*1))/(COUNTA(SB7:SD7)),"")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(5ème6)'!SG7:SI7,"A"))*4)+((COUNTIF('Elève (5ème6)'!SG7:SI7,"B"))*3)+((COUNTIF('Elève (5ème6)'!SG7:SI7,"C"))*2)+((COUNTIF('Elève (5ème6)'!SG7:SI7,"D"))*1))/(COUNTA(SG7:SI7)),"")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(5ème6)'!SL7:SN7,"A"))*4)+((COUNTIF('Elève (5ème6)'!SL7:SN7,"B"))*3)+((COUNTIF('Elève (5ème6)'!SL7:SN7,"C"))*2)+((COUNTIF('Elève (5ème6)'!SL7:SN7,"D"))*1))/(COUNTA(SL7:SN7)),"")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7" t="s">
        <v>15</v>
      </c>
      <c r="B8" s="228"/>
      <c r="C8" s="156"/>
      <c r="D8" s="157"/>
      <c r="E8" s="158"/>
      <c r="F8" s="110" t="str">
        <f>IFERROR((((COUNTIF('Elève (5ème6)'!C8:E8,"A"))*4)+((COUNTIF('Elève (5ème6)'!C8:E8,"B"))*3)+((COUNTIF('Elève (5ème6)'!C8:E8,"C"))*2)+((COUNTIF('Elève (5ème6)'!C8:E8,"D"))*1))/(COUNTA(C8:E8)),"")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(5ème6)'!H8:J8,"A"))*4)+((COUNTIF('Elève (5ème6)'!H8:J8,"B"))*3)+((COUNTIF('Elève (5ème6)'!H8:J8,"C"))*2)+((COUNTIF('Elève (5ème6)'!H8:J8,"D"))*1))/(COUNTA(H8:J8)),"")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(5ème6)'!M8:O8,"A"))*4)+((COUNTIF('Elève (5ème6)'!M8:O8,"B"))*3)+((COUNTIF('Elève (5ème6)'!M8:O8,"C"))*2)+((COUNTIF('Elève (5ème6)'!M8:O8,"D"))*1))/(COUNTA(M8:O8)),"")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(5ème6)'!T8:V8,"A"))*4)+((COUNTIF('Elève (5ème6)'!T8:V8,"B"))*3)+((COUNTIF('Elève (5ème6)'!T8:V8,"C"))*2)+((COUNTIF('Elève (5ème6)'!T8:V8,"D"))*1))/(COUNTA(T8:V8)),"")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(5ème6)'!Y8:AA8,"A"))*4)+((COUNTIF('Elève (5ème6)'!Y8:AA8,"B"))*3)+((COUNTIF('Elève (5ème6)'!Y8:AA8,"C"))*2)+((COUNTIF('Elève (5ème6)'!Y8:AA8,"D"))*1))/(COUNTA(Y8:AA8)),"")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(5ème6)'!AD8:AF8,"A"))*4)+((COUNTIF('Elève (5ème6)'!AD8:AF8,"B"))*3)+((COUNTIF('Elève (5ème6)'!AD8:AF8,"C"))*2)+((COUNTIF('Elève (5ème6)'!AD8:AF8,"D"))*1))/(COUNTA(AD8:AF8)),"")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(5ème6)'!AK8:AM8,"A"))*4)+((COUNTIF('Elève (5ème6)'!AK8:AM8,"B"))*3)+((COUNTIF('Elève (5ème6)'!AK8:AM8,"C"))*2)+((COUNTIF('Elève (5ème6)'!AK8:AM8,"D"))*1))/(COUNTA(AK8:AM8)),"")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(5ème6)'!AP8:AR8,"A"))*4)+((COUNTIF('Elève (5ème6)'!AP8:AR8,"B"))*3)+((COUNTIF('Elève (5ème6)'!AP8:AR8,"C"))*2)+((COUNTIF('Elève (5ème6)'!AP8:AR8,"D"))*1))/(COUNTA(AP8:AR8)),"")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(5ème6)'!AU8:AW8,"A"))*4)+((COUNTIF('Elève (5ème6)'!AU8:AW8,"B"))*3)+((COUNTIF('Elève (5ème6)'!AU8:AW8,"C"))*2)+((COUNTIF('Elève (5ème6)'!AU8:AW8,"D"))*1))/(COUNTA(AU8:AW8)),"")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(5ème6)'!BB8:BD8,"A"))*4)+((COUNTIF('Elève (5ème6)'!BB8:BD8,"B"))*3)+((COUNTIF('Elève (5ème6)'!BB8:BD8,"C"))*2)+((COUNTIF('Elève (5ème6)'!BB8:BD8,"D"))*1))/(COUNTA(BB8:BD8)),"")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(5ème6)'!BG8:BI8,"A"))*4)+((COUNTIF('Elève (5ème6)'!BG8:BI8,"B"))*3)+((COUNTIF('Elève (5ème6)'!BG8:BI8,"C"))*2)+((COUNTIF('Elève (5ème6)'!BG8:BI8,"D"))*1))/(COUNTA(BG8:BI8)),"")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(5ème6)'!BL8:BN8,"A"))*4)+((COUNTIF('Elève (5ème6)'!BL8:BN8,"B"))*3)+((COUNTIF('Elève (5ème6)'!BL8:BN8,"C"))*2)+((COUNTIF('Elève (5ème6)'!BL8:BN8,"D"))*1))/(COUNTA(BL8:BN8)),"")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(5ème6)'!BS8:BU8,"A"))*4)+((COUNTIF('Elève (5ème6)'!BS8:BU8,"B"))*3)+((COUNTIF('Elève (5ème6)'!BS8:BU8,"C"))*2)+((COUNTIF('Elève (5ème6)'!BS8:BU8,"D"))*1))/(COUNTA(BS8:BU8)),"")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(5ème6)'!BX8:BZ8,"A"))*4)+((COUNTIF('Elève (5ème6)'!BX8:BZ8,"B"))*3)+((COUNTIF('Elève (5ème6)'!BX8:BZ8,"C"))*2)+((COUNTIF('Elève (5ème6)'!BX8:BZ8,"D"))*1))/(COUNTA(BX8:BZ8)),"")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(5ème6)'!CC8:CE8,"A"))*4)+((COUNTIF('Elève (5ème6)'!CC8:CE8,"B"))*3)+((COUNTIF('Elève (5ème6)'!CC8:CE8,"C"))*2)+((COUNTIF('Elève (5ème6)'!CC8:CE8,"D"))*1))/(COUNTA(CC8:CE8)),"")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(5ème6)'!CJ8:CL8,"A"))*4)+((COUNTIF('Elève (5ème6)'!CJ8:CL8,"B"))*3)+((COUNTIF('Elève (5ème6)'!CJ8:CL8,"C"))*2)+((COUNTIF('Elève (5ème6)'!CJ8:CL8,"D"))*1))/(COUNTA(CJ8:CL8)),"")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(5ème6)'!CO8:CQ8,"A"))*4)+((COUNTIF('Elève (5ème6)'!CO8:CQ8,"B"))*3)+((COUNTIF('Elève (5ème6)'!CO8:CQ8,"C"))*2)+((COUNTIF('Elève (5ème6)'!CO8:CQ8,"D"))*1))/(COUNTA(CO8:CQ8)),"")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(5ème6)'!CT8:CV8,"A"))*4)+((COUNTIF('Elève (5ème6)'!CT8:CV8,"B"))*3)+((COUNTIF('Elève (5ème6)'!CT8:CV8,"C"))*2)+((COUNTIF('Elève (5ème6)'!CT8:CV8,"D"))*1))/(COUNTA(CT8:CV8)),"")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(5ème6)'!DA8:DC8,"A"))*4)+((COUNTIF('Elève (5ème6)'!DA8:DC8,"B"))*3)+((COUNTIF('Elève (5ème6)'!DA8:DC8,"C"))*2)+((COUNTIF('Elève (5ème6)'!DA8:DC8,"D"))*1))/(COUNTA(DA8:DC8)),"")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(5ème6)'!DF8:DH8,"A"))*4)+((COUNTIF('Elève (5ème6)'!DF8:DH8,"B"))*3)+((COUNTIF('Elève (5ème6)'!DF8:DH8,"C"))*2)+((COUNTIF('Elève (5ème6)'!DF8:DH8,"D"))*1))/(COUNTA(DF8:DH8)),"")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(5ème6)'!DK8:DM8,"A"))*4)+((COUNTIF('Elève (5ème6)'!DK8:DM8,"B"))*3)+((COUNTIF('Elève (5ème6)'!DK8:DM8,"C"))*2)+((COUNTIF('Elève (5ème6)'!DK8:DM8,"D"))*1))/(COUNTA(DK8:DM8)),"")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(5ème6)'!DR8:DT8,"A"))*4)+((COUNTIF('Elève (5ème6)'!DR8:DT8,"B"))*3)+((COUNTIF('Elève (5ème6)'!DR8:DT8,"C"))*2)+((COUNTIF('Elève (5ème6)'!DR8:DT8,"D"))*1))/(COUNTA(DR8:DT8)),"")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(5ème6)'!DW8:DY8,"A"))*4)+((COUNTIF('Elève (5ème6)'!DW8:DY8,"B"))*3)+((COUNTIF('Elève (5ème6)'!DW8:DY8,"C"))*2)+((COUNTIF('Elève (5ème6)'!DW8:DY8,"D"))*1))/(COUNTA(DW8:DY8)),"")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(5ème6)'!EB8:ED8,"A"))*4)+((COUNTIF('Elève (5ème6)'!EB8:ED8,"B"))*3)+((COUNTIF('Elève (5ème6)'!EB8:ED8,"C"))*2)+((COUNTIF('Elève (5ème6)'!EB8:ED8,"D"))*1))/(COUNTA(EB8:ED8)),"")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(5ème6)'!EI8:EK8,"A"))*4)+((COUNTIF('Elève (5ème6)'!EI8:EK8,"B"))*3)+((COUNTIF('Elève (5ème6)'!EI8:EK8,"C"))*2)+((COUNTIF('Elève (5ème6)'!EI8:EK8,"D"))*1))/(COUNTA(EI8:EK8)),"")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(5ème6)'!EN8:EP8,"A"))*4)+((COUNTIF('Elève (5ème6)'!EN8:EP8,"B"))*3)+((COUNTIF('Elève (5ème6)'!EN8:EP8,"C"))*2)+((COUNTIF('Elève (5ème6)'!EN8:EP8,"D"))*1))/(COUNTA(EN8:EP8)),"")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(5ème6)'!ES8:EU8,"A"))*4)+((COUNTIF('Elève (5ème6)'!ES8:EU8,"B"))*3)+((COUNTIF('Elève (5ème6)'!ES8:EU8,"C"))*2)+((COUNTIF('Elève (5ème6)'!ES8:EU8,"D"))*1))/(COUNTA(ES8:EU8)),"")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(5ème6)'!EZ8:FB8,"A"))*4)+((COUNTIF('Elève (5ème6)'!EZ8:FB8,"B"))*3)+((COUNTIF('Elève (5ème6)'!EZ8:FB8,"C"))*2)+((COUNTIF('Elève (5ème6)'!EZ8:FB8,"D"))*1))/(COUNTA(EZ8:FB8)),"")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(5ème6)'!FE8:FG8,"A"))*4)+((COUNTIF('Elève (5ème6)'!FE8:FG8,"B"))*3)+((COUNTIF('Elève (5ème6)'!FE8:FG8,"C"))*2)+((COUNTIF('Elève (5ème6)'!FE8:FG8,"D"))*1))/(COUNTA(FE8:FG8)),"")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(5ème6)'!FJ8:FL8,"A"))*4)+((COUNTIF('Elève (5ème6)'!FJ8:FL8,"B"))*3)+((COUNTIF('Elève (5ème6)'!FJ8:FL8,"C"))*2)+((COUNTIF('Elève (5ème6)'!FJ8:FL8,"D"))*1))/(COUNTA(FJ8:FL8)),"")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(5ème6)'!FQ8:FS8,"A"))*4)+((COUNTIF('Elève (5ème6)'!FQ8:FS8,"B"))*3)+((COUNTIF('Elève (5ème6)'!FQ8:FS8,"C"))*2)+((COUNTIF('Elève (5ème6)'!FQ8:FS8,"D"))*1))/(COUNTA(FQ8:FS8)),"")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(5ème6)'!FV8:FX8,"A"))*4)+((COUNTIF('Elève (5ème6)'!FV8:FX8,"B"))*3)+((COUNTIF('Elève (5ème6)'!FV8:FX8,"C"))*2)+((COUNTIF('Elève (5ème6)'!FV8:FX8,"D"))*1))/(COUNTA(FV8:FX8)),"")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(5ème6)'!GA8:GC8,"A"))*4)+((COUNTIF('Elève (5ème6)'!GA8:GC8,"B"))*3)+((COUNTIF('Elève (5ème6)'!GA8:GC8,"C"))*2)+((COUNTIF('Elève (5ème6)'!GA8:GC8,"D"))*1))/(COUNTA(GA8:GC8)),"")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(5ème6)'!GH8:GJ8,"A"))*4)+((COUNTIF('Elève (5ème6)'!GH8:GJ8,"B"))*3)+((COUNTIF('Elève (5ème6)'!GH8:GJ8,"C"))*2)+((COUNTIF('Elève (5ème6)'!GH8:GJ8,"D"))*1))/(COUNTA(GH8:GJ8)),"")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(5ème6)'!GM8:GO8,"A"))*4)+((COUNTIF('Elève (5ème6)'!GM8:GO8,"B"))*3)+((COUNTIF('Elève (5ème6)'!GM8:GO8,"C"))*2)+((COUNTIF('Elève (5ème6)'!GM8:GO8,"D"))*1))/(COUNTA(GM8:GO8)),"")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(5ème6)'!GR8:GT8,"A"))*4)+((COUNTIF('Elève (5ème6)'!GR8:GT8,"B"))*3)+((COUNTIF('Elève (5ème6)'!GR8:GT8,"C"))*2)+((COUNTIF('Elève (5ème6)'!GR8:GT8,"D"))*1))/(COUNTA(GR8:GT8)),"")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(5ème6)'!GY8:HA8,"A"))*4)+((COUNTIF('Elève (5ème6)'!GY8:HA8,"B"))*3)+((COUNTIF('Elève (5ème6)'!GY8:HA8,"C"))*2)+((COUNTIF('Elève (5ème6)'!GY8:HA8,"D"))*1))/(COUNTA(GY8:HA8)),"")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(5ème6)'!HD8:HF8,"A"))*4)+((COUNTIF('Elève (5ème6)'!HD8:HF8,"B"))*3)+((COUNTIF('Elève (5ème6)'!HD8:HF8,"C"))*2)+((COUNTIF('Elève (5ème6)'!HD8:HF8,"D"))*1))/(COUNTA(HD8:HF8)),"")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(5ème6)'!HI8:HK8,"A"))*4)+((COUNTIF('Elève (5ème6)'!HI8:HK8,"B"))*3)+((COUNTIF('Elève (5ème6)'!HI8:HK8,"C"))*2)+((COUNTIF('Elève (5ème6)'!HI8:HK8,"D"))*1))/(COUNTA(HI8:HK8)),"")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(5ème6)'!HP8:HR8,"A"))*4)+((COUNTIF('Elève (5ème6)'!HP8:HR8,"B"))*3)+((COUNTIF('Elève (5ème6)'!HP8:HR8,"C"))*2)+((COUNTIF('Elève (5ème6)'!HP8:HR8,"D"))*1))/(COUNTA(HP8:HR8)),"")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(5ème6)'!HU8:HW8,"A"))*4)+((COUNTIF('Elève (5ème6)'!HU8:HW8,"B"))*3)+((COUNTIF('Elève (5ème6)'!HU8:HW8,"C"))*2)+((COUNTIF('Elève (5ème6)'!HU8:HW8,"D"))*1))/(COUNTA(HU8:HW8)),"")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(5ème6)'!HZ8:IB8,"A"))*4)+((COUNTIF('Elève (5ème6)'!HZ8:IB8,"B"))*3)+((COUNTIF('Elève (5ème6)'!HZ8:IB8,"C"))*2)+((COUNTIF('Elève (5ème6)'!HZ8:IB8,"D"))*1))/(COUNTA(HZ8:IB8)),"")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(5ème6)'!IG8:II8,"A"))*4)+((COUNTIF('Elève (5ème6)'!IG8:II8,"B"))*3)+((COUNTIF('Elève (5ème6)'!IG8:II8,"C"))*2)+((COUNTIF('Elève (5ème6)'!IG8:II8,"D"))*1))/(COUNTA(IG8:II8)),"")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(5ème6)'!IL8:IN8,"A"))*4)+((COUNTIF('Elève (5ème6)'!IL8:IN8,"B"))*3)+((COUNTIF('Elève (5ème6)'!IL8:IN8,"C"))*2)+((COUNTIF('Elève (5ème6)'!IL8:IN8,"D"))*1))/(COUNTA(IL8:IN8)),"")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(5ème6)'!IQ8:IS8,"A"))*4)+((COUNTIF('Elève (5ème6)'!IQ8:IS8,"B"))*3)+((COUNTIF('Elève (5ème6)'!IQ8:IS8,"C"))*2)+((COUNTIF('Elève (5ème6)'!IQ8:IS8,"D"))*1))/(COUNTA(IQ8:IS8)),"")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(5ème6)'!IX8:IZ8,"A"))*4)+((COUNTIF('Elève (5ème6)'!IX8:IZ8,"B"))*3)+((COUNTIF('Elève (5ème6)'!IX8:IZ8,"C"))*2)+((COUNTIF('Elève (5ème6)'!IX8:IZ8,"D"))*1))/(COUNTA(IX8:IZ8)),"")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(5ème6)'!JC8:JE8,"A"))*4)+((COUNTIF('Elève (5ème6)'!JC8:JE8,"B"))*3)+((COUNTIF('Elève (5ème6)'!JC8:JE8,"C"))*2)+((COUNTIF('Elève (5ème6)'!JC8:JE8,"D"))*1))/(COUNTA(JC8:JE8)),"")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(5ème6)'!JH8:JJ8,"A"))*4)+((COUNTIF('Elève (5ème6)'!JH8:JJ8,"B"))*3)+((COUNTIF('Elève (5ème6)'!JH8:JJ8,"C"))*2)+((COUNTIF('Elève (5ème6)'!JH8:JJ8,"D"))*1))/(COUNTA(JH8:JJ8)),"")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(5ème6)'!JO8:JQ8,"A"))*4)+((COUNTIF('Elève (5ème6)'!JO8:JQ8,"B"))*3)+((COUNTIF('Elève (5ème6)'!JO8:JQ8,"C"))*2)+((COUNTIF('Elève (5ème6)'!JO8:JQ8,"D"))*1))/(COUNTA(JO8:JQ8)),"")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(5ème6)'!JT8:JV8,"A"))*4)+((COUNTIF('Elève (5ème6)'!JT8:JV8,"B"))*3)+((COUNTIF('Elève (5ème6)'!JT8:JV8,"C"))*2)+((COUNTIF('Elève (5ème6)'!JT8:JV8,"D"))*1))/(COUNTA(JT8:JV8)),"")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(5ème6)'!JY8:KA8,"A"))*4)+((COUNTIF('Elève (5ème6)'!JY8:KA8,"B"))*3)+((COUNTIF('Elève (5ème6)'!JY8:KA8,"C"))*2)+((COUNTIF('Elève (5ème6)'!JY8:KA8,"D"))*1))/(COUNTA(JY8:KA8)),"")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(5ème6)'!KF8:KH8,"A"))*4)+((COUNTIF('Elève (5ème6)'!KF8:KH8,"B"))*3)+((COUNTIF('Elève (5ème6)'!KF8:KH8,"C"))*2)+((COUNTIF('Elève (5ème6)'!KF8:KH8,"D"))*1))/(COUNTA(KF8:KH8)),"")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(5ème6)'!KK8:KM8,"A"))*4)+((COUNTIF('Elève (5ème6)'!KK8:KM8,"B"))*3)+((COUNTIF('Elève (5ème6)'!KK8:KM8,"C"))*2)+((COUNTIF('Elève (5ème6)'!KK8:KM8,"D"))*1))/(COUNTA(KK8:KM8)),"")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(5ème6)'!KP8:KR8,"A"))*4)+((COUNTIF('Elève (5ème6)'!KP8:KR8,"B"))*3)+((COUNTIF('Elève (5ème6)'!KP8:KR8,"C"))*2)+((COUNTIF('Elève (5ème6)'!KP8:KR8,"D"))*1))/(COUNTA(KP8:KR8)),"")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(5ème6)'!KW8:KY8,"A"))*4)+((COUNTIF('Elève (5ème6)'!KW8:KY8,"B"))*3)+((COUNTIF('Elève (5ème6)'!KW8:KY8,"C"))*2)+((COUNTIF('Elève (5ème6)'!KW8:KY8,"D"))*1))/(COUNTA(KW8:KY8)),"")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(5ème6)'!LB8:LD8,"A"))*4)+((COUNTIF('Elève (5ème6)'!LB8:LD8,"B"))*3)+((COUNTIF('Elève (5ème6)'!LB8:LD8,"C"))*2)+((COUNTIF('Elève (5ème6)'!LB8:LD8,"D"))*1))/(COUNTA(LB8:LD8)),"")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(5ème6)'!LG8:LI8,"A"))*4)+((COUNTIF('Elève (5ème6)'!LG8:LI8,"B"))*3)+((COUNTIF('Elève (5ème6)'!LG8:LI8,"C"))*2)+((COUNTIF('Elève (5ème6)'!LG8:LI8,"D"))*1))/(COUNTA(LG8:LI8)),"")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(5ème6)'!LN8:LP8,"A"))*4)+((COUNTIF('Elève (5ème6)'!LN8:LP8,"B"))*3)+((COUNTIF('Elève (5ème6)'!LN8:LP8,"C"))*2)+((COUNTIF('Elève (5ème6)'!LN8:LP8,"D"))*1))/(COUNTA(LN8:LP8)),"")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(5ème6)'!LS8:LU8,"A"))*4)+((COUNTIF('Elève (5ème6)'!LS8:LU8,"B"))*3)+((COUNTIF('Elève (5ème6)'!LS8:LU8,"C"))*2)+((COUNTIF('Elève (5ème6)'!LS8:LU8,"D"))*1))/(COUNTA(LS8:LU8)),"")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(5ème6)'!LX8:LZ8,"A"))*4)+((COUNTIF('Elève (5ème6)'!LX8:LZ8,"B"))*3)+((COUNTIF('Elève (5ème6)'!LX8:LZ8,"C"))*2)+((COUNTIF('Elève (5ème6)'!LX8:LZ8,"D"))*1))/(COUNTA(LX8:LZ8)),"")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(5ème6)'!ME8:MG8,"A"))*4)+((COUNTIF('Elève (5ème6)'!ME8:MG8,"B"))*3)+((COUNTIF('Elève (5ème6)'!ME8:MG8,"C"))*2)+((COUNTIF('Elève (5ème6)'!ME8:MG8,"D"))*1))/(COUNTA(ME8:MG8)),"")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(5ème6)'!MJ8:ML8,"A"))*4)+((COUNTIF('Elève (5ème6)'!MJ8:ML8,"B"))*3)+((COUNTIF('Elève (5ème6)'!MJ8:ML8,"C"))*2)+((COUNTIF('Elève (5ème6)'!MJ8:ML8,"D"))*1))/(COUNTA(MJ8:ML8)),"")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(5ème6)'!MO8:MQ8,"A"))*4)+((COUNTIF('Elève (5ème6)'!MO8:MQ8,"B"))*3)+((COUNTIF('Elève (5ème6)'!MO8:MQ8,"C"))*2)+((COUNTIF('Elève (5ème6)'!MO8:MQ8,"D"))*1))/(COUNTA(MO8:MQ8)),"")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(5ème6)'!MV8:MX8,"A"))*4)+((COUNTIF('Elève (5ème6)'!MV8:MX8,"B"))*3)+((COUNTIF('Elève (5ème6)'!MV8:MX8,"C"))*2)+((COUNTIF('Elève (5ème6)'!MV8:MX8,"D"))*1))/(COUNTA(MV8:MX8)),"")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(5ème6)'!NA8:NC8,"A"))*4)+((COUNTIF('Elève (5ème6)'!NA8:NC8,"B"))*3)+((COUNTIF('Elève (5ème6)'!NA8:NC8,"C"))*2)+((COUNTIF('Elève (5ème6)'!NA8:NC8,"D"))*1))/(COUNTA(NA8:NC8)),"")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(5ème6)'!NF8:NH8,"A"))*4)+((COUNTIF('Elève (5ème6)'!NF8:NH8,"B"))*3)+((COUNTIF('Elève (5ème6)'!NF8:NH8,"C"))*2)+((COUNTIF('Elève (5ème6)'!NF8:NH8,"D"))*1))/(COUNTA(NF8:NH8)),"")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(5ème6)'!NM8:NO8,"A"))*4)+((COUNTIF('Elève (5ème6)'!NM8:NO8,"B"))*3)+((COUNTIF('Elève (5ème6)'!NM8:NO8,"C"))*2)+((COUNTIF('Elève (5ème6)'!NM8:NO8,"D"))*1))/(COUNTA(NM8:NO8)),"")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(5ème6)'!NR8:NT8,"A"))*4)+((COUNTIF('Elève (5ème6)'!NR8:NT8,"B"))*3)+((COUNTIF('Elève (5ème6)'!NR8:NT8,"C"))*2)+((COUNTIF('Elève (5ème6)'!NR8:NT8,"D"))*1))/(COUNTA(NR8:NT8)),"")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(5ème6)'!NW8:NY8,"A"))*4)+((COUNTIF('Elève (5ème6)'!NW8:NY8,"B"))*3)+((COUNTIF('Elève (5ème6)'!NW8:NY8,"C"))*2)+((COUNTIF('Elève (5ème6)'!NW8:NY8,"D"))*1))/(COUNTA(NW8:NY8)),"")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(5ème6)'!OD8:OF8,"A"))*4)+((COUNTIF('Elève (5ème6)'!OD8:OF8,"B"))*3)+((COUNTIF('Elève (5ème6)'!OD8:OF8,"C"))*2)+((COUNTIF('Elève (5ème6)'!OD8:OF8,"D"))*1))/(COUNTA(OD8:OF8)),"")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(5ème6)'!OI8:OK8,"A"))*4)+((COUNTIF('Elève (5ème6)'!OI8:OK8,"B"))*3)+((COUNTIF('Elève (5ème6)'!OI8:OK8,"C"))*2)+((COUNTIF('Elève (5ème6)'!OI8:OK8,"D"))*1))/(COUNTA(OI8:OK8)),"")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(5ème6)'!ON8:OP8,"A"))*4)+((COUNTIF('Elève (5ème6)'!ON8:OP8,"B"))*3)+((COUNTIF('Elève (5ème6)'!ON8:OP8,"C"))*2)+((COUNTIF('Elève (5ème6)'!ON8:OP8,"D"))*1))/(COUNTA(ON8:OP8)),"")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(5ème6)'!OU8:OW8,"A"))*4)+((COUNTIF('Elève (5ème6)'!OU8:OW8,"B"))*3)+((COUNTIF('Elève (5ème6)'!OU8:OW8,"C"))*2)+((COUNTIF('Elève (5ème6)'!OU8:OW8,"D"))*1))/(COUNTA(OU8:OW8)),"")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(5ème6)'!OZ8:PB8,"A"))*4)+((COUNTIF('Elève (5ème6)'!OZ8:PB8,"B"))*3)+((COUNTIF('Elève (5ème6)'!OZ8:PB8,"C"))*2)+((COUNTIF('Elève (5ème6)'!OZ8:PB8,"D"))*1))/(COUNTA(OZ8:PB8)),"")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(5ème6)'!PE8:PG8,"A"))*4)+((COUNTIF('Elève (5ème6)'!PE8:PG8,"B"))*3)+((COUNTIF('Elève (5ème6)'!PE8:PG8,"C"))*2)+((COUNTIF('Elève (5ème6)'!PE8:PG8,"D"))*1))/(COUNTA(PE8:PG8)),"")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(5ème6)'!PL8:PN8,"A"))*4)+((COUNTIF('Elève (5ème6)'!PL8:PN8,"B"))*3)+((COUNTIF('Elève (5ème6)'!PL8:PN8,"C"))*2)+((COUNTIF('Elève (5ème6)'!PL8:PN8,"D"))*1))/(COUNTA(PL8:PN8)),"")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(5ème6)'!PQ8:PS8,"A"))*4)+((COUNTIF('Elève (5ème6)'!PQ8:PS8,"B"))*3)+((COUNTIF('Elève (5ème6)'!PQ8:PS8,"C"))*2)+((COUNTIF('Elève (5ème6)'!PQ8:PS8,"D"))*1))/(COUNTA(PQ8:PS8)),"")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(5ème6)'!PV8:PX8,"A"))*4)+((COUNTIF('Elève (5ème6)'!PV8:PX8,"B"))*3)+((COUNTIF('Elève (5ème6)'!PV8:PX8,"C"))*2)+((COUNTIF('Elève (5ème6)'!PV8:PX8,"D"))*1))/(COUNTA(PV8:PX8)),"")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(5ème6)'!QC8:QE8,"A"))*4)+((COUNTIF('Elève (5ème6)'!QC8:QE8,"B"))*3)+((COUNTIF('Elève (5ème6)'!QC8:QE8,"C"))*2)+((COUNTIF('Elève (5ème6)'!QC8:QE8,"D"))*1))/(COUNTA(QC8:QE8)),"")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(5ème6)'!QH8:QJ8,"A"))*4)+((COUNTIF('Elève (5ème6)'!QH8:QJ8,"B"))*3)+((COUNTIF('Elève (5ème6)'!QH8:QJ8,"C"))*2)+((COUNTIF('Elève (5ème6)'!QH8:QJ8,"D"))*1))/(COUNTA(QH8:QJ8)),"")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(5ème6)'!QM8:QO8,"A"))*4)+((COUNTIF('Elève (5ème6)'!QM8:QO8,"B"))*3)+((COUNTIF('Elève (5ème6)'!QM8:QO8,"C"))*2)+((COUNTIF('Elève (5ème6)'!QM8:QO8,"D"))*1))/(COUNTA(QM8:QO8)),"")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(5ème6)'!QT8:QV8,"A"))*4)+((COUNTIF('Elève (5ème6)'!QT8:QV8,"B"))*3)+((COUNTIF('Elève (5ème6)'!QT8:QV8,"C"))*2)+((COUNTIF('Elève (5ème6)'!QT8:QV8,"D"))*1))/(COUNTA(QT8:QV8)),"")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(5ème6)'!QY8:RA8,"A"))*4)+((COUNTIF('Elève (5ème6)'!QY8:RA8,"B"))*3)+((COUNTIF('Elève (5ème6)'!QY8:RA8,"C"))*2)+((COUNTIF('Elève (5ème6)'!QY8:RA8,"D"))*1))/(COUNTA(QY8:RA8)),"")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(5ème6)'!RD8:RF8,"A"))*4)+((COUNTIF('Elève (5ème6)'!RD8:RF8,"B"))*3)+((COUNTIF('Elève (5ème6)'!RD8:RF8,"C"))*2)+((COUNTIF('Elève (5ème6)'!RD8:RF8,"D"))*1))/(COUNTA(RD8:RF8)),"")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(5ème6)'!RK8:RM8,"A"))*4)+((COUNTIF('Elève (5ème6)'!RK8:RM8,"B"))*3)+((COUNTIF('Elève (5ème6)'!RK8:RM8,"C"))*2)+((COUNTIF('Elève (5ème6)'!RK8:RM8,"D"))*1))/(COUNTA(RK8:RM8)),"")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(5ème6)'!RP8:RR8,"A"))*4)+((COUNTIF('Elève (5ème6)'!RP8:RR8,"B"))*3)+((COUNTIF('Elève (5ème6)'!RP8:RR8,"C"))*2)+((COUNTIF('Elève (5ème6)'!RP8:RR8,"D"))*1))/(COUNTA(RP8:RR8)),"")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(5ème6)'!RU8:RW8,"A"))*4)+((COUNTIF('Elève (5ème6)'!RU8:RW8,"B"))*3)+((COUNTIF('Elève (5ème6)'!RU8:RW8,"C"))*2)+((COUNTIF('Elève (5ème6)'!RU8:RW8,"D"))*1))/(COUNTA(RU8:RW8)),"")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(5ème6)'!SB8:SD8,"A"))*4)+((COUNTIF('Elève (5ème6)'!SB8:SD8,"B"))*3)+((COUNTIF('Elève (5ème6)'!SB8:SD8,"C"))*2)+((COUNTIF('Elève (5ème6)'!SB8:SD8,"D"))*1))/(COUNTA(SB8:SD8)),"")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(5ème6)'!SG8:SI8,"A"))*4)+((COUNTIF('Elève (5ème6)'!SG8:SI8,"B"))*3)+((COUNTIF('Elève (5ème6)'!SG8:SI8,"C"))*2)+((COUNTIF('Elève (5ème6)'!SG8:SI8,"D"))*1))/(COUNTA(SG8:SI8)),"")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(5ème6)'!SL8:SN8,"A"))*4)+((COUNTIF('Elève (5ème6)'!SL8:SN8,"B"))*3)+((COUNTIF('Elève (5ème6)'!SL8:SN8,"C"))*2)+((COUNTIF('Elève (5ème6)'!SL8:SN8,"D"))*1))/(COUNTA(SL8:SN8)),"")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25" t="s">
        <v>16</v>
      </c>
      <c r="B9" s="226"/>
      <c r="C9" s="159"/>
      <c r="D9" s="160"/>
      <c r="E9" s="161"/>
      <c r="F9" s="112" t="str">
        <f>IFERROR((((COUNTIF('Elève (5ème6)'!C9:E9,"A"))*4)+((COUNTIF('Elève (5ème6)'!C9:E9,"B"))*3)+((COUNTIF('Elève (5ème6)'!C9:E9,"C"))*2)+((COUNTIF('Elève (5ème6)'!C9:E9,"D"))*1))/(COUNTA(C9:E9)),"")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(5ème6)'!H9:J9,"A"))*4)+((COUNTIF('Elève (5ème6)'!H9:J9,"B"))*3)+((COUNTIF('Elève (5ème6)'!H9:J9,"C"))*2)+((COUNTIF('Elève (5ème6)'!H9:J9,"D"))*1))/(COUNTA(H9:J9)),"")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(5ème6)'!M9:O9,"A"))*4)+((COUNTIF('Elève (5ème6)'!M9:O9,"B"))*3)+((COUNTIF('Elève (5ème6)'!M9:O9,"C"))*2)+((COUNTIF('Elève (5ème6)'!M9:O9,"D"))*1))/(COUNTA(M9:O9)),"")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(5ème6)'!T9:V9,"A"))*4)+((COUNTIF('Elève (5ème6)'!T9:V9,"B"))*3)+((COUNTIF('Elève (5ème6)'!T9:V9,"C"))*2)+((COUNTIF('Elève (5ème6)'!T9:V9,"D"))*1))/(COUNTA(T9:V9)),"")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(5ème6)'!Y9:AA9,"A"))*4)+((COUNTIF('Elève (5ème6)'!Y9:AA9,"B"))*3)+((COUNTIF('Elève (5ème6)'!Y9:AA9,"C"))*2)+((COUNTIF('Elève (5ème6)'!Y9:AA9,"D"))*1))/(COUNTA(Y9:AA9)),"")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(5ème6)'!AD9:AF9,"A"))*4)+((COUNTIF('Elève (5ème6)'!AD9:AF9,"B"))*3)+((COUNTIF('Elève (5ème6)'!AD9:AF9,"C"))*2)+((COUNTIF('Elève (5ème6)'!AD9:AF9,"D"))*1))/(COUNTA(AD9:AF9)),"")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(5ème6)'!AK9:AM9,"A"))*4)+((COUNTIF('Elève (5ème6)'!AK9:AM9,"B"))*3)+((COUNTIF('Elève (5ème6)'!AK9:AM9,"C"))*2)+((COUNTIF('Elève (5ème6)'!AK9:AM9,"D"))*1))/(COUNTA(AK9:AM9)),"")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(5ème6)'!AP9:AR9,"A"))*4)+((COUNTIF('Elève (5ème6)'!AP9:AR9,"B"))*3)+((COUNTIF('Elève (5ème6)'!AP9:AR9,"C"))*2)+((COUNTIF('Elève (5ème6)'!AP9:AR9,"D"))*1))/(COUNTA(AP9:AR9)),"")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(5ème6)'!AU9:AW9,"A"))*4)+((COUNTIF('Elève (5ème6)'!AU9:AW9,"B"))*3)+((COUNTIF('Elève (5ème6)'!AU9:AW9,"C"))*2)+((COUNTIF('Elève (5ème6)'!AU9:AW9,"D"))*1))/(COUNTA(AU9:AW9)),"")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(5ème6)'!BB9:BD9,"A"))*4)+((COUNTIF('Elève (5ème6)'!BB9:BD9,"B"))*3)+((COUNTIF('Elève (5ème6)'!BB9:BD9,"C"))*2)+((COUNTIF('Elève (5ème6)'!BB9:BD9,"D"))*1))/(COUNTA(BB9:BD9)),"")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(5ème6)'!BG9:BI9,"A"))*4)+((COUNTIF('Elève (5ème6)'!BG9:BI9,"B"))*3)+((COUNTIF('Elève (5ème6)'!BG9:BI9,"C"))*2)+((COUNTIF('Elève (5ème6)'!BG9:BI9,"D"))*1))/(COUNTA(BG9:BI9)),"")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(5ème6)'!BL9:BN9,"A"))*4)+((COUNTIF('Elève (5ème6)'!BL9:BN9,"B"))*3)+((COUNTIF('Elève (5ème6)'!BL9:BN9,"C"))*2)+((COUNTIF('Elève (5ème6)'!BL9:BN9,"D"))*1))/(COUNTA(BL9:BN9)),"")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(5ème6)'!BS9:BU9,"A"))*4)+((COUNTIF('Elève (5ème6)'!BS9:BU9,"B"))*3)+((COUNTIF('Elève (5ème6)'!BS9:BU9,"C"))*2)+((COUNTIF('Elève (5ème6)'!BS9:BU9,"D"))*1))/(COUNTA(BS9:BU9)),"")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(5ème6)'!BX9:BZ9,"A"))*4)+((COUNTIF('Elève (5ème6)'!BX9:BZ9,"B"))*3)+((COUNTIF('Elève (5ème6)'!BX9:BZ9,"C"))*2)+((COUNTIF('Elève (5ème6)'!BX9:BZ9,"D"))*1))/(COUNTA(BX9:BZ9)),"")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(5ème6)'!CC9:CE9,"A"))*4)+((COUNTIF('Elève (5ème6)'!CC9:CE9,"B"))*3)+((COUNTIF('Elève (5ème6)'!CC9:CE9,"C"))*2)+((COUNTIF('Elève (5ème6)'!CC9:CE9,"D"))*1))/(COUNTA(CC9:CE9)),"")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(5ème6)'!CJ9:CL9,"A"))*4)+((COUNTIF('Elève (5ème6)'!CJ9:CL9,"B"))*3)+((COUNTIF('Elève (5ème6)'!CJ9:CL9,"C"))*2)+((COUNTIF('Elève (5ème6)'!CJ9:CL9,"D"))*1))/(COUNTA(CJ9:CL9)),"")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(5ème6)'!CO9:CQ9,"A"))*4)+((COUNTIF('Elève (5ème6)'!CO9:CQ9,"B"))*3)+((COUNTIF('Elève (5ème6)'!CO9:CQ9,"C"))*2)+((COUNTIF('Elève (5ème6)'!CO9:CQ9,"D"))*1))/(COUNTA(CO9:CQ9)),"")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(5ème6)'!CT9:CV9,"A"))*4)+((COUNTIF('Elève (5ème6)'!CT9:CV9,"B"))*3)+((COUNTIF('Elève (5ème6)'!CT9:CV9,"C"))*2)+((COUNTIF('Elève (5ème6)'!CT9:CV9,"D"))*1))/(COUNTA(CT9:CV9)),"")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(5ème6)'!DA9:DC9,"A"))*4)+((COUNTIF('Elève (5ème6)'!DA9:DC9,"B"))*3)+((COUNTIF('Elève (5ème6)'!DA9:DC9,"C"))*2)+((COUNTIF('Elève (5ème6)'!DA9:DC9,"D"))*1))/(COUNTA(DA9:DC9)),"")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(5ème6)'!DF9:DH9,"A"))*4)+((COUNTIF('Elève (5ème6)'!DF9:DH9,"B"))*3)+((COUNTIF('Elève (5ème6)'!DF9:DH9,"C"))*2)+((COUNTIF('Elève (5ème6)'!DF9:DH9,"D"))*1))/(COUNTA(DF9:DH9)),"")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(5ème6)'!DK9:DM9,"A"))*4)+((COUNTIF('Elève (5ème6)'!DK9:DM9,"B"))*3)+((COUNTIF('Elève (5ème6)'!DK9:DM9,"C"))*2)+((COUNTIF('Elève (5ème6)'!DK9:DM9,"D"))*1))/(COUNTA(DK9:DM9)),"")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(5ème6)'!DR9:DT9,"A"))*4)+((COUNTIF('Elève (5ème6)'!DR9:DT9,"B"))*3)+((COUNTIF('Elève (5ème6)'!DR9:DT9,"C"))*2)+((COUNTIF('Elève (5ème6)'!DR9:DT9,"D"))*1))/(COUNTA(DR9:DT9)),"")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(5ème6)'!DW9:DY9,"A"))*4)+((COUNTIF('Elève (5ème6)'!DW9:DY9,"B"))*3)+((COUNTIF('Elève (5ème6)'!DW9:DY9,"C"))*2)+((COUNTIF('Elève (5ème6)'!DW9:DY9,"D"))*1))/(COUNTA(DW9:DY9)),"")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(5ème6)'!EB9:ED9,"A"))*4)+((COUNTIF('Elève (5ème6)'!EB9:ED9,"B"))*3)+((COUNTIF('Elève (5ème6)'!EB9:ED9,"C"))*2)+((COUNTIF('Elève (5ème6)'!EB9:ED9,"D"))*1))/(COUNTA(EB9:ED9)),"")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(5ème6)'!EI9:EK9,"A"))*4)+((COUNTIF('Elève (5ème6)'!EI9:EK9,"B"))*3)+((COUNTIF('Elève (5ème6)'!EI9:EK9,"C"))*2)+((COUNTIF('Elève (5ème6)'!EI9:EK9,"D"))*1))/(COUNTA(EI9:EK9)),"")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(5ème6)'!EN9:EP9,"A"))*4)+((COUNTIF('Elève (5ème6)'!EN9:EP9,"B"))*3)+((COUNTIF('Elève (5ème6)'!EN9:EP9,"C"))*2)+((COUNTIF('Elève (5ème6)'!EN9:EP9,"D"))*1))/(COUNTA(EN9:EP9)),"")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(5ème6)'!ES9:EU9,"A"))*4)+((COUNTIF('Elève (5ème6)'!ES9:EU9,"B"))*3)+((COUNTIF('Elève (5ème6)'!ES9:EU9,"C"))*2)+((COUNTIF('Elève (5ème6)'!ES9:EU9,"D"))*1))/(COUNTA(ES9:EU9)),"")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(5ème6)'!EZ9:FB9,"A"))*4)+((COUNTIF('Elève (5ème6)'!EZ9:FB9,"B"))*3)+((COUNTIF('Elève (5ème6)'!EZ9:FB9,"C"))*2)+((COUNTIF('Elève (5ème6)'!EZ9:FB9,"D"))*1))/(COUNTA(EZ9:FB9)),"")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(5ème6)'!FE9:FG9,"A"))*4)+((COUNTIF('Elève (5ème6)'!FE9:FG9,"B"))*3)+((COUNTIF('Elève (5ème6)'!FE9:FG9,"C"))*2)+((COUNTIF('Elève (5ème6)'!FE9:FG9,"D"))*1))/(COUNTA(FE9:FG9)),"")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(5ème6)'!FJ9:FL9,"A"))*4)+((COUNTIF('Elève (5ème6)'!FJ9:FL9,"B"))*3)+((COUNTIF('Elève (5ème6)'!FJ9:FL9,"C"))*2)+((COUNTIF('Elève (5ème6)'!FJ9:FL9,"D"))*1))/(COUNTA(FJ9:FL9)),"")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(5ème6)'!FQ9:FS9,"A"))*4)+((COUNTIF('Elève (5ème6)'!FQ9:FS9,"B"))*3)+((COUNTIF('Elève (5ème6)'!FQ9:FS9,"C"))*2)+((COUNTIF('Elève (5ème6)'!FQ9:FS9,"D"))*1))/(COUNTA(FQ9:FS9)),"")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(5ème6)'!FV9:FX9,"A"))*4)+((COUNTIF('Elève (5ème6)'!FV9:FX9,"B"))*3)+((COUNTIF('Elève (5ème6)'!FV9:FX9,"C"))*2)+((COUNTIF('Elève (5ème6)'!FV9:FX9,"D"))*1))/(COUNTA(FV9:FX9)),"")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(5ème6)'!GA9:GC9,"A"))*4)+((COUNTIF('Elève (5ème6)'!GA9:GC9,"B"))*3)+((COUNTIF('Elève (5ème6)'!GA9:GC9,"C"))*2)+((COUNTIF('Elève (5ème6)'!GA9:GC9,"D"))*1))/(COUNTA(GA9:GC9)),"")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(5ème6)'!GH9:GJ9,"A"))*4)+((COUNTIF('Elève (5ème6)'!GH9:GJ9,"B"))*3)+((COUNTIF('Elève (5ème6)'!GH9:GJ9,"C"))*2)+((COUNTIF('Elève (5ème6)'!GH9:GJ9,"D"))*1))/(COUNTA(GH9:GJ9)),"")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(5ème6)'!GM9:GO9,"A"))*4)+((COUNTIF('Elève (5ème6)'!GM9:GO9,"B"))*3)+((COUNTIF('Elève (5ème6)'!GM9:GO9,"C"))*2)+((COUNTIF('Elève (5ème6)'!GM9:GO9,"D"))*1))/(COUNTA(GM9:GO9)),"")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(5ème6)'!GR9:GT9,"A"))*4)+((COUNTIF('Elève (5ème6)'!GR9:GT9,"B"))*3)+((COUNTIF('Elève (5ème6)'!GR9:GT9,"C"))*2)+((COUNTIF('Elève (5ème6)'!GR9:GT9,"D"))*1))/(COUNTA(GR9:GT9)),"")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(5ème6)'!GY9:HA9,"A"))*4)+((COUNTIF('Elève (5ème6)'!GY9:HA9,"B"))*3)+((COUNTIF('Elève (5ème6)'!GY9:HA9,"C"))*2)+((COUNTIF('Elève (5ème6)'!GY9:HA9,"D"))*1))/(COUNTA(GY9:HA9)),"")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(5ème6)'!HD9:HF9,"A"))*4)+((COUNTIF('Elève (5ème6)'!HD9:HF9,"B"))*3)+((COUNTIF('Elève (5ème6)'!HD9:HF9,"C"))*2)+((COUNTIF('Elève (5ème6)'!HD9:HF9,"D"))*1))/(COUNTA(HD9:HF9)),"")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(5ème6)'!HI9:HK9,"A"))*4)+((COUNTIF('Elève (5ème6)'!HI9:HK9,"B"))*3)+((COUNTIF('Elève (5ème6)'!HI9:HK9,"C"))*2)+((COUNTIF('Elève (5ème6)'!HI9:HK9,"D"))*1))/(COUNTA(HI9:HK9)),"")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(5ème6)'!HP9:HR9,"A"))*4)+((COUNTIF('Elève (5ème6)'!HP9:HR9,"B"))*3)+((COUNTIF('Elève (5ème6)'!HP9:HR9,"C"))*2)+((COUNTIF('Elève (5ème6)'!HP9:HR9,"D"))*1))/(COUNTA(HP9:HR9)),"")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(5ème6)'!HU9:HW9,"A"))*4)+((COUNTIF('Elève (5ème6)'!HU9:HW9,"B"))*3)+((COUNTIF('Elève (5ème6)'!HU9:HW9,"C"))*2)+((COUNTIF('Elève (5ème6)'!HU9:HW9,"D"))*1))/(COUNTA(HU9:HW9)),"")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(5ème6)'!HZ9:IB9,"A"))*4)+((COUNTIF('Elève (5ème6)'!HZ9:IB9,"B"))*3)+((COUNTIF('Elève (5ème6)'!HZ9:IB9,"C"))*2)+((COUNTIF('Elève (5ème6)'!HZ9:IB9,"D"))*1))/(COUNTA(HZ9:IB9)),"")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(5ème6)'!IG9:II9,"A"))*4)+((COUNTIF('Elève (5ème6)'!IG9:II9,"B"))*3)+((COUNTIF('Elève (5ème6)'!IG9:II9,"C"))*2)+((COUNTIF('Elève (5ème6)'!IG9:II9,"D"))*1))/(COUNTA(IG9:II9)),"")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(5ème6)'!IL9:IN9,"A"))*4)+((COUNTIF('Elève (5ème6)'!IL9:IN9,"B"))*3)+((COUNTIF('Elève (5ème6)'!IL9:IN9,"C"))*2)+((COUNTIF('Elève (5ème6)'!IL9:IN9,"D"))*1))/(COUNTA(IL9:IN9)),"")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(5ème6)'!IQ9:IS9,"A"))*4)+((COUNTIF('Elève (5ème6)'!IQ9:IS9,"B"))*3)+((COUNTIF('Elève (5ème6)'!IQ9:IS9,"C"))*2)+((COUNTIF('Elève (5ème6)'!IQ9:IS9,"D"))*1))/(COUNTA(IQ9:IS9)),"")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(5ème6)'!IX9:IZ9,"A"))*4)+((COUNTIF('Elève (5ème6)'!IX9:IZ9,"B"))*3)+((COUNTIF('Elève (5ème6)'!IX9:IZ9,"C"))*2)+((COUNTIF('Elève (5ème6)'!IX9:IZ9,"D"))*1))/(COUNTA(IX9:IZ9)),"")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(5ème6)'!JC9:JE9,"A"))*4)+((COUNTIF('Elève (5ème6)'!JC9:JE9,"B"))*3)+((COUNTIF('Elève (5ème6)'!JC9:JE9,"C"))*2)+((COUNTIF('Elève (5ème6)'!JC9:JE9,"D"))*1))/(COUNTA(JC9:JE9)),"")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(5ème6)'!JH9:JJ9,"A"))*4)+((COUNTIF('Elève (5ème6)'!JH9:JJ9,"B"))*3)+((COUNTIF('Elève (5ème6)'!JH9:JJ9,"C"))*2)+((COUNTIF('Elève (5ème6)'!JH9:JJ9,"D"))*1))/(COUNTA(JH9:JJ9)),"")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(5ème6)'!JO9:JQ9,"A"))*4)+((COUNTIF('Elève (5ème6)'!JO9:JQ9,"B"))*3)+((COUNTIF('Elève (5ème6)'!JO9:JQ9,"C"))*2)+((COUNTIF('Elève (5ème6)'!JO9:JQ9,"D"))*1))/(COUNTA(JO9:JQ9)),"")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(5ème6)'!JT9:JV9,"A"))*4)+((COUNTIF('Elève (5ème6)'!JT9:JV9,"B"))*3)+((COUNTIF('Elève (5ème6)'!JT9:JV9,"C"))*2)+((COUNTIF('Elève (5ème6)'!JT9:JV9,"D"))*1))/(COUNTA(JT9:JV9)),"")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(5ème6)'!JY9:KA9,"A"))*4)+((COUNTIF('Elève (5ème6)'!JY9:KA9,"B"))*3)+((COUNTIF('Elève (5ème6)'!JY9:KA9,"C"))*2)+((COUNTIF('Elève (5ème6)'!JY9:KA9,"D"))*1))/(COUNTA(JY9:KA9)),"")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(5ème6)'!KF9:KH9,"A"))*4)+((COUNTIF('Elève (5ème6)'!KF9:KH9,"B"))*3)+((COUNTIF('Elève (5ème6)'!KF9:KH9,"C"))*2)+((COUNTIF('Elève (5ème6)'!KF9:KH9,"D"))*1))/(COUNTA(KF9:KH9)),"")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(5ème6)'!KK9:KM9,"A"))*4)+((COUNTIF('Elève (5ème6)'!KK9:KM9,"B"))*3)+((COUNTIF('Elève (5ème6)'!KK9:KM9,"C"))*2)+((COUNTIF('Elève (5ème6)'!KK9:KM9,"D"))*1))/(COUNTA(KK9:KM9)),"")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(5ème6)'!KP9:KR9,"A"))*4)+((COUNTIF('Elève (5ème6)'!KP9:KR9,"B"))*3)+((COUNTIF('Elève (5ème6)'!KP9:KR9,"C"))*2)+((COUNTIF('Elève (5ème6)'!KP9:KR9,"D"))*1))/(COUNTA(KP9:KR9)),"")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(5ème6)'!KW9:KY9,"A"))*4)+((COUNTIF('Elève (5ème6)'!KW9:KY9,"B"))*3)+((COUNTIF('Elève (5ème6)'!KW9:KY9,"C"))*2)+((COUNTIF('Elève (5ème6)'!KW9:KY9,"D"))*1))/(COUNTA(KW9:KY9)),"")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(5ème6)'!LB9:LD9,"A"))*4)+((COUNTIF('Elève (5ème6)'!LB9:LD9,"B"))*3)+((COUNTIF('Elève (5ème6)'!LB9:LD9,"C"))*2)+((COUNTIF('Elève (5ème6)'!LB9:LD9,"D"))*1))/(COUNTA(LB9:LD9)),"")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(5ème6)'!LG9:LI9,"A"))*4)+((COUNTIF('Elève (5ème6)'!LG9:LI9,"B"))*3)+((COUNTIF('Elève (5ème6)'!LG9:LI9,"C"))*2)+((COUNTIF('Elève (5ème6)'!LG9:LI9,"D"))*1))/(COUNTA(LG9:LI9)),"")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(5ème6)'!LN9:LP9,"A"))*4)+((COUNTIF('Elève (5ème6)'!LN9:LP9,"B"))*3)+((COUNTIF('Elève (5ème6)'!LN9:LP9,"C"))*2)+((COUNTIF('Elève (5ème6)'!LN9:LP9,"D"))*1))/(COUNTA(LN9:LP9)),"")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(5ème6)'!LS9:LU9,"A"))*4)+((COUNTIF('Elève (5ème6)'!LS9:LU9,"B"))*3)+((COUNTIF('Elève (5ème6)'!LS9:LU9,"C"))*2)+((COUNTIF('Elève (5ème6)'!LS9:LU9,"D"))*1))/(COUNTA(LS9:LU9)),"")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(5ème6)'!LX9:LZ9,"A"))*4)+((COUNTIF('Elève (5ème6)'!LX9:LZ9,"B"))*3)+((COUNTIF('Elève (5ème6)'!LX9:LZ9,"C"))*2)+((COUNTIF('Elève (5ème6)'!LX9:LZ9,"D"))*1))/(COUNTA(LX9:LZ9)),"")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(5ème6)'!ME9:MG9,"A"))*4)+((COUNTIF('Elève (5ème6)'!ME9:MG9,"B"))*3)+((COUNTIF('Elève (5ème6)'!ME9:MG9,"C"))*2)+((COUNTIF('Elève (5ème6)'!ME9:MG9,"D"))*1))/(COUNTA(ME9:MG9)),"")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(5ème6)'!MJ9:ML9,"A"))*4)+((COUNTIF('Elève (5ème6)'!MJ9:ML9,"B"))*3)+((COUNTIF('Elève (5ème6)'!MJ9:ML9,"C"))*2)+((COUNTIF('Elève (5ème6)'!MJ9:ML9,"D"))*1))/(COUNTA(MJ9:ML9)),"")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(5ème6)'!MO9:MQ9,"A"))*4)+((COUNTIF('Elève (5ème6)'!MO9:MQ9,"B"))*3)+((COUNTIF('Elève (5ème6)'!MO9:MQ9,"C"))*2)+((COUNTIF('Elève (5ème6)'!MO9:MQ9,"D"))*1))/(COUNTA(MO9:MQ9)),"")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(5ème6)'!MV9:MX9,"A"))*4)+((COUNTIF('Elève (5ème6)'!MV9:MX9,"B"))*3)+((COUNTIF('Elève (5ème6)'!MV9:MX9,"C"))*2)+((COUNTIF('Elève (5ème6)'!MV9:MX9,"D"))*1))/(COUNTA(MV9:MX9)),"")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(5ème6)'!NA9:NC9,"A"))*4)+((COUNTIF('Elève (5ème6)'!NA9:NC9,"B"))*3)+((COUNTIF('Elève (5ème6)'!NA9:NC9,"C"))*2)+((COUNTIF('Elève (5ème6)'!NA9:NC9,"D"))*1))/(COUNTA(NA9:NC9)),"")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(5ème6)'!NF9:NH9,"A"))*4)+((COUNTIF('Elève (5ème6)'!NF9:NH9,"B"))*3)+((COUNTIF('Elève (5ème6)'!NF9:NH9,"C"))*2)+((COUNTIF('Elève (5ème6)'!NF9:NH9,"D"))*1))/(COUNTA(NF9:NH9)),"")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(5ème6)'!NM9:NO9,"A"))*4)+((COUNTIF('Elève (5ème6)'!NM9:NO9,"B"))*3)+((COUNTIF('Elève (5ème6)'!NM9:NO9,"C"))*2)+((COUNTIF('Elève (5ème6)'!NM9:NO9,"D"))*1))/(COUNTA(NM9:NO9)),"")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(5ème6)'!NR9:NT9,"A"))*4)+((COUNTIF('Elève (5ème6)'!NR9:NT9,"B"))*3)+((COUNTIF('Elève (5ème6)'!NR9:NT9,"C"))*2)+((COUNTIF('Elève (5ème6)'!NR9:NT9,"D"))*1))/(COUNTA(NR9:NT9)),"")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(5ème6)'!NW9:NY9,"A"))*4)+((COUNTIF('Elève (5ème6)'!NW9:NY9,"B"))*3)+((COUNTIF('Elève (5ème6)'!NW9:NY9,"C"))*2)+((COUNTIF('Elève (5ème6)'!NW9:NY9,"D"))*1))/(COUNTA(NW9:NY9)),"")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(5ème6)'!OD9:OF9,"A"))*4)+((COUNTIF('Elève (5ème6)'!OD9:OF9,"B"))*3)+((COUNTIF('Elève (5ème6)'!OD9:OF9,"C"))*2)+((COUNTIF('Elève (5ème6)'!OD9:OF9,"D"))*1))/(COUNTA(OD9:OF9)),"")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(5ème6)'!OI9:OK9,"A"))*4)+((COUNTIF('Elève (5ème6)'!OI9:OK9,"B"))*3)+((COUNTIF('Elève (5ème6)'!OI9:OK9,"C"))*2)+((COUNTIF('Elève (5ème6)'!OI9:OK9,"D"))*1))/(COUNTA(OI9:OK9)),"")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(5ème6)'!ON9:OP9,"A"))*4)+((COUNTIF('Elève (5ème6)'!ON9:OP9,"B"))*3)+((COUNTIF('Elève (5ème6)'!ON9:OP9,"C"))*2)+((COUNTIF('Elève (5ème6)'!ON9:OP9,"D"))*1))/(COUNTA(ON9:OP9)),"")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(5ème6)'!OU9:OW9,"A"))*4)+((COUNTIF('Elève (5ème6)'!OU9:OW9,"B"))*3)+((COUNTIF('Elève (5ème6)'!OU9:OW9,"C"))*2)+((COUNTIF('Elève (5ème6)'!OU9:OW9,"D"))*1))/(COUNTA(OU9:OW9)),"")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(5ème6)'!OZ9:PB9,"A"))*4)+((COUNTIF('Elève (5ème6)'!OZ9:PB9,"B"))*3)+((COUNTIF('Elève (5ème6)'!OZ9:PB9,"C"))*2)+((COUNTIF('Elève (5ème6)'!OZ9:PB9,"D"))*1))/(COUNTA(OZ9:PB9)),"")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(5ème6)'!PE9:PG9,"A"))*4)+((COUNTIF('Elève (5ème6)'!PE9:PG9,"B"))*3)+((COUNTIF('Elève (5ème6)'!PE9:PG9,"C"))*2)+((COUNTIF('Elève (5ème6)'!PE9:PG9,"D"))*1))/(COUNTA(PE9:PG9)),"")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(5ème6)'!PL9:PN9,"A"))*4)+((COUNTIF('Elève (5ème6)'!PL9:PN9,"B"))*3)+((COUNTIF('Elève (5ème6)'!PL9:PN9,"C"))*2)+((COUNTIF('Elève (5ème6)'!PL9:PN9,"D"))*1))/(COUNTA(PL9:PN9)),"")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(5ème6)'!PQ9:PS9,"A"))*4)+((COUNTIF('Elève (5ème6)'!PQ9:PS9,"B"))*3)+((COUNTIF('Elève (5ème6)'!PQ9:PS9,"C"))*2)+((COUNTIF('Elève (5ème6)'!PQ9:PS9,"D"))*1))/(COUNTA(PQ9:PS9)),"")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(5ème6)'!PV9:PX9,"A"))*4)+((COUNTIF('Elève (5ème6)'!PV9:PX9,"B"))*3)+((COUNTIF('Elève (5ème6)'!PV9:PX9,"C"))*2)+((COUNTIF('Elève (5ème6)'!PV9:PX9,"D"))*1))/(COUNTA(PV9:PX9)),"")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(5ème6)'!QC9:QE9,"A"))*4)+((COUNTIF('Elève (5ème6)'!QC9:QE9,"B"))*3)+((COUNTIF('Elève (5ème6)'!QC9:QE9,"C"))*2)+((COUNTIF('Elève (5ème6)'!QC9:QE9,"D"))*1))/(COUNTA(QC9:QE9)),"")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(5ème6)'!QH9:QJ9,"A"))*4)+((COUNTIF('Elève (5ème6)'!QH9:QJ9,"B"))*3)+((COUNTIF('Elève (5ème6)'!QH9:QJ9,"C"))*2)+((COUNTIF('Elève (5ème6)'!QH9:QJ9,"D"))*1))/(COUNTA(QH9:QJ9)),"")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(5ème6)'!QM9:QO9,"A"))*4)+((COUNTIF('Elève (5ème6)'!QM9:QO9,"B"))*3)+((COUNTIF('Elève (5ème6)'!QM9:QO9,"C"))*2)+((COUNTIF('Elève (5ème6)'!QM9:QO9,"D"))*1))/(COUNTA(QM9:QO9)),"")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(5ème6)'!QT9:QV9,"A"))*4)+((COUNTIF('Elève (5ème6)'!QT9:QV9,"B"))*3)+((COUNTIF('Elève (5ème6)'!QT9:QV9,"C"))*2)+((COUNTIF('Elève (5ème6)'!QT9:QV9,"D"))*1))/(COUNTA(QT9:QV9)),"")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(5ème6)'!QY9:RA9,"A"))*4)+((COUNTIF('Elève (5ème6)'!QY9:RA9,"B"))*3)+((COUNTIF('Elève (5ème6)'!QY9:RA9,"C"))*2)+((COUNTIF('Elève (5ème6)'!QY9:RA9,"D"))*1))/(COUNTA(QY9:RA9)),"")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(5ème6)'!RD9:RF9,"A"))*4)+((COUNTIF('Elève (5ème6)'!RD9:RF9,"B"))*3)+((COUNTIF('Elève (5ème6)'!RD9:RF9,"C"))*2)+((COUNTIF('Elève (5ème6)'!RD9:RF9,"D"))*1))/(COUNTA(RD9:RF9)),"")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(5ème6)'!RK9:RM9,"A"))*4)+((COUNTIF('Elève (5ème6)'!RK9:RM9,"B"))*3)+((COUNTIF('Elève (5ème6)'!RK9:RM9,"C"))*2)+((COUNTIF('Elève (5ème6)'!RK9:RM9,"D"))*1))/(COUNTA(RK9:RM9)),"")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(5ème6)'!RP9:RR9,"A"))*4)+((COUNTIF('Elève (5ème6)'!RP9:RR9,"B"))*3)+((COUNTIF('Elève (5ème6)'!RP9:RR9,"C"))*2)+((COUNTIF('Elève (5ème6)'!RP9:RR9,"D"))*1))/(COUNTA(RP9:RR9)),"")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(5ème6)'!RU9:RW9,"A"))*4)+((COUNTIF('Elève (5ème6)'!RU9:RW9,"B"))*3)+((COUNTIF('Elève (5ème6)'!RU9:RW9,"C"))*2)+((COUNTIF('Elève (5ème6)'!RU9:RW9,"D"))*1))/(COUNTA(RU9:RW9)),"")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(5ème6)'!SB9:SD9,"A"))*4)+((COUNTIF('Elève (5ème6)'!SB9:SD9,"B"))*3)+((COUNTIF('Elève (5ème6)'!SB9:SD9,"C"))*2)+((COUNTIF('Elève (5ème6)'!SB9:SD9,"D"))*1))/(COUNTA(SB9:SD9)),"")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(5ème6)'!SG9:SI9,"A"))*4)+((COUNTIF('Elève (5ème6)'!SG9:SI9,"B"))*3)+((COUNTIF('Elève (5ème6)'!SG9:SI9,"C"))*2)+((COUNTIF('Elève (5ème6)'!SG9:SI9,"D"))*1))/(COUNTA(SG9:SI9)),"")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(5ème6)'!SL9:SN9,"A"))*4)+((COUNTIF('Elève (5ème6)'!SL9:SN9,"B"))*3)+((COUNTIF('Elève (5ème6)'!SL9:SN9,"C"))*2)+((COUNTIF('Elève (5ème6)'!SL9:SN9,"D"))*1))/(COUNTA(SL9:SN9)),"")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>
        <f>IFERROR((((COUNTIF('Elève (5ème6)'!C11:E12,"A"))*4)+((COUNTIF('Elève (5ème6)'!C11:E12,"B"))*3)+((COUNTIF('Elève (5ème6)'!C11:E12,"C"))*2)+((COUNTIF('Elève (5ème6)'!C11:E12,"D"))*1))/(COUNTA(C11:E12)),"")</f>
        <v>3</v>
      </c>
      <c r="G10" s="107" t="str">
        <f t="shared" si="0"/>
        <v>B</v>
      </c>
      <c r="H10" s="100"/>
      <c r="I10" s="187"/>
      <c r="J10" s="188"/>
      <c r="K10" s="106" t="str">
        <f>IFERROR((((COUNTIF('Elève (5ème6)'!H11:J12,"A"))*4)+((COUNTIF('Elève (5ème6)'!H11:J12,"B"))*3)+((COUNTIF('Elève (5ème6)'!H11:J12,"C"))*2)+((COUNTIF('Elève (5ème6)'!H11:J12,"D"))*1))/(COUNTA(H11:J12)),"")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(5ème6)'!M11:O12,"A"))*4)+((COUNTIF('Elève (5ème6)'!M11:O12,"B"))*3)+((COUNTIF('Elève (5ème6)'!M11:O12,"C"))*2)+((COUNTIF('Elève (5ème6)'!M11:O12,"D"))*1))/(COUNTA(M11:O12)),"")</f>
        <v/>
      </c>
      <c r="Q10" s="128" t="str">
        <f t="shared" si="2"/>
        <v/>
      </c>
      <c r="R10" s="177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>3</v>
      </c>
      <c r="S10" s="130" t="str">
        <f t="shared" si="3"/>
        <v>B</v>
      </c>
      <c r="T10" s="162"/>
      <c r="U10" s="189"/>
      <c r="V10" s="189"/>
      <c r="W10" s="106">
        <f>IFERROR((((COUNTIF('Elève (5ème6)'!T11:V12,"A"))*4)+((COUNTIF('Elève (5ème6)'!T11:V12,"B"))*3)+((COUNTIF('Elève (5ème6)'!T11:V12,"C"))*2)+((COUNTIF('Elève (5ème6)'!T11:V12,"D"))*1))/(COUNTA(T11:V12)),"")</f>
        <v>4</v>
      </c>
      <c r="X10" s="107" t="str">
        <f t="shared" si="4"/>
        <v>A</v>
      </c>
      <c r="Y10" s="100"/>
      <c r="Z10" s="187"/>
      <c r="AA10" s="188"/>
      <c r="AB10" s="106" t="str">
        <f>IFERROR((((COUNTIF('Elève (5ème6)'!Y11:AA12,"A"))*4)+((COUNTIF('Elève (5ème6)'!Y11:AA12,"B"))*3)+((COUNTIF('Elève (5ème6)'!Y11:AA12,"C"))*2)+((COUNTIF('Elève (5ème6)'!Y11:AA12,"D"))*1))/(COUNTA(Y11:AA12)),"")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(5ème6)'!AD11:AF12,"A"))*4)+((COUNTIF('Elève (5ème6)'!AD11:AF12,"B"))*3)+((COUNTIF('Elève (5ème6)'!AD11:AF12,"C"))*2)+((COUNTIF('Elève (5ème6)'!AD11:AF12,"D"))*1))/(COUNTA(AD11:AF12)),"")</f>
        <v/>
      </c>
      <c r="AH10" s="128" t="str">
        <f t="shared" si="6"/>
        <v/>
      </c>
      <c r="AI10" s="177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>4</v>
      </c>
      <c r="AJ10" s="130" t="str">
        <f t="shared" si="7"/>
        <v>A</v>
      </c>
      <c r="AK10" s="162"/>
      <c r="AL10" s="189"/>
      <c r="AM10" s="189"/>
      <c r="AN10" s="106">
        <f>IFERROR((((COUNTIF('Elève (5ème6)'!AK11:AM12,"A"))*4)+((COUNTIF('Elève (5ème6)'!AK11:AM12,"B"))*3)+((COUNTIF('Elève (5ème6)'!AK11:AM12,"C"))*2)+((COUNTIF('Elève (5ème6)'!AK11:AM12,"D"))*1))/(COUNTA(AK11:AM12)),"")</f>
        <v>2</v>
      </c>
      <c r="AO10" s="107" t="str">
        <f t="shared" si="8"/>
        <v>C</v>
      </c>
      <c r="AP10" s="100"/>
      <c r="AQ10" s="187"/>
      <c r="AR10" s="188"/>
      <c r="AS10" s="106" t="str">
        <f>IFERROR((((COUNTIF('Elève (5ème6)'!AP11:AR12,"A"))*4)+((COUNTIF('Elève (5ème6)'!AP11:AR12,"B"))*3)+((COUNTIF('Elève (5ème6)'!AP11:AR12,"C"))*2)+((COUNTIF('Elève (5ème6)'!AP11:AR12,"D"))*1))/(COUNTA(AP11:AR12)),"")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(5ème6)'!AU11:AW12,"A"))*4)+((COUNTIF('Elève (5ème6)'!AU11:AW12,"B"))*3)+((COUNTIF('Elève (5ème6)'!AU11:AW12,"C"))*2)+((COUNTIF('Elève (5ème6)'!AU11:AW12,"D"))*1))/(COUNTA(AU11:AW12)),"")</f>
        <v/>
      </c>
      <c r="AY10" s="128" t="str">
        <f t="shared" si="10"/>
        <v/>
      </c>
      <c r="AZ10" s="177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>2</v>
      </c>
      <c r="BA10" s="130" t="str">
        <f t="shared" si="11"/>
        <v>C</v>
      </c>
      <c r="BB10" s="162"/>
      <c r="BC10" s="189"/>
      <c r="BD10" s="189"/>
      <c r="BE10" s="106">
        <f>IFERROR((((COUNTIF('Elève (5ème6)'!BB11:BD12,"A"))*4)+((COUNTIF('Elève (5ème6)'!BB11:BD12,"B"))*3)+((COUNTIF('Elève (5ème6)'!BB11:BD12,"C"))*2)+((COUNTIF('Elève (5ème6)'!BB11:BD12,"D"))*1))/(COUNTA(BB11:BD12)),"")</f>
        <v>4</v>
      </c>
      <c r="BF10" s="107" t="str">
        <f t="shared" si="12"/>
        <v>A</v>
      </c>
      <c r="BG10" s="100"/>
      <c r="BH10" s="187"/>
      <c r="BI10" s="188"/>
      <c r="BJ10" s="106" t="str">
        <f>IFERROR((((COUNTIF('Elève (5ème6)'!BG11:BI12,"A"))*4)+((COUNTIF('Elève (5ème6)'!BG11:BI12,"B"))*3)+((COUNTIF('Elève (5ème6)'!BG11:BI12,"C"))*2)+((COUNTIF('Elève (5ème6)'!BG11:BI12,"D"))*1))/(COUNTA(BG11:BI12)),"")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(5ème6)'!BL11:BN12,"A"))*4)+((COUNTIF('Elève (5ème6)'!BL11:BN12,"B"))*3)+((COUNTIF('Elève (5ème6)'!BL11:BN12,"C"))*2)+((COUNTIF('Elève (5ème6)'!BL11:BN12,"D"))*1))/(COUNTA(BL11:BN12)),"")</f>
        <v/>
      </c>
      <c r="BP10" s="128" t="str">
        <f t="shared" si="14"/>
        <v/>
      </c>
      <c r="BQ10" s="177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>4</v>
      </c>
      <c r="BR10" s="130" t="str">
        <f t="shared" si="15"/>
        <v>A</v>
      </c>
      <c r="BS10" s="162"/>
      <c r="BT10" s="189"/>
      <c r="BU10" s="189"/>
      <c r="BV10" s="106">
        <f>IFERROR((((COUNTIF('Elève (5ème6)'!BS11:BU12,"A"))*4)+((COUNTIF('Elève (5ème6)'!BS11:BU12,"B"))*3)+((COUNTIF('Elève (5ème6)'!BS11:BU12,"C"))*2)+((COUNTIF('Elève (5ème6)'!BS11:BU12,"D"))*1))/(COUNTA(BS11:BU12)),"")</f>
        <v>4</v>
      </c>
      <c r="BW10" s="107" t="str">
        <f t="shared" si="16"/>
        <v>A</v>
      </c>
      <c r="BX10" s="100"/>
      <c r="BY10" s="187"/>
      <c r="BZ10" s="188"/>
      <c r="CA10" s="106" t="str">
        <f>IFERROR((((COUNTIF('Elève (5ème6)'!BX11:BZ12,"A"))*4)+((COUNTIF('Elève (5ème6)'!BX11:BZ12,"B"))*3)+((COUNTIF('Elève (5ème6)'!BX11:BZ12,"C"))*2)+((COUNTIF('Elève (5ème6)'!BX11:BZ12,"D"))*1))/(COUNTA(BX11:BZ12)),"")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(5ème6)'!CC11:CE12,"A"))*4)+((COUNTIF('Elève (5ème6)'!CC11:CE12,"B"))*3)+((COUNTIF('Elève (5ème6)'!CC11:CE12,"C"))*2)+((COUNTIF('Elève (5ème6)'!CC11:CE12,"D"))*1))/(COUNTA(CC11:CE12)),"")</f>
        <v/>
      </c>
      <c r="CG10" s="128" t="str">
        <f t="shared" si="18"/>
        <v/>
      </c>
      <c r="CH10" s="177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>4</v>
      </c>
      <c r="CI10" s="130" t="str">
        <f t="shared" si="19"/>
        <v>A</v>
      </c>
      <c r="CJ10" s="162"/>
      <c r="CK10" s="189"/>
      <c r="CL10" s="189"/>
      <c r="CM10" s="106">
        <f>IFERROR((((COUNTIF('Elève (5ème6)'!CJ11:CL12,"A"))*4)+((COUNTIF('Elève (5ème6)'!CJ11:CL12,"B"))*3)+((COUNTIF('Elève (5ème6)'!CJ11:CL12,"C"))*2)+((COUNTIF('Elève (5ème6)'!CJ11:CL12,"D"))*1))/(COUNTA(CJ11:CL12)),"")</f>
        <v>3</v>
      </c>
      <c r="CN10" s="107" t="str">
        <f t="shared" si="20"/>
        <v>B</v>
      </c>
      <c r="CO10" s="100"/>
      <c r="CP10" s="187"/>
      <c r="CQ10" s="188"/>
      <c r="CR10" s="106" t="str">
        <f>IFERROR((((COUNTIF('Elève (5ème6)'!CO11:CQ12,"A"))*4)+((COUNTIF('Elève (5ème6)'!CO11:CQ12,"B"))*3)+((COUNTIF('Elève (5ème6)'!CO11:CQ12,"C"))*2)+((COUNTIF('Elève (5ème6)'!CO11:CQ12,"D"))*1))/(COUNTA(CO11:CQ12)),"")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(5ème6)'!CT11:CV12,"A"))*4)+((COUNTIF('Elève (5ème6)'!CT11:CV12,"B"))*3)+((COUNTIF('Elève (5ème6)'!CT11:CV12,"C"))*2)+((COUNTIF('Elève (5ème6)'!CT11:CV12,"D"))*1))/(COUNTA(CT11:CV12)),"")</f>
        <v/>
      </c>
      <c r="CX10" s="128" t="str">
        <f t="shared" si="22"/>
        <v/>
      </c>
      <c r="CY10" s="177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>3</v>
      </c>
      <c r="CZ10" s="130" t="str">
        <f t="shared" si="23"/>
        <v>B</v>
      </c>
      <c r="DA10" s="162"/>
      <c r="DB10" s="189"/>
      <c r="DC10" s="189"/>
      <c r="DD10" s="106">
        <f>IFERROR((((COUNTIF('Elève (5ème6)'!DA11:DC12,"A"))*4)+((COUNTIF('Elève (5ème6)'!DA11:DC12,"B"))*3)+((COUNTIF('Elève (5ème6)'!DA11:DC12,"C"))*2)+((COUNTIF('Elève (5ème6)'!DA11:DC12,"D"))*1))/(COUNTA(DA11:DC12)),"")</f>
        <v>3.5</v>
      </c>
      <c r="DE10" s="107" t="str">
        <f t="shared" si="24"/>
        <v>B</v>
      </c>
      <c r="DF10" s="100"/>
      <c r="DG10" s="187"/>
      <c r="DH10" s="188"/>
      <c r="DI10" s="106" t="str">
        <f>IFERROR((((COUNTIF('Elève (5ème6)'!DF11:DH12,"A"))*4)+((COUNTIF('Elève (5ème6)'!DF11:DH12,"B"))*3)+((COUNTIF('Elève (5ème6)'!DF11:DH12,"C"))*2)+((COUNTIF('Elève (5ème6)'!DF11:DH12,"D"))*1))/(COUNTA(DF11:DH12)),"")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(5ème6)'!DK11:DM12,"A"))*4)+((COUNTIF('Elève (5ème6)'!DK11:DM12,"B"))*3)+((COUNTIF('Elève (5ème6)'!DK11:DM12,"C"))*2)+((COUNTIF('Elève (5ème6)'!DK11:DM12,"D"))*1))/(COUNTA(DK11:DM12)),"")</f>
        <v/>
      </c>
      <c r="DO10" s="128" t="str">
        <f t="shared" si="26"/>
        <v/>
      </c>
      <c r="DP10" s="177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>3.5</v>
      </c>
      <c r="DQ10" s="130" t="str">
        <f t="shared" si="27"/>
        <v>B</v>
      </c>
      <c r="DR10" s="162"/>
      <c r="DS10" s="189"/>
      <c r="DT10" s="189"/>
      <c r="DU10" s="106">
        <f>IFERROR((((COUNTIF('Elève (5ème6)'!DR11:DT12,"A"))*4)+((COUNTIF('Elève (5ème6)'!DR11:DT12,"B"))*3)+((COUNTIF('Elève (5ème6)'!DR11:DT12,"C"))*2)+((COUNTIF('Elève (5ème6)'!DR11:DT12,"D"))*1))/(COUNTA(DR11:DT12)),"")</f>
        <v>4</v>
      </c>
      <c r="DV10" s="107" t="str">
        <f t="shared" si="28"/>
        <v>A</v>
      </c>
      <c r="DW10" s="100"/>
      <c r="DX10" s="187"/>
      <c r="DY10" s="188"/>
      <c r="DZ10" s="106" t="str">
        <f>IFERROR((((COUNTIF('Elève (5ème6)'!DW11:DY12,"A"))*4)+((COUNTIF('Elève (5ème6)'!DW11:DY12,"B"))*3)+((COUNTIF('Elève (5ème6)'!DW11:DY12,"C"))*2)+((COUNTIF('Elève (5ème6)'!DW11:DY12,"D"))*1))/(COUNTA(DW11:DY12)),"")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(5ème6)'!EB11:ED12,"A"))*4)+((COUNTIF('Elève (5ème6)'!EB11:ED12,"B"))*3)+((COUNTIF('Elève (5ème6)'!EB11:ED12,"C"))*2)+((COUNTIF('Elève (5ème6)'!EB11:ED12,"D"))*1))/(COUNTA(EB11:ED12)),"")</f>
        <v/>
      </c>
      <c r="EF10" s="128" t="str">
        <f t="shared" si="30"/>
        <v/>
      </c>
      <c r="EG10" s="177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>4</v>
      </c>
      <c r="EH10" s="130" t="str">
        <f t="shared" si="31"/>
        <v>A</v>
      </c>
      <c r="EI10" s="162"/>
      <c r="EJ10" s="189"/>
      <c r="EK10" s="189"/>
      <c r="EL10" s="106">
        <f>IFERROR((((COUNTIF('Elève (5ème6)'!EI11:EK12,"A"))*4)+((COUNTIF('Elève (5ème6)'!EI11:EK12,"B"))*3)+((COUNTIF('Elève (5ème6)'!EI11:EK12,"C"))*2)+((COUNTIF('Elève (5ème6)'!EI11:EK12,"D"))*1))/(COUNTA(EI11:EK12)),"")</f>
        <v>3.5</v>
      </c>
      <c r="EM10" s="107" t="str">
        <f t="shared" si="32"/>
        <v>B</v>
      </c>
      <c r="EN10" s="100"/>
      <c r="EO10" s="187"/>
      <c r="EP10" s="188"/>
      <c r="EQ10" s="106" t="str">
        <f>IFERROR((((COUNTIF('Elève (5ème6)'!EN11:EP12,"A"))*4)+((COUNTIF('Elève (5ème6)'!EN11:EP12,"B"))*3)+((COUNTIF('Elève (5ème6)'!EN11:EP12,"C"))*2)+((COUNTIF('Elève (5ème6)'!EN11:EP12,"D"))*1))/(COUNTA(EN11:EP12)),"")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(5ème6)'!ES11:EU12,"A"))*4)+((COUNTIF('Elève (5ème6)'!ES11:EU12,"B"))*3)+((COUNTIF('Elève (5ème6)'!ES11:EU12,"C"))*2)+((COUNTIF('Elève (5ème6)'!ES11:EU12,"D"))*1))/(COUNTA(ES11:EU12)),"")</f>
        <v/>
      </c>
      <c r="EW10" s="128" t="str">
        <f t="shared" si="34"/>
        <v/>
      </c>
      <c r="EX10" s="177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>3.5</v>
      </c>
      <c r="EY10" s="130" t="str">
        <f t="shared" si="35"/>
        <v>B</v>
      </c>
      <c r="EZ10" s="162"/>
      <c r="FA10" s="189"/>
      <c r="FB10" s="189"/>
      <c r="FC10" s="106">
        <f>IFERROR((((COUNTIF('Elève (5ème6)'!EZ11:FB12,"A"))*4)+((COUNTIF('Elève (5ème6)'!EZ11:FB12,"B"))*3)+((COUNTIF('Elève (5ème6)'!EZ11:FB12,"C"))*2)+((COUNTIF('Elève (5ème6)'!EZ11:FB12,"D"))*1))/(COUNTA(EZ11:FB12)),"")</f>
        <v>4</v>
      </c>
      <c r="FD10" s="107" t="str">
        <f t="shared" si="36"/>
        <v>A</v>
      </c>
      <c r="FE10" s="100"/>
      <c r="FF10" s="187"/>
      <c r="FG10" s="188"/>
      <c r="FH10" s="106" t="str">
        <f>IFERROR((((COUNTIF('Elève (5ème6)'!FE11:FG12,"A"))*4)+((COUNTIF('Elève (5ème6)'!FE11:FG12,"B"))*3)+((COUNTIF('Elève (5ème6)'!FE11:FG12,"C"))*2)+((COUNTIF('Elève (5ème6)'!FE11:FG12,"D"))*1))/(COUNTA(FE11:FG12)),"")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(5ème6)'!FJ11:FL12,"A"))*4)+((COUNTIF('Elève (5ème6)'!FJ11:FL12,"B"))*3)+((COUNTIF('Elève (5ème6)'!FJ11:FL12,"C"))*2)+((COUNTIF('Elève (5ème6)'!FJ11:FL12,"D"))*1))/(COUNTA(FJ11:FL12)),"")</f>
        <v/>
      </c>
      <c r="FN10" s="128" t="str">
        <f t="shared" si="38"/>
        <v/>
      </c>
      <c r="FO10" s="177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>4</v>
      </c>
      <c r="FP10" s="130" t="str">
        <f t="shared" si="39"/>
        <v>A</v>
      </c>
      <c r="FQ10" s="162"/>
      <c r="FR10" s="189"/>
      <c r="FS10" s="189"/>
      <c r="FT10" s="106">
        <f>IFERROR((((COUNTIF('Elève (5ème6)'!FQ11:FS12,"A"))*4)+((COUNTIF('Elève (5ème6)'!FQ11:FS12,"B"))*3)+((COUNTIF('Elève (5ème6)'!FQ11:FS12,"C"))*2)+((COUNTIF('Elève (5ème6)'!FQ11:FS12,"D"))*1))/(COUNTA(FQ11:FS12)),"")</f>
        <v>4</v>
      </c>
      <c r="FU10" s="107" t="str">
        <f t="shared" si="40"/>
        <v>A</v>
      </c>
      <c r="FV10" s="100"/>
      <c r="FW10" s="187"/>
      <c r="FX10" s="188"/>
      <c r="FY10" s="106" t="str">
        <f>IFERROR((((COUNTIF('Elève (5ème6)'!FV11:FX12,"A"))*4)+((COUNTIF('Elève (5ème6)'!FV11:FX12,"B"))*3)+((COUNTIF('Elève (5ème6)'!FV11:FX12,"C"))*2)+((COUNTIF('Elève (5ème6)'!FV11:FX12,"D"))*1))/(COUNTA(FV11:FX12)),"")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(5ème6)'!GA11:GC12,"A"))*4)+((COUNTIF('Elève (5ème6)'!GA11:GC12,"B"))*3)+((COUNTIF('Elève (5ème6)'!GA11:GC12,"C"))*2)+((COUNTIF('Elève (5ème6)'!GA11:GC12,"D"))*1))/(COUNTA(GA11:GC12)),"")</f>
        <v/>
      </c>
      <c r="GE10" s="128" t="str">
        <f t="shared" si="42"/>
        <v/>
      </c>
      <c r="GF10" s="177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>4</v>
      </c>
      <c r="GG10" s="130" t="str">
        <f t="shared" si="43"/>
        <v>A</v>
      </c>
      <c r="GH10" s="162"/>
      <c r="GI10" s="189"/>
      <c r="GJ10" s="189"/>
      <c r="GK10" s="106">
        <f>IFERROR((((COUNTIF('Elève (5ème6)'!GH11:GJ12,"A"))*4)+((COUNTIF('Elève (5ème6)'!GH11:GJ12,"B"))*3)+((COUNTIF('Elève (5ème6)'!GH11:GJ12,"C"))*2)+((COUNTIF('Elève (5ème6)'!GH11:GJ12,"D"))*1))/(COUNTA(GH11:GJ12)),"")</f>
        <v>3</v>
      </c>
      <c r="GL10" s="107" t="str">
        <f t="shared" si="44"/>
        <v>B</v>
      </c>
      <c r="GM10" s="100"/>
      <c r="GN10" s="187"/>
      <c r="GO10" s="188"/>
      <c r="GP10" s="106" t="str">
        <f>IFERROR((((COUNTIF('Elève (5ème6)'!GM11:GO12,"A"))*4)+((COUNTIF('Elève (5ème6)'!GM11:GO12,"B"))*3)+((COUNTIF('Elève (5ème6)'!GM11:GO12,"C"))*2)+((COUNTIF('Elève (5ème6)'!GM11:GO12,"D"))*1))/(COUNTA(GM11:GO12)),"")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(5ème6)'!GR11:GT12,"A"))*4)+((COUNTIF('Elève (5ème6)'!GR11:GT12,"B"))*3)+((COUNTIF('Elève (5ème6)'!GR11:GT12,"C"))*2)+((COUNTIF('Elève (5ème6)'!GR11:GT12,"D"))*1))/(COUNTA(GR11:GT12)),"")</f>
        <v/>
      </c>
      <c r="GV10" s="128" t="str">
        <f t="shared" si="46"/>
        <v/>
      </c>
      <c r="GW10" s="177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>3</v>
      </c>
      <c r="GX10" s="130" t="str">
        <f t="shared" si="47"/>
        <v>B</v>
      </c>
      <c r="GY10" s="162"/>
      <c r="GZ10" s="189"/>
      <c r="HA10" s="189"/>
      <c r="HB10" s="106">
        <f>IFERROR((((COUNTIF('Elève (5ème6)'!GY11:HA12,"A"))*4)+((COUNTIF('Elève (5ème6)'!GY11:HA12,"B"))*3)+((COUNTIF('Elève (5ème6)'!GY11:HA12,"C"))*2)+((COUNTIF('Elève (5ème6)'!GY11:HA12,"D"))*1))/(COUNTA(GY11:HA12)),"")</f>
        <v>4</v>
      </c>
      <c r="HC10" s="107" t="str">
        <f t="shared" si="48"/>
        <v>A</v>
      </c>
      <c r="HD10" s="100"/>
      <c r="HE10" s="187"/>
      <c r="HF10" s="188"/>
      <c r="HG10" s="106" t="str">
        <f>IFERROR((((COUNTIF('Elève (5ème6)'!HD11:HF12,"A"))*4)+((COUNTIF('Elève (5ème6)'!HD11:HF12,"B"))*3)+((COUNTIF('Elève (5ème6)'!HD11:HF12,"C"))*2)+((COUNTIF('Elève (5ème6)'!HD11:HF12,"D"))*1))/(COUNTA(HD11:HF12)),"")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(5ème6)'!HI11:HK12,"A"))*4)+((COUNTIF('Elève (5ème6)'!HI11:HK12,"B"))*3)+((COUNTIF('Elève (5ème6)'!HI11:HK12,"C"))*2)+((COUNTIF('Elève (5ème6)'!HI11:HK12,"D"))*1))/(COUNTA(HI11:HK12)),"")</f>
        <v/>
      </c>
      <c r="HM10" s="128" t="str">
        <f t="shared" si="50"/>
        <v/>
      </c>
      <c r="HN10" s="177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>4</v>
      </c>
      <c r="HO10" s="130" t="str">
        <f t="shared" si="51"/>
        <v>A</v>
      </c>
      <c r="HP10" s="162"/>
      <c r="HQ10" s="189"/>
      <c r="HR10" s="189"/>
      <c r="HS10" s="106">
        <f>IFERROR((((COUNTIF('Elève (5ème6)'!HP11:HR12,"A"))*4)+((COUNTIF('Elève (5ème6)'!HP11:HR12,"B"))*3)+((COUNTIF('Elève (5ème6)'!HP11:HR12,"C"))*2)+((COUNTIF('Elève (5ème6)'!HP11:HR12,"D"))*1))/(COUNTA(HP11:HR12)),"")</f>
        <v>4</v>
      </c>
      <c r="HT10" s="107" t="str">
        <f t="shared" si="52"/>
        <v>A</v>
      </c>
      <c r="HU10" s="100"/>
      <c r="HV10" s="187"/>
      <c r="HW10" s="188"/>
      <c r="HX10" s="106" t="str">
        <f>IFERROR((((COUNTIF('Elève (5ème6)'!HU11:HW12,"A"))*4)+((COUNTIF('Elève (5ème6)'!HU11:HW12,"B"))*3)+((COUNTIF('Elève (5ème6)'!HU11:HW12,"C"))*2)+((COUNTIF('Elève (5ème6)'!HU11:HW12,"D"))*1))/(COUNTA(HU11:HW12)),"")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(5ème6)'!HZ11:IB12,"A"))*4)+((COUNTIF('Elève (5ème6)'!HZ11:IB12,"B"))*3)+((COUNTIF('Elève (5ème6)'!HZ11:IB12,"C"))*2)+((COUNTIF('Elève (5ème6)'!HZ11:IB12,"D"))*1))/(COUNTA(HZ11:IB12)),"")</f>
        <v/>
      </c>
      <c r="ID10" s="128" t="str">
        <f t="shared" si="54"/>
        <v/>
      </c>
      <c r="IE10" s="177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>4</v>
      </c>
      <c r="IF10" s="130" t="str">
        <f t="shared" si="55"/>
        <v>A</v>
      </c>
      <c r="IG10" s="162"/>
      <c r="IH10" s="189"/>
      <c r="II10" s="189"/>
      <c r="IJ10" s="106">
        <f>IFERROR((((COUNTIF('Elève (5ème6)'!IG11:II12,"A"))*4)+((COUNTIF('Elève (5ème6)'!IG11:II12,"B"))*3)+((COUNTIF('Elève (5ème6)'!IG11:II12,"C"))*2)+((COUNTIF('Elève (5ème6)'!IG11:II12,"D"))*1))/(COUNTA(IG11:II12)),"")</f>
        <v>4</v>
      </c>
      <c r="IK10" s="107" t="str">
        <f t="shared" si="56"/>
        <v>A</v>
      </c>
      <c r="IL10" s="100"/>
      <c r="IM10" s="187"/>
      <c r="IN10" s="188"/>
      <c r="IO10" s="106" t="str">
        <f>IFERROR((((COUNTIF('Elève (5ème6)'!IL11:IN12,"A"))*4)+((COUNTIF('Elève (5ème6)'!IL11:IN12,"B"))*3)+((COUNTIF('Elève (5ème6)'!IL11:IN12,"C"))*2)+((COUNTIF('Elève (5ème6)'!IL11:IN12,"D"))*1))/(COUNTA(IL11:IN12)),"")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(5ème6)'!IQ11:IS12,"A"))*4)+((COUNTIF('Elève (5ème6)'!IQ11:IS12,"B"))*3)+((COUNTIF('Elève (5ème6)'!IQ11:IS12,"C"))*2)+((COUNTIF('Elève (5ème6)'!IQ11:IS12,"D"))*1))/(COUNTA(IQ11:IS12)),"")</f>
        <v/>
      </c>
      <c r="IU10" s="128" t="str">
        <f t="shared" si="58"/>
        <v/>
      </c>
      <c r="IV10" s="177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>4</v>
      </c>
      <c r="IW10" s="130" t="str">
        <f t="shared" si="59"/>
        <v>A</v>
      </c>
      <c r="IX10" s="162"/>
      <c r="IY10" s="189"/>
      <c r="IZ10" s="189"/>
      <c r="JA10" s="106">
        <f>IFERROR((((COUNTIF('Elève (5ème6)'!IX11:IZ12,"A"))*4)+((COUNTIF('Elève (5ème6)'!IX11:IZ12,"B"))*3)+((COUNTIF('Elève (5ème6)'!IX11:IZ12,"C"))*2)+((COUNTIF('Elève (5ème6)'!IX11:IZ12,"D"))*1))/(COUNTA(IX11:IZ12)),"")</f>
        <v>4</v>
      </c>
      <c r="JB10" s="107" t="str">
        <f t="shared" si="60"/>
        <v>A</v>
      </c>
      <c r="JC10" s="100"/>
      <c r="JD10" s="187"/>
      <c r="JE10" s="188"/>
      <c r="JF10" s="106" t="str">
        <f>IFERROR((((COUNTIF('Elève (5ème6)'!JC11:JE12,"A"))*4)+((COUNTIF('Elève (5ème6)'!JC11:JE12,"B"))*3)+((COUNTIF('Elève (5ème6)'!JC11:JE12,"C"))*2)+((COUNTIF('Elève (5ème6)'!JC11:JE12,"D"))*1))/(COUNTA(JC11:JE12)),"")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(5ème6)'!JH11:JJ12,"A"))*4)+((COUNTIF('Elève (5ème6)'!JH11:JJ12,"B"))*3)+((COUNTIF('Elève (5ème6)'!JH11:JJ12,"C"))*2)+((COUNTIF('Elève (5ème6)'!JH11:JJ12,"D"))*1))/(COUNTA(JH11:JJ12)),"")</f>
        <v/>
      </c>
      <c r="JL10" s="128" t="str">
        <f t="shared" si="62"/>
        <v/>
      </c>
      <c r="JM10" s="177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>4</v>
      </c>
      <c r="JN10" s="130" t="str">
        <f t="shared" si="63"/>
        <v>A</v>
      </c>
      <c r="JO10" s="162"/>
      <c r="JP10" s="189"/>
      <c r="JQ10" s="189"/>
      <c r="JR10" s="106">
        <f>IFERROR((((COUNTIF('Elève (5ème6)'!JO11:JQ12,"A"))*4)+((COUNTIF('Elève (5ème6)'!JO11:JQ12,"B"))*3)+((COUNTIF('Elève (5ème6)'!JO11:JQ12,"C"))*2)+((COUNTIF('Elève (5ème6)'!JO11:JQ12,"D"))*1))/(COUNTA(JO11:JQ12)),"")</f>
        <v>4</v>
      </c>
      <c r="JS10" s="107" t="str">
        <f t="shared" si="64"/>
        <v>A</v>
      </c>
      <c r="JT10" s="100"/>
      <c r="JU10" s="187"/>
      <c r="JV10" s="188"/>
      <c r="JW10" s="106" t="str">
        <f>IFERROR((((COUNTIF('Elève (5ème6)'!JT11:JV12,"A"))*4)+((COUNTIF('Elève (5ème6)'!JT11:JV12,"B"))*3)+((COUNTIF('Elève (5ème6)'!JT11:JV12,"C"))*2)+((COUNTIF('Elève (5ème6)'!JT11:JV12,"D"))*1))/(COUNTA(JT11:JV12)),"")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(5ème6)'!JY11:KA12,"A"))*4)+((COUNTIF('Elève (5ème6)'!JY11:KA12,"B"))*3)+((COUNTIF('Elève (5ème6)'!JY11:KA12,"C"))*2)+((COUNTIF('Elève (5ème6)'!JY11:KA12,"D"))*1))/(COUNTA(JY11:KA12)),"")</f>
        <v/>
      </c>
      <c r="KC10" s="128" t="str">
        <f t="shared" si="66"/>
        <v/>
      </c>
      <c r="KD10" s="177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>4</v>
      </c>
      <c r="KE10" s="130" t="str">
        <f t="shared" si="67"/>
        <v>A</v>
      </c>
      <c r="KF10" s="162"/>
      <c r="KG10" s="189"/>
      <c r="KH10" s="189"/>
      <c r="KI10" s="106">
        <f>IFERROR((((COUNTIF('Elève (5ème6)'!KF11:KH12,"A"))*4)+((COUNTIF('Elève (5ème6)'!KF11:KH12,"B"))*3)+((COUNTIF('Elève (5ème6)'!KF11:KH12,"C"))*2)+((COUNTIF('Elève (5ème6)'!KF11:KH12,"D"))*1))/(COUNTA(KF11:KH12)),"")</f>
        <v>3.5</v>
      </c>
      <c r="KJ10" s="107" t="str">
        <f t="shared" si="68"/>
        <v>B</v>
      </c>
      <c r="KK10" s="100"/>
      <c r="KL10" s="187"/>
      <c r="KM10" s="188"/>
      <c r="KN10" s="106" t="str">
        <f>IFERROR((((COUNTIF('Elève (5ème6)'!KK11:KM12,"A"))*4)+((COUNTIF('Elève (5ème6)'!KK11:KM12,"B"))*3)+((COUNTIF('Elève (5ème6)'!KK11:KM12,"C"))*2)+((COUNTIF('Elève (5ème6)'!KK11:KM12,"D"))*1))/(COUNTA(KK11:KM12)),"")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(5ème6)'!KP11:KR12,"A"))*4)+((COUNTIF('Elève (5ème6)'!KP11:KR12,"B"))*3)+((COUNTIF('Elève (5ème6)'!KP11:KR12,"C"))*2)+((COUNTIF('Elève (5ème6)'!KP11:KR12,"D"))*1))/(COUNTA(KP11:KR12)),"")</f>
        <v/>
      </c>
      <c r="KT10" s="128" t="str">
        <f t="shared" si="70"/>
        <v/>
      </c>
      <c r="KU10" s="177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>3.5</v>
      </c>
      <c r="KV10" s="130" t="str">
        <f t="shared" si="71"/>
        <v>B</v>
      </c>
      <c r="KW10" s="162"/>
      <c r="KX10" s="189"/>
      <c r="KY10" s="189"/>
      <c r="KZ10" s="106">
        <f>IFERROR((((COUNTIF('Elève (5ème6)'!KW11:KY12,"A"))*4)+((COUNTIF('Elève (5ème6)'!KW11:KY12,"B"))*3)+((COUNTIF('Elève (5ème6)'!KW11:KY12,"C"))*2)+((COUNTIF('Elève (5ème6)'!KW11:KY12,"D"))*1))/(COUNTA(KW11:KY12)),"")</f>
        <v>4</v>
      </c>
      <c r="LA10" s="107" t="str">
        <f t="shared" si="72"/>
        <v>A</v>
      </c>
      <c r="LB10" s="100"/>
      <c r="LC10" s="187"/>
      <c r="LD10" s="188"/>
      <c r="LE10" s="106" t="str">
        <f>IFERROR((((COUNTIF('Elève (5ème6)'!LB11:LD12,"A"))*4)+((COUNTIF('Elève (5ème6)'!LB11:LD12,"B"))*3)+((COUNTIF('Elève (5ème6)'!LB11:LD12,"C"))*2)+((COUNTIF('Elève (5ème6)'!LB11:LD12,"D"))*1))/(COUNTA(LB11:LD12)),"")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(5ème6)'!LG11:LI12,"A"))*4)+((COUNTIF('Elève (5ème6)'!LG11:LI12,"B"))*3)+((COUNTIF('Elève (5ème6)'!LG11:LI12,"C"))*2)+((COUNTIF('Elève (5ème6)'!LG11:LI12,"D"))*1))/(COUNTA(LG11:LI12)),"")</f>
        <v/>
      </c>
      <c r="LK10" s="128" t="str">
        <f t="shared" si="74"/>
        <v/>
      </c>
      <c r="LL10" s="177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>4</v>
      </c>
      <c r="LM10" s="130" t="str">
        <f t="shared" si="75"/>
        <v>A</v>
      </c>
      <c r="LN10" s="162"/>
      <c r="LO10" s="189"/>
      <c r="LP10" s="189"/>
      <c r="LQ10" s="106">
        <f>IFERROR((((COUNTIF('Elève (5ème6)'!LN11:LP12,"A"))*4)+((COUNTIF('Elève (5ème6)'!LN11:LP12,"B"))*3)+((COUNTIF('Elève (5ème6)'!LN11:LP12,"C"))*2)+((COUNTIF('Elève (5ème6)'!LN11:LP12,"D"))*1))/(COUNTA(LN11:LP12)),"")</f>
        <v>4</v>
      </c>
      <c r="LR10" s="107" t="str">
        <f t="shared" si="76"/>
        <v>A</v>
      </c>
      <c r="LS10" s="100"/>
      <c r="LT10" s="187"/>
      <c r="LU10" s="188"/>
      <c r="LV10" s="106" t="str">
        <f>IFERROR((((COUNTIF('Elève (5ème6)'!LS11:LU12,"A"))*4)+((COUNTIF('Elève (5ème6)'!LS11:LU12,"B"))*3)+((COUNTIF('Elève (5ème6)'!LS11:LU12,"C"))*2)+((COUNTIF('Elève (5ème6)'!LS11:LU12,"D"))*1))/(COUNTA(LS11:LU12)),"")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(5ème6)'!LX11:LZ12,"A"))*4)+((COUNTIF('Elève (5ème6)'!LX11:LZ12,"B"))*3)+((COUNTIF('Elève (5ème6)'!LX11:LZ12,"C"))*2)+((COUNTIF('Elève (5ème6)'!LX11:LZ12,"D"))*1))/(COUNTA(LX11:LZ12)),"")</f>
        <v/>
      </c>
      <c r="MB10" s="128" t="str">
        <f t="shared" si="78"/>
        <v/>
      </c>
      <c r="MC10" s="177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>4</v>
      </c>
      <c r="MD10" s="130" t="str">
        <f t="shared" si="79"/>
        <v>A</v>
      </c>
      <c r="ME10" s="162"/>
      <c r="MF10" s="189"/>
      <c r="MG10" s="189"/>
      <c r="MH10" s="106">
        <f>IFERROR((((COUNTIF('Elève (5ème6)'!ME11:MG12,"A"))*4)+((COUNTIF('Elève (5ème6)'!ME11:MG12,"B"))*3)+((COUNTIF('Elève (5ème6)'!ME11:MG12,"C"))*2)+((COUNTIF('Elève (5ème6)'!ME11:MG12,"D"))*1))/(COUNTA(ME11:MG12)),"")</f>
        <v>3.5</v>
      </c>
      <c r="MI10" s="107" t="str">
        <f t="shared" si="80"/>
        <v>B</v>
      </c>
      <c r="MJ10" s="100"/>
      <c r="MK10" s="187"/>
      <c r="ML10" s="188"/>
      <c r="MM10" s="106" t="str">
        <f>IFERROR((((COUNTIF('Elève (5ème6)'!MJ11:ML12,"A"))*4)+((COUNTIF('Elève (5ème6)'!MJ11:ML12,"B"))*3)+((COUNTIF('Elève (5ème6)'!MJ11:ML12,"C"))*2)+((COUNTIF('Elève (5ème6)'!MJ11:ML12,"D"))*1))/(COUNTA(MJ11:ML12)),"")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(5ème6)'!MO11:MQ12,"A"))*4)+((COUNTIF('Elève (5ème6)'!MO11:MQ12,"B"))*3)+((COUNTIF('Elève (5ème6)'!MO11:MQ12,"C"))*2)+((COUNTIF('Elève (5ème6)'!MO11:MQ12,"D"))*1))/(COUNTA(MO11:MQ12)),"")</f>
        <v/>
      </c>
      <c r="MS10" s="128" t="str">
        <f t="shared" si="82"/>
        <v/>
      </c>
      <c r="MT10" s="177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>3.5</v>
      </c>
      <c r="MU10" s="130" t="str">
        <f t="shared" si="83"/>
        <v>B</v>
      </c>
      <c r="MV10" s="162"/>
      <c r="MW10" s="189"/>
      <c r="MX10" s="189"/>
      <c r="MY10" s="106">
        <f>IFERROR((((COUNTIF('Elève (5ème6)'!MV11:MX12,"A"))*4)+((COUNTIF('Elève (5ème6)'!MV11:MX12,"B"))*3)+((COUNTIF('Elève (5ème6)'!MV11:MX12,"C"))*2)+((COUNTIF('Elève (5ème6)'!MV11:MX12,"D"))*1))/(COUNTA(MV11:MX12)),"")</f>
        <v>4</v>
      </c>
      <c r="MZ10" s="107" t="str">
        <f t="shared" si="84"/>
        <v>A</v>
      </c>
      <c r="NA10" s="100"/>
      <c r="NB10" s="187"/>
      <c r="NC10" s="188"/>
      <c r="ND10" s="106" t="str">
        <f>IFERROR((((COUNTIF('Elève (5ème6)'!NA11:NC12,"A"))*4)+((COUNTIF('Elève (5ème6)'!NA11:NC12,"B"))*3)+((COUNTIF('Elève (5ème6)'!NA11:NC12,"C"))*2)+((COUNTIF('Elève (5ème6)'!NA11:NC12,"D"))*1))/(COUNTA(NA11:NC12)),"")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(5ème6)'!NF11:NH12,"A"))*4)+((COUNTIF('Elève (5ème6)'!NF11:NH12,"B"))*3)+((COUNTIF('Elève (5ème6)'!NF11:NH12,"C"))*2)+((COUNTIF('Elève (5ème6)'!NF11:NH12,"D"))*1))/(COUNTA(NF11:NH12)),"")</f>
        <v/>
      </c>
      <c r="NJ10" s="128" t="str">
        <f t="shared" si="86"/>
        <v/>
      </c>
      <c r="NK10" s="177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>4</v>
      </c>
      <c r="NL10" s="130" t="str">
        <f t="shared" si="87"/>
        <v>A</v>
      </c>
      <c r="NM10" s="162"/>
      <c r="NN10" s="189"/>
      <c r="NO10" s="189"/>
      <c r="NP10" s="106">
        <f>IFERROR((((COUNTIF('Elève (5ème6)'!NM11:NO12,"A"))*4)+((COUNTIF('Elève (5ème6)'!NM11:NO12,"B"))*3)+((COUNTIF('Elève (5ème6)'!NM11:NO12,"C"))*2)+((COUNTIF('Elève (5ème6)'!NM11:NO12,"D"))*1))/(COUNTA(NM11:NO12)),"")</f>
        <v>4</v>
      </c>
      <c r="NQ10" s="107" t="str">
        <f t="shared" si="88"/>
        <v>A</v>
      </c>
      <c r="NR10" s="100"/>
      <c r="NS10" s="187"/>
      <c r="NT10" s="188"/>
      <c r="NU10" s="106" t="str">
        <f>IFERROR((((COUNTIF('Elève (5ème6)'!NR11:NT12,"A"))*4)+((COUNTIF('Elève (5ème6)'!NR11:NT12,"B"))*3)+((COUNTIF('Elève (5ème6)'!NR11:NT12,"C"))*2)+((COUNTIF('Elève (5ème6)'!NR11:NT12,"D"))*1))/(COUNTA(NR11:NT12)),"")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(5ème6)'!NW11:NY12,"A"))*4)+((COUNTIF('Elève (5ème6)'!NW11:NY12,"B"))*3)+((COUNTIF('Elève (5ème6)'!NW11:NY12,"C"))*2)+((COUNTIF('Elève (5ème6)'!NW11:NY12,"D"))*1))/(COUNTA(NW11:NY12)),"")</f>
        <v/>
      </c>
      <c r="OA10" s="128" t="str">
        <f t="shared" si="90"/>
        <v/>
      </c>
      <c r="OB10" s="177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>4</v>
      </c>
      <c r="OC10" s="130" t="str">
        <f t="shared" si="91"/>
        <v>A</v>
      </c>
      <c r="OD10" s="162"/>
      <c r="OE10" s="189"/>
      <c r="OF10" s="189"/>
      <c r="OG10" s="106">
        <f>IFERROR((((COUNTIF('Elève (5ème6)'!OD11:OF12,"A"))*4)+((COUNTIF('Elève (5ème6)'!OD11:OF12,"B"))*3)+((COUNTIF('Elève (5ème6)'!OD11:OF12,"C"))*2)+((COUNTIF('Elève (5ème6)'!OD11:OF12,"D"))*1))/(COUNTA(OD11:OF12)),"")</f>
        <v>4</v>
      </c>
      <c r="OH10" s="107" t="str">
        <f t="shared" si="92"/>
        <v>A</v>
      </c>
      <c r="OI10" s="100"/>
      <c r="OJ10" s="187"/>
      <c r="OK10" s="188"/>
      <c r="OL10" s="106" t="str">
        <f>IFERROR((((COUNTIF('Elève (5ème6)'!OI11:OK12,"A"))*4)+((COUNTIF('Elève (5ème6)'!OI11:OK12,"B"))*3)+((COUNTIF('Elève (5ème6)'!OI11:OK12,"C"))*2)+((COUNTIF('Elève (5ème6)'!OI11:OK12,"D"))*1))/(COUNTA(OI11:OK12)),"")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(5ème6)'!ON11:OP12,"A"))*4)+((COUNTIF('Elève (5ème6)'!ON11:OP12,"B"))*3)+((COUNTIF('Elève (5ème6)'!ON11:OP12,"C"))*2)+((COUNTIF('Elève (5ème6)'!ON11:OP12,"D"))*1))/(COUNTA(ON11:OP12)),"")</f>
        <v/>
      </c>
      <c r="OR10" s="128" t="str">
        <f t="shared" si="94"/>
        <v/>
      </c>
      <c r="OS10" s="177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>4</v>
      </c>
      <c r="OT10" s="130" t="str">
        <f t="shared" si="95"/>
        <v>A</v>
      </c>
      <c r="OU10" s="162"/>
      <c r="OV10" s="189"/>
      <c r="OW10" s="189"/>
      <c r="OX10" s="106">
        <f>IFERROR((((COUNTIF('Elève (5ème6)'!OU11:OW12,"A"))*4)+((COUNTIF('Elève (5ème6)'!OU11:OW12,"B"))*3)+((COUNTIF('Elève (5ème6)'!OU11:OW12,"C"))*2)+((COUNTIF('Elève (5ème6)'!OU11:OW12,"D"))*1))/(COUNTA(OU11:OW12)),"")</f>
        <v>4</v>
      </c>
      <c r="OY10" s="107" t="str">
        <f t="shared" si="96"/>
        <v>A</v>
      </c>
      <c r="OZ10" s="100"/>
      <c r="PA10" s="187"/>
      <c r="PB10" s="188"/>
      <c r="PC10" s="106" t="str">
        <f>IFERROR((((COUNTIF('Elève (5ème6)'!OZ11:PB12,"A"))*4)+((COUNTIF('Elève (5ème6)'!OZ11:PB12,"B"))*3)+((COUNTIF('Elève (5ème6)'!OZ11:PB12,"C"))*2)+((COUNTIF('Elève (5ème6)'!OZ11:PB12,"D"))*1))/(COUNTA(OZ11:PB12)),"")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(5ème6)'!PE11:PG12,"A"))*4)+((COUNTIF('Elève (5ème6)'!PE11:PG12,"B"))*3)+((COUNTIF('Elève (5ème6)'!PE11:PG12,"C"))*2)+((COUNTIF('Elève (5ème6)'!PE11:PG12,"D"))*1))/(COUNTA(PE11:PG12)),"")</f>
        <v/>
      </c>
      <c r="PI10" s="128" t="str">
        <f t="shared" si="98"/>
        <v/>
      </c>
      <c r="PJ10" s="177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>4</v>
      </c>
      <c r="PK10" s="130" t="str">
        <f t="shared" si="99"/>
        <v>A</v>
      </c>
      <c r="PL10" s="162"/>
      <c r="PM10" s="189"/>
      <c r="PN10" s="189"/>
      <c r="PO10" s="106">
        <f>IFERROR((((COUNTIF('Elève (5ème6)'!PL11:PN12,"A"))*4)+((COUNTIF('Elève (5ème6)'!PL11:PN12,"B"))*3)+((COUNTIF('Elève (5ème6)'!PL11:PN12,"C"))*2)+((COUNTIF('Elève (5ème6)'!PL11:PN12,"D"))*1))/(COUNTA(PL11:PN12)),"")</f>
        <v>4</v>
      </c>
      <c r="PP10" s="107" t="str">
        <f t="shared" si="100"/>
        <v>A</v>
      </c>
      <c r="PQ10" s="100"/>
      <c r="PR10" s="187"/>
      <c r="PS10" s="188"/>
      <c r="PT10" s="106" t="str">
        <f>IFERROR((((COUNTIF('Elève (5ème6)'!PQ11:PS12,"A"))*4)+((COUNTIF('Elève (5ème6)'!PQ11:PS12,"B"))*3)+((COUNTIF('Elève (5ème6)'!PQ11:PS12,"C"))*2)+((COUNTIF('Elève (5ème6)'!PQ11:PS12,"D"))*1))/(COUNTA(PQ11:PS12)),"")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(5ème6)'!PV11:PX12,"A"))*4)+((COUNTIF('Elève (5ème6)'!PV11:PX12,"B"))*3)+((COUNTIF('Elève (5ème6)'!PV11:PX12,"C"))*2)+((COUNTIF('Elève (5ème6)'!PV11:PX12,"D"))*1))/(COUNTA(PV11:PX12)),"")</f>
        <v/>
      </c>
      <c r="PZ10" s="128" t="str">
        <f t="shared" si="102"/>
        <v/>
      </c>
      <c r="QA10" s="177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>4</v>
      </c>
      <c r="QB10" s="130" t="str">
        <f t="shared" si="103"/>
        <v>A</v>
      </c>
      <c r="QC10" s="162"/>
      <c r="QD10" s="189"/>
      <c r="QE10" s="189"/>
      <c r="QF10" s="106">
        <f>IFERROR((((COUNTIF('Elève (5ème6)'!QC11:QE12,"A"))*4)+((COUNTIF('Elève (5ème6)'!QC11:QE12,"B"))*3)+((COUNTIF('Elève (5ème6)'!QC11:QE12,"C"))*2)+((COUNTIF('Elève (5ème6)'!QC11:QE12,"D"))*1))/(COUNTA(QC11:QE12)),"")</f>
        <v>3</v>
      </c>
      <c r="QG10" s="107" t="str">
        <f t="shared" si="104"/>
        <v>B</v>
      </c>
      <c r="QH10" s="100"/>
      <c r="QI10" s="187"/>
      <c r="QJ10" s="188"/>
      <c r="QK10" s="106" t="str">
        <f>IFERROR((((COUNTIF('Elève (5ème6)'!QH11:QJ12,"A"))*4)+((COUNTIF('Elève (5ème6)'!QH11:QJ12,"B"))*3)+((COUNTIF('Elève (5ème6)'!QH11:QJ12,"C"))*2)+((COUNTIF('Elève (5ème6)'!QH11:QJ12,"D"))*1))/(COUNTA(QH11:QJ12)),"")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(5ème6)'!QM11:QO12,"A"))*4)+((COUNTIF('Elève (5ème6)'!QM11:QO12,"B"))*3)+((COUNTIF('Elève (5ème6)'!QM11:QO12,"C"))*2)+((COUNTIF('Elève (5ème6)'!QM11:QO12,"D"))*1))/(COUNTA(QM11:QO12)),"")</f>
        <v/>
      </c>
      <c r="QQ10" s="128" t="str">
        <f t="shared" si="106"/>
        <v/>
      </c>
      <c r="QR10" s="177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>3</v>
      </c>
      <c r="QS10" s="130" t="str">
        <f t="shared" si="107"/>
        <v>B</v>
      </c>
      <c r="QT10" s="162"/>
      <c r="QU10" s="189"/>
      <c r="QV10" s="189"/>
      <c r="QW10" s="106">
        <f>IFERROR((((COUNTIF('Elève (5ème6)'!QT11:QV12,"A"))*4)+((COUNTIF('Elève (5ème6)'!QT11:QV12,"B"))*3)+((COUNTIF('Elève (5ème6)'!QT11:QV12,"C"))*2)+((COUNTIF('Elève (5ème6)'!QT11:QV12,"D"))*1))/(COUNTA(QT11:QV12)),"")</f>
        <v>4</v>
      </c>
      <c r="QX10" s="107" t="str">
        <f t="shared" si="108"/>
        <v>A</v>
      </c>
      <c r="QY10" s="100"/>
      <c r="QZ10" s="187"/>
      <c r="RA10" s="188"/>
      <c r="RB10" s="106" t="str">
        <f>IFERROR((((COUNTIF('Elève (5ème6)'!QY11:RA12,"A"))*4)+((COUNTIF('Elève (5ème6)'!QY11:RA12,"B"))*3)+((COUNTIF('Elève (5ème6)'!QY11:RA12,"C"))*2)+((COUNTIF('Elève (5ème6)'!QY11:RA12,"D"))*1))/(COUNTA(QY11:RA12)),"")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(5ème6)'!RD11:RF12,"A"))*4)+((COUNTIF('Elève (5ème6)'!RD11:RF12,"B"))*3)+((COUNTIF('Elève (5ème6)'!RD11:RF12,"C"))*2)+((COUNTIF('Elève (5ème6)'!RD11:RF12,"D"))*1))/(COUNTA(RD11:RF12)),"")</f>
        <v/>
      </c>
      <c r="RH10" s="128" t="str">
        <f t="shared" si="110"/>
        <v/>
      </c>
      <c r="RI10" s="177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>4</v>
      </c>
      <c r="RJ10" s="130" t="str">
        <f t="shared" si="111"/>
        <v>A</v>
      </c>
      <c r="RK10" s="162"/>
      <c r="RL10" s="189"/>
      <c r="RM10" s="189"/>
      <c r="RN10" s="106">
        <f>IFERROR((((COUNTIF('Elève (5ème6)'!RK11:RM12,"A"))*4)+((COUNTIF('Elève (5ème6)'!RK11:RM12,"B"))*3)+((COUNTIF('Elève (5ème6)'!RK11:RM12,"C"))*2)+((COUNTIF('Elève (5ème6)'!RK11:RM12,"D"))*1))/(COUNTA(RK11:RM12)),"")</f>
        <v>4</v>
      </c>
      <c r="RO10" s="107" t="str">
        <f t="shared" si="112"/>
        <v>A</v>
      </c>
      <c r="RP10" s="100"/>
      <c r="RQ10" s="187"/>
      <c r="RR10" s="188"/>
      <c r="RS10" s="106" t="str">
        <f>IFERROR((((COUNTIF('Elève (5ème6)'!RP11:RR12,"A"))*4)+((COUNTIF('Elève (5ème6)'!RP11:RR12,"B"))*3)+((COUNTIF('Elève (5ème6)'!RP11:RR12,"C"))*2)+((COUNTIF('Elève (5ème6)'!RP11:RR12,"D"))*1))/(COUNTA(RP11:RR12)),"")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(5ème6)'!RU11:RW12,"A"))*4)+((COUNTIF('Elève (5ème6)'!RU11:RW12,"B"))*3)+((COUNTIF('Elève (5ème6)'!RU11:RW12,"C"))*2)+((COUNTIF('Elève (5ème6)'!RU11:RW12,"D"))*1))/(COUNTA(RU11:RW12)),"")</f>
        <v/>
      </c>
      <c r="RY10" s="128" t="str">
        <f t="shared" si="114"/>
        <v/>
      </c>
      <c r="RZ10" s="177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>4</v>
      </c>
      <c r="SA10" s="130" t="str">
        <f t="shared" si="115"/>
        <v>A</v>
      </c>
      <c r="SB10" s="162"/>
      <c r="SC10" s="189"/>
      <c r="SD10" s="189"/>
      <c r="SE10" s="106" t="str">
        <f>IFERROR((((COUNTIF('Elève (5ème6)'!SB11:SD12,"A"))*4)+((COUNTIF('Elève (5ème6)'!SB11:SD12,"B"))*3)+((COUNTIF('Elève (5ème6)'!SB11:SD12,"C"))*2)+((COUNTIF('Elève (5ème6)'!SB11:SD12,"D"))*1))/(COUNTA(SB11:SD12)),"")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(5ème6)'!SG11:SI12,"A"))*4)+((COUNTIF('Elève (5ème6)'!SG11:SI12,"B"))*3)+((COUNTIF('Elève (5ème6)'!SG11:SI12,"C"))*2)+((COUNTIF('Elève (5ème6)'!SG11:SI12,"D"))*1))/(COUNTA(SG11:SI12)),"")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(5ème6)'!SL11:SN12,"A"))*4)+((COUNTIF('Elève (5ème6)'!SL11:SN12,"B"))*3)+((COUNTIF('Elève (5ème6)'!SL11:SN12,"C"))*2)+((COUNTIF('Elève (5ème6)'!SL11:SN12,"D"))*1))/(COUNTA(SL11:SN12)),"")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1" t="s">
        <v>44</v>
      </c>
      <c r="B11" s="222"/>
      <c r="C11" s="156" t="s">
        <v>28</v>
      </c>
      <c r="D11" s="157"/>
      <c r="E11" s="158"/>
      <c r="F11" s="108">
        <f>IFERROR((((COUNTIF('Elève (5ème6)'!C11:E11,"A"))*4)+((COUNTIF('Elève (5ème6)'!C11:E11,"B"))*3)+((COUNTIF('Elève (5ème6)'!C11:E11,"C"))*2)+((COUNTIF('Elève (5ème6)'!C11:E11,"D"))*1))/(COUNTA(C11:E11)),"")</f>
        <v>3</v>
      </c>
      <c r="G11" s="109" t="str">
        <f t="shared" si="0"/>
        <v>B</v>
      </c>
      <c r="H11" s="81"/>
      <c r="I11" s="82"/>
      <c r="J11" s="83"/>
      <c r="K11" s="108" t="str">
        <f>IFERROR((((COUNTIF('Elève (5ème6)'!H11:J11,"A"))*4)+((COUNTIF('Elève (5ème6)'!H11:J11,"B"))*3)+((COUNTIF('Elève (5ème6)'!H11:J11,"C"))*2)+((COUNTIF('Elève (5ème6)'!H11:J11,"D"))*1))/(COUNTA(H11:J11)),"")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(5ème6)'!M11:O11,"A"))*4)+((COUNTIF('Elève (5ème6)'!M11:O11,"B"))*3)+((COUNTIF('Elève (5ème6)'!M11:O11,"C"))*2)+((COUNTIF('Elève (5ème6)'!M11:O11,"D"))*1))/(COUNTA(M11:O11)),"")</f>
        <v/>
      </c>
      <c r="Q11" s="109" t="str">
        <f t="shared" si="2"/>
        <v/>
      </c>
      <c r="R11" s="178">
        <f>IF(COUNT(F11,K11,P11)=0,"",SUM(F11,K11,P11)/COUNT(F11,K11,P11))</f>
        <v>3</v>
      </c>
      <c r="S11" s="131" t="str">
        <f t="shared" si="3"/>
        <v>B</v>
      </c>
      <c r="T11" s="156" t="s">
        <v>27</v>
      </c>
      <c r="U11" s="157"/>
      <c r="V11" s="158"/>
      <c r="W11" s="108">
        <f>IFERROR((((COUNTIF('Elève (5ème6)'!T11:V11,"A"))*4)+((COUNTIF('Elève (5ème6)'!T11:V11,"B"))*3)+((COUNTIF('Elève (5ème6)'!T11:V11,"C"))*2)+((COUNTIF('Elève (5ème6)'!T11:V11,"D"))*1))/(COUNTA(T11:V11)),"")</f>
        <v>4</v>
      </c>
      <c r="X11" s="109" t="str">
        <f t="shared" si="4"/>
        <v>A</v>
      </c>
      <c r="Y11" s="81"/>
      <c r="Z11" s="82"/>
      <c r="AA11" s="83"/>
      <c r="AB11" s="108" t="str">
        <f>IFERROR((((COUNTIF('Elève (5ème6)'!Y11:AA11,"A"))*4)+((COUNTIF('Elève (5ème6)'!Y11:AA11,"B"))*3)+((COUNTIF('Elève (5ème6)'!Y11:AA11,"C"))*2)+((COUNTIF('Elève (5ème6)'!Y11:AA11,"D"))*1))/(COUNTA(Y11:AA11)),"")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(5ème6)'!AD11:AF11,"A"))*4)+((COUNTIF('Elève (5ème6)'!AD11:AF11,"B"))*3)+((COUNTIF('Elève (5ème6)'!AD11:AF11,"C"))*2)+((COUNTIF('Elève (5ème6)'!AD11:AF11,"D"))*1))/(COUNTA(AD11:AF11)),"")</f>
        <v/>
      </c>
      <c r="AH11" s="109" t="str">
        <f t="shared" si="6"/>
        <v/>
      </c>
      <c r="AI11" s="178">
        <f>IF(COUNT(W11,AB11,AG11)=0,"",SUM(W11,AB11,AG11)/COUNT(W11,AB11,AG11))</f>
        <v>4</v>
      </c>
      <c r="AJ11" s="131" t="str">
        <f t="shared" si="7"/>
        <v>A</v>
      </c>
      <c r="AK11" s="156" t="s">
        <v>29</v>
      </c>
      <c r="AL11" s="157"/>
      <c r="AM11" s="158"/>
      <c r="AN11" s="108">
        <f>IFERROR((((COUNTIF('Elève (5ème6)'!AK11:AM11,"A"))*4)+((COUNTIF('Elève (5ème6)'!AK11:AM11,"B"))*3)+((COUNTIF('Elève (5ème6)'!AK11:AM11,"C"))*2)+((COUNTIF('Elève (5ème6)'!AK11:AM11,"D"))*1))/(COUNTA(AK11:AM11)),"")</f>
        <v>2</v>
      </c>
      <c r="AO11" s="109" t="str">
        <f t="shared" si="8"/>
        <v>C</v>
      </c>
      <c r="AP11" s="81"/>
      <c r="AQ11" s="82"/>
      <c r="AR11" s="83"/>
      <c r="AS11" s="108" t="str">
        <f>IFERROR((((COUNTIF('Elève (5ème6)'!AP11:AR11,"A"))*4)+((COUNTIF('Elève (5ème6)'!AP11:AR11,"B"))*3)+((COUNTIF('Elève (5ème6)'!AP11:AR11,"C"))*2)+((COUNTIF('Elève (5ème6)'!AP11:AR11,"D"))*1))/(COUNTA(AP11:AR11)),"")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(5ème6)'!AU11:AW11,"A"))*4)+((COUNTIF('Elève (5ème6)'!AU11:AW11,"B"))*3)+((COUNTIF('Elève (5ème6)'!AU11:AW11,"C"))*2)+((COUNTIF('Elève (5ème6)'!AU11:AW11,"D"))*1))/(COUNTA(AU11:AW11)),"")</f>
        <v/>
      </c>
      <c r="AY11" s="109" t="str">
        <f t="shared" si="10"/>
        <v/>
      </c>
      <c r="AZ11" s="178">
        <f>IF(COUNT(AN11,AS11,AX11)=0,"",SUM(AN11,AS11,AX11)/COUNT(AN11,AS11,AX11))</f>
        <v>2</v>
      </c>
      <c r="BA11" s="131" t="str">
        <f t="shared" si="11"/>
        <v>C</v>
      </c>
      <c r="BB11" s="156" t="s">
        <v>27</v>
      </c>
      <c r="BC11" s="157"/>
      <c r="BD11" s="158"/>
      <c r="BE11" s="108">
        <f>IFERROR((((COUNTIF('Elève (5ème6)'!BB11:BD11,"A"))*4)+((COUNTIF('Elève (5ème6)'!BB11:BD11,"B"))*3)+((COUNTIF('Elève (5ème6)'!BB11:BD11,"C"))*2)+((COUNTIF('Elève (5ème6)'!BB11:BD11,"D"))*1))/(COUNTA(BB11:BD11)),"")</f>
        <v>4</v>
      </c>
      <c r="BF11" s="109" t="str">
        <f t="shared" si="12"/>
        <v>A</v>
      </c>
      <c r="BG11" s="81"/>
      <c r="BH11" s="82"/>
      <c r="BI11" s="83"/>
      <c r="BJ11" s="108" t="str">
        <f>IFERROR((((COUNTIF('Elève (5ème6)'!BG11:BI11,"A"))*4)+((COUNTIF('Elève (5ème6)'!BG11:BI11,"B"))*3)+((COUNTIF('Elève (5ème6)'!BG11:BI11,"C"))*2)+((COUNTIF('Elève (5ème6)'!BG11:BI11,"D"))*1))/(COUNTA(BG11:BI11)),"")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(5ème6)'!BL11:BN11,"A"))*4)+((COUNTIF('Elève (5ème6)'!BL11:BN11,"B"))*3)+((COUNTIF('Elève (5ème6)'!BL11:BN11,"C"))*2)+((COUNTIF('Elève (5ème6)'!BL11:BN11,"D"))*1))/(COUNTA(BL11:BN11)),"")</f>
        <v/>
      </c>
      <c r="BP11" s="109" t="str">
        <f t="shared" si="14"/>
        <v/>
      </c>
      <c r="BQ11" s="178">
        <f>IF(COUNT(BE11,BJ11,BO11)=0,"",SUM(BE11,BJ11,BO11)/COUNT(BE11,BJ11,BO11))</f>
        <v>4</v>
      </c>
      <c r="BR11" s="131" t="str">
        <f t="shared" si="15"/>
        <v>A</v>
      </c>
      <c r="BS11" s="156" t="s">
        <v>27</v>
      </c>
      <c r="BT11" s="157"/>
      <c r="BU11" s="158"/>
      <c r="BV11" s="108">
        <f>IFERROR((((COUNTIF('Elève (5ème6)'!BS11:BU11,"A"))*4)+((COUNTIF('Elève (5ème6)'!BS11:BU11,"B"))*3)+((COUNTIF('Elève (5ème6)'!BS11:BU11,"C"))*2)+((COUNTIF('Elève (5ème6)'!BS11:BU11,"D"))*1))/(COUNTA(BS11:BU11)),"")</f>
        <v>4</v>
      </c>
      <c r="BW11" s="109" t="str">
        <f t="shared" si="16"/>
        <v>A</v>
      </c>
      <c r="BX11" s="81"/>
      <c r="BY11" s="82"/>
      <c r="BZ11" s="83"/>
      <c r="CA11" s="108" t="str">
        <f>IFERROR((((COUNTIF('Elève (5ème6)'!BX11:BZ11,"A"))*4)+((COUNTIF('Elève (5ème6)'!BX11:BZ11,"B"))*3)+((COUNTIF('Elève (5ème6)'!BX11:BZ11,"C"))*2)+((COUNTIF('Elève (5ème6)'!BX11:BZ11,"D"))*1))/(COUNTA(BX11:BZ11)),"")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(5ème6)'!CC11:CE11,"A"))*4)+((COUNTIF('Elève (5ème6)'!CC11:CE11,"B"))*3)+((COUNTIF('Elève (5ème6)'!CC11:CE11,"C"))*2)+((COUNTIF('Elève (5ème6)'!CC11:CE11,"D"))*1))/(COUNTA(CC11:CE11)),"")</f>
        <v/>
      </c>
      <c r="CG11" s="109" t="str">
        <f t="shared" si="18"/>
        <v/>
      </c>
      <c r="CH11" s="178">
        <f>IF(COUNT(BV11,CA11,CF11)=0,"",SUM(BV11,CA11,CF11)/COUNT(BV11,CA11,CF11))</f>
        <v>4</v>
      </c>
      <c r="CI11" s="131" t="str">
        <f t="shared" si="19"/>
        <v>A</v>
      </c>
      <c r="CJ11" s="156" t="s">
        <v>28</v>
      </c>
      <c r="CK11" s="157"/>
      <c r="CL11" s="158"/>
      <c r="CM11" s="108">
        <f>IFERROR((((COUNTIF('Elève (5ème6)'!CJ11:CL11,"A"))*4)+((COUNTIF('Elève (5ème6)'!CJ11:CL11,"B"))*3)+((COUNTIF('Elève (5ème6)'!CJ11:CL11,"C"))*2)+((COUNTIF('Elève (5ème6)'!CJ11:CL11,"D"))*1))/(COUNTA(CJ11:CL11)),"")</f>
        <v>3</v>
      </c>
      <c r="CN11" s="109" t="str">
        <f t="shared" si="20"/>
        <v>B</v>
      </c>
      <c r="CO11" s="81"/>
      <c r="CP11" s="82"/>
      <c r="CQ11" s="83"/>
      <c r="CR11" s="108" t="str">
        <f>IFERROR((((COUNTIF('Elève (5ème6)'!CO11:CQ11,"A"))*4)+((COUNTIF('Elève (5ème6)'!CO11:CQ11,"B"))*3)+((COUNTIF('Elève (5ème6)'!CO11:CQ11,"C"))*2)+((COUNTIF('Elève (5ème6)'!CO11:CQ11,"D"))*1))/(COUNTA(CO11:CQ11)),"")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(5ème6)'!CT11:CV11,"A"))*4)+((COUNTIF('Elève (5ème6)'!CT11:CV11,"B"))*3)+((COUNTIF('Elève (5ème6)'!CT11:CV11,"C"))*2)+((COUNTIF('Elève (5ème6)'!CT11:CV11,"D"))*1))/(COUNTA(CT11:CV11)),"")</f>
        <v/>
      </c>
      <c r="CX11" s="109" t="str">
        <f t="shared" si="22"/>
        <v/>
      </c>
      <c r="CY11" s="178">
        <f>IF(COUNT(CM11,CR11,CW11)=0,"",SUM(CM11,CR11,CW11)/COUNT(CM11,CR11,CW11))</f>
        <v>3</v>
      </c>
      <c r="CZ11" s="131" t="str">
        <f t="shared" si="23"/>
        <v>B</v>
      </c>
      <c r="DA11" s="156" t="s">
        <v>28</v>
      </c>
      <c r="DB11" s="157"/>
      <c r="DC11" s="158"/>
      <c r="DD11" s="108">
        <f>IFERROR((((COUNTIF('Elève (5ème6)'!DA11:DC11,"A"))*4)+((COUNTIF('Elève (5ème6)'!DA11:DC11,"B"))*3)+((COUNTIF('Elève (5ème6)'!DA11:DC11,"C"))*2)+((COUNTIF('Elève (5ème6)'!DA11:DC11,"D"))*1))/(COUNTA(DA11:DC11)),"")</f>
        <v>3</v>
      </c>
      <c r="DE11" s="109" t="str">
        <f t="shared" si="24"/>
        <v>B</v>
      </c>
      <c r="DF11" s="81"/>
      <c r="DG11" s="82"/>
      <c r="DH11" s="83"/>
      <c r="DI11" s="108" t="str">
        <f>IFERROR((((COUNTIF('Elève (5ème6)'!DF11:DH11,"A"))*4)+((COUNTIF('Elève (5ème6)'!DF11:DH11,"B"))*3)+((COUNTIF('Elève (5ème6)'!DF11:DH11,"C"))*2)+((COUNTIF('Elève (5ème6)'!DF11:DH11,"D"))*1))/(COUNTA(DF11:DH11)),"")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(5ème6)'!DK11:DM11,"A"))*4)+((COUNTIF('Elève (5ème6)'!DK11:DM11,"B"))*3)+((COUNTIF('Elève (5ème6)'!DK11:DM11,"C"))*2)+((COUNTIF('Elève (5ème6)'!DK11:DM11,"D"))*1))/(COUNTA(DK11:DM11)),"")</f>
        <v/>
      </c>
      <c r="DO11" s="109" t="str">
        <f t="shared" si="26"/>
        <v/>
      </c>
      <c r="DP11" s="178">
        <f>IF(COUNT(DD11,DI11,DN11)=0,"",SUM(DD11,DI11,DN11)/COUNT(DD11,DI11,DN11))</f>
        <v>3</v>
      </c>
      <c r="DQ11" s="131" t="str">
        <f t="shared" si="27"/>
        <v>B</v>
      </c>
      <c r="DR11" s="156" t="s">
        <v>27</v>
      </c>
      <c r="DS11" s="157"/>
      <c r="DT11" s="158"/>
      <c r="DU11" s="108">
        <f>IFERROR((((COUNTIF('Elève (5ème6)'!DR11:DT11,"A"))*4)+((COUNTIF('Elève (5ème6)'!DR11:DT11,"B"))*3)+((COUNTIF('Elève (5ème6)'!DR11:DT11,"C"))*2)+((COUNTIF('Elève (5ème6)'!DR11:DT11,"D"))*1))/(COUNTA(DR11:DT11)),"")</f>
        <v>4</v>
      </c>
      <c r="DV11" s="109" t="str">
        <f t="shared" si="28"/>
        <v>A</v>
      </c>
      <c r="DW11" s="81"/>
      <c r="DX11" s="82"/>
      <c r="DY11" s="83"/>
      <c r="DZ11" s="108" t="str">
        <f>IFERROR((((COUNTIF('Elève (5ème6)'!DW11:DY11,"A"))*4)+((COUNTIF('Elève (5ème6)'!DW11:DY11,"B"))*3)+((COUNTIF('Elève (5ème6)'!DW11:DY11,"C"))*2)+((COUNTIF('Elève (5ème6)'!DW11:DY11,"D"))*1))/(COUNTA(DW11:DY11)),"")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(5ème6)'!EB11:ED11,"A"))*4)+((COUNTIF('Elève (5ème6)'!EB11:ED11,"B"))*3)+((COUNTIF('Elève (5ème6)'!EB11:ED11,"C"))*2)+((COUNTIF('Elève (5ème6)'!EB11:ED11,"D"))*1))/(COUNTA(EB11:ED11)),"")</f>
        <v/>
      </c>
      <c r="EF11" s="109" t="str">
        <f t="shared" si="30"/>
        <v/>
      </c>
      <c r="EG11" s="178">
        <f>IF(COUNT(DU11,DZ11,EE11)=0,"",SUM(DU11,DZ11,EE11)/COUNT(DU11,DZ11,EE11))</f>
        <v>4</v>
      </c>
      <c r="EH11" s="131" t="str">
        <f t="shared" si="31"/>
        <v>A</v>
      </c>
      <c r="EI11" s="156" t="s">
        <v>28</v>
      </c>
      <c r="EJ11" s="157"/>
      <c r="EK11" s="158"/>
      <c r="EL11" s="108">
        <f>IFERROR((((COUNTIF('Elève (5ème6)'!EI11:EK11,"A"))*4)+((COUNTIF('Elève (5ème6)'!EI11:EK11,"B"))*3)+((COUNTIF('Elève (5ème6)'!EI11:EK11,"C"))*2)+((COUNTIF('Elève (5ème6)'!EI11:EK11,"D"))*1))/(COUNTA(EI11:EK11)),"")</f>
        <v>3</v>
      </c>
      <c r="EM11" s="109" t="str">
        <f t="shared" si="32"/>
        <v>B</v>
      </c>
      <c r="EN11" s="81"/>
      <c r="EO11" s="82"/>
      <c r="EP11" s="83"/>
      <c r="EQ11" s="108" t="str">
        <f>IFERROR((((COUNTIF('Elève (5ème6)'!EN11:EP11,"A"))*4)+((COUNTIF('Elève (5ème6)'!EN11:EP11,"B"))*3)+((COUNTIF('Elève (5ème6)'!EN11:EP11,"C"))*2)+((COUNTIF('Elève (5ème6)'!EN11:EP11,"D"))*1))/(COUNTA(EN11:EP11)),"")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(5ème6)'!ES11:EU11,"A"))*4)+((COUNTIF('Elève (5ème6)'!ES11:EU11,"B"))*3)+((COUNTIF('Elève (5ème6)'!ES11:EU11,"C"))*2)+((COUNTIF('Elève (5ème6)'!ES11:EU11,"D"))*1))/(COUNTA(ES11:EU11)),"")</f>
        <v/>
      </c>
      <c r="EW11" s="109" t="str">
        <f t="shared" si="34"/>
        <v/>
      </c>
      <c r="EX11" s="178">
        <f>IF(COUNT(EL11,EQ11,EV11)=0,"",SUM(EL11,EQ11,EV11)/COUNT(EL11,EQ11,EV11))</f>
        <v>3</v>
      </c>
      <c r="EY11" s="131" t="str">
        <f t="shared" si="35"/>
        <v>B</v>
      </c>
      <c r="EZ11" s="156" t="s">
        <v>27</v>
      </c>
      <c r="FA11" s="157"/>
      <c r="FB11" s="158"/>
      <c r="FC11" s="108">
        <f>IFERROR((((COUNTIF('Elève (5ème6)'!EZ11:FB11,"A"))*4)+((COUNTIF('Elève (5ème6)'!EZ11:FB11,"B"))*3)+((COUNTIF('Elève (5ème6)'!EZ11:FB11,"C"))*2)+((COUNTIF('Elève (5ème6)'!EZ11:FB11,"D"))*1))/(COUNTA(EZ11:FB11)),"")</f>
        <v>4</v>
      </c>
      <c r="FD11" s="109" t="str">
        <f t="shared" si="36"/>
        <v>A</v>
      </c>
      <c r="FE11" s="81"/>
      <c r="FF11" s="82"/>
      <c r="FG11" s="83"/>
      <c r="FH11" s="108" t="str">
        <f>IFERROR((((COUNTIF('Elève (5ème6)'!FE11:FG11,"A"))*4)+((COUNTIF('Elève (5ème6)'!FE11:FG11,"B"))*3)+((COUNTIF('Elève (5ème6)'!FE11:FG11,"C"))*2)+((COUNTIF('Elève (5ème6)'!FE11:FG11,"D"))*1))/(COUNTA(FE11:FG11)),"")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(5ème6)'!FJ11:FL11,"A"))*4)+((COUNTIF('Elève (5ème6)'!FJ11:FL11,"B"))*3)+((COUNTIF('Elève (5ème6)'!FJ11:FL11,"C"))*2)+((COUNTIF('Elève (5ème6)'!FJ11:FL11,"D"))*1))/(COUNTA(FJ11:FL11)),"")</f>
        <v/>
      </c>
      <c r="FN11" s="109" t="str">
        <f t="shared" si="38"/>
        <v/>
      </c>
      <c r="FO11" s="178">
        <f>IF(COUNT(FC11,FH11,FM11)=0,"",SUM(FC11,FH11,FM11)/COUNT(FC11,FH11,FM11))</f>
        <v>4</v>
      </c>
      <c r="FP11" s="131" t="str">
        <f t="shared" si="39"/>
        <v>A</v>
      </c>
      <c r="FQ11" s="156" t="s">
        <v>27</v>
      </c>
      <c r="FR11" s="157"/>
      <c r="FS11" s="158"/>
      <c r="FT11" s="108">
        <f>IFERROR((((COUNTIF('Elève (5ème6)'!FQ11:FS11,"A"))*4)+((COUNTIF('Elève (5ème6)'!FQ11:FS11,"B"))*3)+((COUNTIF('Elève (5ème6)'!FQ11:FS11,"C"))*2)+((COUNTIF('Elève (5ème6)'!FQ11:FS11,"D"))*1))/(COUNTA(FQ11:FS11)),"")</f>
        <v>4</v>
      </c>
      <c r="FU11" s="109" t="str">
        <f t="shared" si="40"/>
        <v>A</v>
      </c>
      <c r="FV11" s="81"/>
      <c r="FW11" s="82"/>
      <c r="FX11" s="83"/>
      <c r="FY11" s="108" t="str">
        <f>IFERROR((((COUNTIF('Elève (5ème6)'!FV11:FX11,"A"))*4)+((COUNTIF('Elève (5ème6)'!FV11:FX11,"B"))*3)+((COUNTIF('Elève (5ème6)'!FV11:FX11,"C"))*2)+((COUNTIF('Elève (5ème6)'!FV11:FX11,"D"))*1))/(COUNTA(FV11:FX11)),"")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(5ème6)'!GA11:GC11,"A"))*4)+((COUNTIF('Elève (5ème6)'!GA11:GC11,"B"))*3)+((COUNTIF('Elève (5ème6)'!GA11:GC11,"C"))*2)+((COUNTIF('Elève (5ème6)'!GA11:GC11,"D"))*1))/(COUNTA(GA11:GC11)),"")</f>
        <v/>
      </c>
      <c r="GE11" s="109" t="str">
        <f t="shared" si="42"/>
        <v/>
      </c>
      <c r="GF11" s="178">
        <f>IF(COUNT(FT11,FY11,GD11)=0,"",SUM(FT11,FY11,GD11)/COUNT(FT11,FY11,GD11))</f>
        <v>4</v>
      </c>
      <c r="GG11" s="131" t="str">
        <f t="shared" si="43"/>
        <v>A</v>
      </c>
      <c r="GH11" s="156" t="s">
        <v>29</v>
      </c>
      <c r="GI11" s="157"/>
      <c r="GJ11" s="158"/>
      <c r="GK11" s="108">
        <f>IFERROR((((COUNTIF('Elève (5ème6)'!GH11:GJ11,"A"))*4)+((COUNTIF('Elève (5ème6)'!GH11:GJ11,"B"))*3)+((COUNTIF('Elève (5ème6)'!GH11:GJ11,"C"))*2)+((COUNTIF('Elève (5ème6)'!GH11:GJ11,"D"))*1))/(COUNTA(GH11:GJ11)),"")</f>
        <v>2</v>
      </c>
      <c r="GL11" s="109" t="str">
        <f t="shared" si="44"/>
        <v>C</v>
      </c>
      <c r="GM11" s="81"/>
      <c r="GN11" s="82"/>
      <c r="GO11" s="83"/>
      <c r="GP11" s="108" t="str">
        <f>IFERROR((((COUNTIF('Elève (5ème6)'!GM11:GO11,"A"))*4)+((COUNTIF('Elève (5ème6)'!GM11:GO11,"B"))*3)+((COUNTIF('Elève (5ème6)'!GM11:GO11,"C"))*2)+((COUNTIF('Elève (5ème6)'!GM11:GO11,"D"))*1))/(COUNTA(GM11:GO11)),"")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(5ème6)'!GR11:GT11,"A"))*4)+((COUNTIF('Elève (5ème6)'!GR11:GT11,"B"))*3)+((COUNTIF('Elève (5ème6)'!GR11:GT11,"C"))*2)+((COUNTIF('Elève (5ème6)'!GR11:GT11,"D"))*1))/(COUNTA(GR11:GT11)),"")</f>
        <v/>
      </c>
      <c r="GV11" s="109" t="str">
        <f t="shared" si="46"/>
        <v/>
      </c>
      <c r="GW11" s="178">
        <f>IF(COUNT(GK11,GP11,GU11)=0,"",SUM(GK11,GP11,GU11)/COUNT(GK11,GP11,GU11))</f>
        <v>2</v>
      </c>
      <c r="GX11" s="131" t="str">
        <f t="shared" si="47"/>
        <v>C</v>
      </c>
      <c r="GY11" s="156" t="s">
        <v>27</v>
      </c>
      <c r="GZ11" s="157"/>
      <c r="HA11" s="158"/>
      <c r="HB11" s="108">
        <f>IFERROR((((COUNTIF('Elève (5ème6)'!GY11:HA11,"A"))*4)+((COUNTIF('Elève (5ème6)'!GY11:HA11,"B"))*3)+((COUNTIF('Elève (5ème6)'!GY11:HA11,"C"))*2)+((COUNTIF('Elève (5ème6)'!GY11:HA11,"D"))*1))/(COUNTA(GY11:HA11)),"")</f>
        <v>4</v>
      </c>
      <c r="HC11" s="109" t="str">
        <f t="shared" si="48"/>
        <v>A</v>
      </c>
      <c r="HD11" s="81"/>
      <c r="HE11" s="82"/>
      <c r="HF11" s="83"/>
      <c r="HG11" s="108" t="str">
        <f>IFERROR((((COUNTIF('Elève (5ème6)'!HD11:HF11,"A"))*4)+((COUNTIF('Elève (5ème6)'!HD11:HF11,"B"))*3)+((COUNTIF('Elève (5ème6)'!HD11:HF11,"C"))*2)+((COUNTIF('Elève (5ème6)'!HD11:HF11,"D"))*1))/(COUNTA(HD11:HF11)),"")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(5ème6)'!HI11:HK11,"A"))*4)+((COUNTIF('Elève (5ème6)'!HI11:HK11,"B"))*3)+((COUNTIF('Elève (5ème6)'!HI11:HK11,"C"))*2)+((COUNTIF('Elève (5ème6)'!HI11:HK11,"D"))*1))/(COUNTA(HI11:HK11)),"")</f>
        <v/>
      </c>
      <c r="HM11" s="109" t="str">
        <f t="shared" si="50"/>
        <v/>
      </c>
      <c r="HN11" s="178">
        <f>IF(COUNT(HB11,HG11,HL11)=0,"",SUM(HB11,HG11,HL11)/COUNT(HB11,HG11,HL11))</f>
        <v>4</v>
      </c>
      <c r="HO11" s="131" t="str">
        <f t="shared" si="51"/>
        <v>A</v>
      </c>
      <c r="HP11" s="156" t="s">
        <v>27</v>
      </c>
      <c r="HQ11" s="157"/>
      <c r="HR11" s="158"/>
      <c r="HS11" s="108">
        <f>IFERROR((((COUNTIF('Elève (5ème6)'!HP11:HR11,"A"))*4)+((COUNTIF('Elève (5ème6)'!HP11:HR11,"B"))*3)+((COUNTIF('Elève (5ème6)'!HP11:HR11,"C"))*2)+((COUNTIF('Elève (5ème6)'!HP11:HR11,"D"))*1))/(COUNTA(HP11:HR11)),"")</f>
        <v>4</v>
      </c>
      <c r="HT11" s="109" t="str">
        <f t="shared" si="52"/>
        <v>A</v>
      </c>
      <c r="HU11" s="81"/>
      <c r="HV11" s="82"/>
      <c r="HW11" s="83"/>
      <c r="HX11" s="108" t="str">
        <f>IFERROR((((COUNTIF('Elève (5ème6)'!HU11:HW11,"A"))*4)+((COUNTIF('Elève (5ème6)'!HU11:HW11,"B"))*3)+((COUNTIF('Elève (5ème6)'!HU11:HW11,"C"))*2)+((COUNTIF('Elève (5ème6)'!HU11:HW11,"D"))*1))/(COUNTA(HU11:HW11)),"")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(5ème6)'!HZ11:IB11,"A"))*4)+((COUNTIF('Elève (5ème6)'!HZ11:IB11,"B"))*3)+((COUNTIF('Elève (5ème6)'!HZ11:IB11,"C"))*2)+((COUNTIF('Elève (5ème6)'!HZ11:IB11,"D"))*1))/(COUNTA(HZ11:IB11)),"")</f>
        <v/>
      </c>
      <c r="ID11" s="109" t="str">
        <f t="shared" si="54"/>
        <v/>
      </c>
      <c r="IE11" s="178">
        <f>IF(COUNT(HS11,HX11,IC11)=0,"",SUM(HS11,HX11,IC11)/COUNT(HS11,HX11,IC11))</f>
        <v>4</v>
      </c>
      <c r="IF11" s="131" t="str">
        <f t="shared" si="55"/>
        <v>A</v>
      </c>
      <c r="IG11" s="156" t="s">
        <v>27</v>
      </c>
      <c r="IH11" s="157"/>
      <c r="II11" s="158"/>
      <c r="IJ11" s="108">
        <f>IFERROR((((COUNTIF('Elève (5ème6)'!IG11:II11,"A"))*4)+((COUNTIF('Elève (5ème6)'!IG11:II11,"B"))*3)+((COUNTIF('Elève (5ème6)'!IG11:II11,"C"))*2)+((COUNTIF('Elève (5ème6)'!IG11:II11,"D"))*1))/(COUNTA(IG11:II11)),"")</f>
        <v>4</v>
      </c>
      <c r="IK11" s="109" t="str">
        <f t="shared" si="56"/>
        <v>A</v>
      </c>
      <c r="IL11" s="81"/>
      <c r="IM11" s="82"/>
      <c r="IN11" s="83"/>
      <c r="IO11" s="108" t="str">
        <f>IFERROR((((COUNTIF('Elève (5ème6)'!IL11:IN11,"A"))*4)+((COUNTIF('Elève (5ème6)'!IL11:IN11,"B"))*3)+((COUNTIF('Elève (5ème6)'!IL11:IN11,"C"))*2)+((COUNTIF('Elève (5ème6)'!IL11:IN11,"D"))*1))/(COUNTA(IL11:IN11)),"")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(5ème6)'!IQ11:IS11,"A"))*4)+((COUNTIF('Elève (5ème6)'!IQ11:IS11,"B"))*3)+((COUNTIF('Elève (5ème6)'!IQ11:IS11,"C"))*2)+((COUNTIF('Elève (5ème6)'!IQ11:IS11,"D"))*1))/(COUNTA(IQ11:IS11)),"")</f>
        <v/>
      </c>
      <c r="IU11" s="109" t="str">
        <f t="shared" si="58"/>
        <v/>
      </c>
      <c r="IV11" s="178">
        <f>IF(COUNT(IJ11,IO11,IT11)=0,"",SUM(IJ11,IO11,IT11)/COUNT(IJ11,IO11,IT11))</f>
        <v>4</v>
      </c>
      <c r="IW11" s="131" t="str">
        <f t="shared" si="59"/>
        <v>A</v>
      </c>
      <c r="IX11" s="156" t="s">
        <v>27</v>
      </c>
      <c r="IY11" s="157"/>
      <c r="IZ11" s="158"/>
      <c r="JA11" s="108">
        <f>IFERROR((((COUNTIF('Elève (5ème6)'!IX11:IZ11,"A"))*4)+((COUNTIF('Elève (5ème6)'!IX11:IZ11,"B"))*3)+((COUNTIF('Elève (5ème6)'!IX11:IZ11,"C"))*2)+((COUNTIF('Elève (5ème6)'!IX11:IZ11,"D"))*1))/(COUNTA(IX11:IZ11)),"")</f>
        <v>4</v>
      </c>
      <c r="JB11" s="109" t="str">
        <f t="shared" si="60"/>
        <v>A</v>
      </c>
      <c r="JC11" s="81"/>
      <c r="JD11" s="82"/>
      <c r="JE11" s="83"/>
      <c r="JF11" s="108" t="str">
        <f>IFERROR((((COUNTIF('Elève (5ème6)'!JC11:JE11,"A"))*4)+((COUNTIF('Elève (5ème6)'!JC11:JE11,"B"))*3)+((COUNTIF('Elève (5ème6)'!JC11:JE11,"C"))*2)+((COUNTIF('Elève (5ème6)'!JC11:JE11,"D"))*1))/(COUNTA(JC11:JE11)),"")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(5ème6)'!JH11:JJ11,"A"))*4)+((COUNTIF('Elève (5ème6)'!JH11:JJ11,"B"))*3)+((COUNTIF('Elève (5ème6)'!JH11:JJ11,"C"))*2)+((COUNTIF('Elève (5ème6)'!JH11:JJ11,"D"))*1))/(COUNTA(JH11:JJ11)),"")</f>
        <v/>
      </c>
      <c r="JL11" s="109" t="str">
        <f t="shared" si="62"/>
        <v/>
      </c>
      <c r="JM11" s="178">
        <f>IF(COUNT(JA11,JF11,JK11)=0,"",SUM(JA11,JF11,JK11)/COUNT(JA11,JF11,JK11))</f>
        <v>4</v>
      </c>
      <c r="JN11" s="131" t="str">
        <f t="shared" si="63"/>
        <v>A</v>
      </c>
      <c r="JO11" s="156" t="s">
        <v>27</v>
      </c>
      <c r="JP11" s="157"/>
      <c r="JQ11" s="158"/>
      <c r="JR11" s="108">
        <f>IFERROR((((COUNTIF('Elève (5ème6)'!JO11:JQ11,"A"))*4)+((COUNTIF('Elève (5ème6)'!JO11:JQ11,"B"))*3)+((COUNTIF('Elève (5ème6)'!JO11:JQ11,"C"))*2)+((COUNTIF('Elève (5ème6)'!JO11:JQ11,"D"))*1))/(COUNTA(JO11:JQ11)),"")</f>
        <v>4</v>
      </c>
      <c r="JS11" s="109" t="str">
        <f t="shared" si="64"/>
        <v>A</v>
      </c>
      <c r="JT11" s="81"/>
      <c r="JU11" s="82"/>
      <c r="JV11" s="83"/>
      <c r="JW11" s="108" t="str">
        <f>IFERROR((((COUNTIF('Elève (5ème6)'!JT11:JV11,"A"))*4)+((COUNTIF('Elève (5ème6)'!JT11:JV11,"B"))*3)+((COUNTIF('Elève (5ème6)'!JT11:JV11,"C"))*2)+((COUNTIF('Elève (5ème6)'!JT11:JV11,"D"))*1))/(COUNTA(JT11:JV11)),"")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(5ème6)'!JY11:KA11,"A"))*4)+((COUNTIF('Elève (5ème6)'!JY11:KA11,"B"))*3)+((COUNTIF('Elève (5ème6)'!JY11:KA11,"C"))*2)+((COUNTIF('Elève (5ème6)'!JY11:KA11,"D"))*1))/(COUNTA(JY11:KA11)),"")</f>
        <v/>
      </c>
      <c r="KC11" s="109" t="str">
        <f t="shared" si="66"/>
        <v/>
      </c>
      <c r="KD11" s="178">
        <f>IF(COUNT(JR11,JW11,KB11)=0,"",SUM(JR11,JW11,KB11)/COUNT(JR11,JW11,KB11))</f>
        <v>4</v>
      </c>
      <c r="KE11" s="131" t="str">
        <f t="shared" si="67"/>
        <v>A</v>
      </c>
      <c r="KF11" s="156" t="s">
        <v>28</v>
      </c>
      <c r="KG11" s="157"/>
      <c r="KH11" s="158"/>
      <c r="KI11" s="108">
        <f>IFERROR((((COUNTIF('Elève (5ème6)'!KF11:KH11,"A"))*4)+((COUNTIF('Elève (5ème6)'!KF11:KH11,"B"))*3)+((COUNTIF('Elève (5ème6)'!KF11:KH11,"C"))*2)+((COUNTIF('Elève (5ème6)'!KF11:KH11,"D"))*1))/(COUNTA(KF11:KH11)),"")</f>
        <v>3</v>
      </c>
      <c r="KJ11" s="109" t="str">
        <f t="shared" si="68"/>
        <v>B</v>
      </c>
      <c r="KK11" s="81"/>
      <c r="KL11" s="82"/>
      <c r="KM11" s="83"/>
      <c r="KN11" s="108" t="str">
        <f>IFERROR((((COUNTIF('Elève (5ème6)'!KK11:KM11,"A"))*4)+((COUNTIF('Elève (5ème6)'!KK11:KM11,"B"))*3)+((COUNTIF('Elève (5ème6)'!KK11:KM11,"C"))*2)+((COUNTIF('Elève (5ème6)'!KK11:KM11,"D"))*1))/(COUNTA(KK11:KM11)),"")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(5ème6)'!KP11:KR11,"A"))*4)+((COUNTIF('Elève (5ème6)'!KP11:KR11,"B"))*3)+((COUNTIF('Elève (5ème6)'!KP11:KR11,"C"))*2)+((COUNTIF('Elève (5ème6)'!KP11:KR11,"D"))*1))/(COUNTA(KP11:KR11)),"")</f>
        <v/>
      </c>
      <c r="KT11" s="109" t="str">
        <f t="shared" si="70"/>
        <v/>
      </c>
      <c r="KU11" s="178">
        <f>IF(COUNT(KI11,KN11,KS11)=0,"",SUM(KI11,KN11,KS11)/COUNT(KI11,KN11,KS11))</f>
        <v>3</v>
      </c>
      <c r="KV11" s="131" t="str">
        <f t="shared" si="71"/>
        <v>B</v>
      </c>
      <c r="KW11" s="156" t="s">
        <v>27</v>
      </c>
      <c r="KX11" s="157"/>
      <c r="KY11" s="158"/>
      <c r="KZ11" s="108">
        <f>IFERROR((((COUNTIF('Elève (5ème6)'!KW11:KY11,"A"))*4)+((COUNTIF('Elève (5ème6)'!KW11:KY11,"B"))*3)+((COUNTIF('Elève (5ème6)'!KW11:KY11,"C"))*2)+((COUNTIF('Elève (5ème6)'!KW11:KY11,"D"))*1))/(COUNTA(KW11:KY11)),"")</f>
        <v>4</v>
      </c>
      <c r="LA11" s="109" t="str">
        <f t="shared" si="72"/>
        <v>A</v>
      </c>
      <c r="LB11" s="81"/>
      <c r="LC11" s="82"/>
      <c r="LD11" s="83"/>
      <c r="LE11" s="108" t="str">
        <f>IFERROR((((COUNTIF('Elève (5ème6)'!LB11:LD11,"A"))*4)+((COUNTIF('Elève (5ème6)'!LB11:LD11,"B"))*3)+((COUNTIF('Elève (5ème6)'!LB11:LD11,"C"))*2)+((COUNTIF('Elève (5ème6)'!LB11:LD11,"D"))*1))/(COUNTA(LB11:LD11)),"")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(5ème6)'!LG11:LI11,"A"))*4)+((COUNTIF('Elève (5ème6)'!LG11:LI11,"B"))*3)+((COUNTIF('Elève (5ème6)'!LG11:LI11,"C"))*2)+((COUNTIF('Elève (5ème6)'!LG11:LI11,"D"))*1))/(COUNTA(LG11:LI11)),"")</f>
        <v/>
      </c>
      <c r="LK11" s="109" t="str">
        <f t="shared" si="74"/>
        <v/>
      </c>
      <c r="LL11" s="178">
        <f>IF(COUNT(KZ11,LE11,LJ11)=0,"",SUM(KZ11,LE11,LJ11)/COUNT(KZ11,LE11,LJ11))</f>
        <v>4</v>
      </c>
      <c r="LM11" s="131" t="str">
        <f t="shared" si="75"/>
        <v>A</v>
      </c>
      <c r="LN11" s="156" t="s">
        <v>27</v>
      </c>
      <c r="LO11" s="157"/>
      <c r="LP11" s="158"/>
      <c r="LQ11" s="108">
        <f>IFERROR((((COUNTIF('Elève (5ème6)'!LN11:LP11,"A"))*4)+((COUNTIF('Elève (5ème6)'!LN11:LP11,"B"))*3)+((COUNTIF('Elève (5ème6)'!LN11:LP11,"C"))*2)+((COUNTIF('Elève (5ème6)'!LN11:LP11,"D"))*1))/(COUNTA(LN11:LP11)),"")</f>
        <v>4</v>
      </c>
      <c r="LR11" s="109" t="str">
        <f t="shared" si="76"/>
        <v>A</v>
      </c>
      <c r="LS11" s="81"/>
      <c r="LT11" s="82"/>
      <c r="LU11" s="83"/>
      <c r="LV11" s="108" t="str">
        <f>IFERROR((((COUNTIF('Elève (5ème6)'!LS11:LU11,"A"))*4)+((COUNTIF('Elève (5ème6)'!LS11:LU11,"B"))*3)+((COUNTIF('Elève (5ème6)'!LS11:LU11,"C"))*2)+((COUNTIF('Elève (5ème6)'!LS11:LU11,"D"))*1))/(COUNTA(LS11:LU11)),"")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(5ème6)'!LX11:LZ11,"A"))*4)+((COUNTIF('Elève (5ème6)'!LX11:LZ11,"B"))*3)+((COUNTIF('Elève (5ème6)'!LX11:LZ11,"C"))*2)+((COUNTIF('Elève (5ème6)'!LX11:LZ11,"D"))*1))/(COUNTA(LX11:LZ11)),"")</f>
        <v/>
      </c>
      <c r="MB11" s="109" t="str">
        <f t="shared" si="78"/>
        <v/>
      </c>
      <c r="MC11" s="178">
        <f>IF(COUNT(LQ11,LV11,MA11)=0,"",SUM(LQ11,LV11,MA11)/COUNT(LQ11,LV11,MA11))</f>
        <v>4</v>
      </c>
      <c r="MD11" s="131" t="str">
        <f t="shared" si="79"/>
        <v>A</v>
      </c>
      <c r="ME11" s="156" t="s">
        <v>28</v>
      </c>
      <c r="MF11" s="157"/>
      <c r="MG11" s="158"/>
      <c r="MH11" s="108">
        <f>IFERROR((((COUNTIF('Elève (5ème6)'!ME11:MG11,"A"))*4)+((COUNTIF('Elève (5ème6)'!ME11:MG11,"B"))*3)+((COUNTIF('Elève (5ème6)'!ME11:MG11,"C"))*2)+((COUNTIF('Elève (5ème6)'!ME11:MG11,"D"))*1))/(COUNTA(ME11:MG11)),"")</f>
        <v>3</v>
      </c>
      <c r="MI11" s="109" t="str">
        <f t="shared" si="80"/>
        <v>B</v>
      </c>
      <c r="MJ11" s="81"/>
      <c r="MK11" s="82"/>
      <c r="ML11" s="83"/>
      <c r="MM11" s="108" t="str">
        <f>IFERROR((((COUNTIF('Elève (5ème6)'!MJ11:ML11,"A"))*4)+((COUNTIF('Elève (5ème6)'!MJ11:ML11,"B"))*3)+((COUNTIF('Elève (5ème6)'!MJ11:ML11,"C"))*2)+((COUNTIF('Elève (5ème6)'!MJ11:ML11,"D"))*1))/(COUNTA(MJ11:ML11)),"")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(5ème6)'!MO11:MQ11,"A"))*4)+((COUNTIF('Elève (5ème6)'!MO11:MQ11,"B"))*3)+((COUNTIF('Elève (5ème6)'!MO11:MQ11,"C"))*2)+((COUNTIF('Elève (5ème6)'!MO11:MQ11,"D"))*1))/(COUNTA(MO11:MQ11)),"")</f>
        <v/>
      </c>
      <c r="MS11" s="109" t="str">
        <f t="shared" si="82"/>
        <v/>
      </c>
      <c r="MT11" s="178">
        <f>IF(COUNT(MH11,MM11,MR11)=0,"",SUM(MH11,MM11,MR11)/COUNT(MH11,MM11,MR11))</f>
        <v>3</v>
      </c>
      <c r="MU11" s="131" t="str">
        <f t="shared" si="83"/>
        <v>B</v>
      </c>
      <c r="MV11" s="156" t="s">
        <v>27</v>
      </c>
      <c r="MW11" s="157"/>
      <c r="MX11" s="158"/>
      <c r="MY11" s="108">
        <f>IFERROR((((COUNTIF('Elève (5ème6)'!MV11:MX11,"A"))*4)+((COUNTIF('Elève (5ème6)'!MV11:MX11,"B"))*3)+((COUNTIF('Elève (5ème6)'!MV11:MX11,"C"))*2)+((COUNTIF('Elève (5ème6)'!MV11:MX11,"D"))*1))/(COUNTA(MV11:MX11)),"")</f>
        <v>4</v>
      </c>
      <c r="MZ11" s="109" t="str">
        <f t="shared" si="84"/>
        <v>A</v>
      </c>
      <c r="NA11" s="81"/>
      <c r="NB11" s="82"/>
      <c r="NC11" s="83"/>
      <c r="ND11" s="108" t="str">
        <f>IFERROR((((COUNTIF('Elève (5ème6)'!NA11:NC11,"A"))*4)+((COUNTIF('Elève (5ème6)'!NA11:NC11,"B"))*3)+((COUNTIF('Elève (5ème6)'!NA11:NC11,"C"))*2)+((COUNTIF('Elève (5ème6)'!NA11:NC11,"D"))*1))/(COUNTA(NA11:NC11)),"")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(5ème6)'!NF11:NH11,"A"))*4)+((COUNTIF('Elève (5ème6)'!NF11:NH11,"B"))*3)+((COUNTIF('Elève (5ème6)'!NF11:NH11,"C"))*2)+((COUNTIF('Elève (5ème6)'!NF11:NH11,"D"))*1))/(COUNTA(NF11:NH11)),"")</f>
        <v/>
      </c>
      <c r="NJ11" s="109" t="str">
        <f t="shared" si="86"/>
        <v/>
      </c>
      <c r="NK11" s="178">
        <f>IF(COUNT(MY11,ND11,NI11)=0,"",SUM(MY11,ND11,NI11)/COUNT(MY11,ND11,NI11))</f>
        <v>4</v>
      </c>
      <c r="NL11" s="131" t="str">
        <f t="shared" si="87"/>
        <v>A</v>
      </c>
      <c r="NM11" s="156" t="s">
        <v>27</v>
      </c>
      <c r="NN11" s="157"/>
      <c r="NO11" s="158"/>
      <c r="NP11" s="108">
        <f>IFERROR((((COUNTIF('Elève (5ème6)'!NM11:NO11,"A"))*4)+((COUNTIF('Elève (5ème6)'!NM11:NO11,"B"))*3)+((COUNTIF('Elève (5ème6)'!NM11:NO11,"C"))*2)+((COUNTIF('Elève (5ème6)'!NM11:NO11,"D"))*1))/(COUNTA(NM11:NO11)),"")</f>
        <v>4</v>
      </c>
      <c r="NQ11" s="109" t="str">
        <f t="shared" si="88"/>
        <v>A</v>
      </c>
      <c r="NR11" s="81"/>
      <c r="NS11" s="82"/>
      <c r="NT11" s="83"/>
      <c r="NU11" s="108" t="str">
        <f>IFERROR((((COUNTIF('Elève (5ème6)'!NR11:NT11,"A"))*4)+((COUNTIF('Elève (5ème6)'!NR11:NT11,"B"))*3)+((COUNTIF('Elève (5ème6)'!NR11:NT11,"C"))*2)+((COUNTIF('Elève (5ème6)'!NR11:NT11,"D"))*1))/(COUNTA(NR11:NT11)),"")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(5ème6)'!NW11:NY11,"A"))*4)+((COUNTIF('Elève (5ème6)'!NW11:NY11,"B"))*3)+((COUNTIF('Elève (5ème6)'!NW11:NY11,"C"))*2)+((COUNTIF('Elève (5ème6)'!NW11:NY11,"D"))*1))/(COUNTA(NW11:NY11)),"")</f>
        <v/>
      </c>
      <c r="OA11" s="109" t="str">
        <f t="shared" si="90"/>
        <v/>
      </c>
      <c r="OB11" s="178">
        <f>IF(COUNT(NP11,NU11,NZ11)=0,"",SUM(NP11,NU11,NZ11)/COUNT(NP11,NU11,NZ11))</f>
        <v>4</v>
      </c>
      <c r="OC11" s="131" t="str">
        <f t="shared" si="91"/>
        <v>A</v>
      </c>
      <c r="OD11" s="156" t="s">
        <v>27</v>
      </c>
      <c r="OE11" s="157"/>
      <c r="OF11" s="158"/>
      <c r="OG11" s="108">
        <f>IFERROR((((COUNTIF('Elève (5ème6)'!OD11:OF11,"A"))*4)+((COUNTIF('Elève (5ème6)'!OD11:OF11,"B"))*3)+((COUNTIF('Elève (5ème6)'!OD11:OF11,"C"))*2)+((COUNTIF('Elève (5ème6)'!OD11:OF11,"D"))*1))/(COUNTA(OD11:OF11)),"")</f>
        <v>4</v>
      </c>
      <c r="OH11" s="109" t="str">
        <f t="shared" si="92"/>
        <v>A</v>
      </c>
      <c r="OI11" s="81"/>
      <c r="OJ11" s="82"/>
      <c r="OK11" s="83"/>
      <c r="OL11" s="108" t="str">
        <f>IFERROR((((COUNTIF('Elève (5ème6)'!OI11:OK11,"A"))*4)+((COUNTIF('Elève (5ème6)'!OI11:OK11,"B"))*3)+((COUNTIF('Elève (5ème6)'!OI11:OK11,"C"))*2)+((COUNTIF('Elève (5ème6)'!OI11:OK11,"D"))*1))/(COUNTA(OI11:OK11)),"")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(5ème6)'!ON11:OP11,"A"))*4)+((COUNTIF('Elève (5ème6)'!ON11:OP11,"B"))*3)+((COUNTIF('Elève (5ème6)'!ON11:OP11,"C"))*2)+((COUNTIF('Elève (5ème6)'!ON11:OP11,"D"))*1))/(COUNTA(ON11:OP11)),"")</f>
        <v/>
      </c>
      <c r="OR11" s="109" t="str">
        <f t="shared" si="94"/>
        <v/>
      </c>
      <c r="OS11" s="178">
        <f>IF(COUNT(OG11,OL11,OQ11)=0,"",SUM(OG11,OL11,OQ11)/COUNT(OG11,OL11,OQ11))</f>
        <v>4</v>
      </c>
      <c r="OT11" s="131" t="str">
        <f t="shared" si="95"/>
        <v>A</v>
      </c>
      <c r="OU11" s="156" t="s">
        <v>27</v>
      </c>
      <c r="OV11" s="157"/>
      <c r="OW11" s="158"/>
      <c r="OX11" s="108">
        <f>IFERROR((((COUNTIF('Elève (5ème6)'!OU11:OW11,"A"))*4)+((COUNTIF('Elève (5ème6)'!OU11:OW11,"B"))*3)+((COUNTIF('Elève (5ème6)'!OU11:OW11,"C"))*2)+((COUNTIF('Elève (5ème6)'!OU11:OW11,"D"))*1))/(COUNTA(OU11:OW11)),"")</f>
        <v>4</v>
      </c>
      <c r="OY11" s="109" t="str">
        <f t="shared" si="96"/>
        <v>A</v>
      </c>
      <c r="OZ11" s="81"/>
      <c r="PA11" s="82"/>
      <c r="PB11" s="83"/>
      <c r="PC11" s="108" t="str">
        <f>IFERROR((((COUNTIF('Elève (5ème6)'!OZ11:PB11,"A"))*4)+((COUNTIF('Elève (5ème6)'!OZ11:PB11,"B"))*3)+((COUNTIF('Elève (5ème6)'!OZ11:PB11,"C"))*2)+((COUNTIF('Elève (5ème6)'!OZ11:PB11,"D"))*1))/(COUNTA(OZ11:PB11)),"")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(5ème6)'!PE11:PG11,"A"))*4)+((COUNTIF('Elève (5ème6)'!PE11:PG11,"B"))*3)+((COUNTIF('Elève (5ème6)'!PE11:PG11,"C"))*2)+((COUNTIF('Elève (5ème6)'!PE11:PG11,"D"))*1))/(COUNTA(PE11:PG11)),"")</f>
        <v/>
      </c>
      <c r="PI11" s="109" t="str">
        <f t="shared" si="98"/>
        <v/>
      </c>
      <c r="PJ11" s="178">
        <f>IF(COUNT(OX11,PC11,PH11)=0,"",SUM(OX11,PC11,PH11)/COUNT(OX11,PC11,PH11))</f>
        <v>4</v>
      </c>
      <c r="PK11" s="131" t="str">
        <f t="shared" si="99"/>
        <v>A</v>
      </c>
      <c r="PL11" s="156" t="s">
        <v>27</v>
      </c>
      <c r="PM11" s="157"/>
      <c r="PN11" s="158"/>
      <c r="PO11" s="108">
        <f>IFERROR((((COUNTIF('Elève (5ème6)'!PL11:PN11,"A"))*4)+((COUNTIF('Elève (5ème6)'!PL11:PN11,"B"))*3)+((COUNTIF('Elève (5ème6)'!PL11:PN11,"C"))*2)+((COUNTIF('Elève (5ème6)'!PL11:PN11,"D"))*1))/(COUNTA(PL11:PN11)),"")</f>
        <v>4</v>
      </c>
      <c r="PP11" s="109" t="str">
        <f t="shared" si="100"/>
        <v>A</v>
      </c>
      <c r="PQ11" s="81"/>
      <c r="PR11" s="82"/>
      <c r="PS11" s="83"/>
      <c r="PT11" s="108" t="str">
        <f>IFERROR((((COUNTIF('Elève (5ème6)'!PQ11:PS11,"A"))*4)+((COUNTIF('Elève (5ème6)'!PQ11:PS11,"B"))*3)+((COUNTIF('Elève (5ème6)'!PQ11:PS11,"C"))*2)+((COUNTIF('Elève (5ème6)'!PQ11:PS11,"D"))*1))/(COUNTA(PQ11:PS11)),"")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(5ème6)'!PV11:PX11,"A"))*4)+((COUNTIF('Elève (5ème6)'!PV11:PX11,"B"))*3)+((COUNTIF('Elève (5ème6)'!PV11:PX11,"C"))*2)+((COUNTIF('Elève (5ème6)'!PV11:PX11,"D"))*1))/(COUNTA(PV11:PX11)),"")</f>
        <v/>
      </c>
      <c r="PZ11" s="109" t="str">
        <f t="shared" si="102"/>
        <v/>
      </c>
      <c r="QA11" s="178">
        <f>IF(COUNT(PO11,PT11,PY11)=0,"",SUM(PO11,PT11,PY11)/COUNT(PO11,PT11,PY11))</f>
        <v>4</v>
      </c>
      <c r="QB11" s="131" t="str">
        <f t="shared" si="103"/>
        <v>A</v>
      </c>
      <c r="QC11" s="156" t="s">
        <v>28</v>
      </c>
      <c r="QD11" s="157"/>
      <c r="QE11" s="158"/>
      <c r="QF11" s="108">
        <f>IFERROR((((COUNTIF('Elève (5ème6)'!QC11:QE11,"A"))*4)+((COUNTIF('Elève (5ème6)'!QC11:QE11,"B"))*3)+((COUNTIF('Elève (5ème6)'!QC11:QE11,"C"))*2)+((COUNTIF('Elève (5ème6)'!QC11:QE11,"D"))*1))/(COUNTA(QC11:QE11)),"")</f>
        <v>3</v>
      </c>
      <c r="QG11" s="109" t="str">
        <f t="shared" si="104"/>
        <v>B</v>
      </c>
      <c r="QH11" s="81"/>
      <c r="QI11" s="82"/>
      <c r="QJ11" s="83"/>
      <c r="QK11" s="108" t="str">
        <f>IFERROR((((COUNTIF('Elève (5ème6)'!QH11:QJ11,"A"))*4)+((COUNTIF('Elève (5ème6)'!QH11:QJ11,"B"))*3)+((COUNTIF('Elève (5ème6)'!QH11:QJ11,"C"))*2)+((COUNTIF('Elève (5ème6)'!QH11:QJ11,"D"))*1))/(COUNTA(QH11:QJ11)),"")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(5ème6)'!QM11:QO11,"A"))*4)+((COUNTIF('Elève (5ème6)'!QM11:QO11,"B"))*3)+((COUNTIF('Elève (5ème6)'!QM11:QO11,"C"))*2)+((COUNTIF('Elève (5ème6)'!QM11:QO11,"D"))*1))/(COUNTA(QM11:QO11)),"")</f>
        <v/>
      </c>
      <c r="QQ11" s="109" t="str">
        <f t="shared" si="106"/>
        <v/>
      </c>
      <c r="QR11" s="178">
        <f>IF(COUNT(QF11,QK11,QP11)=0,"",SUM(QF11,QK11,QP11)/COUNT(QF11,QK11,QP11))</f>
        <v>3</v>
      </c>
      <c r="QS11" s="131" t="str">
        <f t="shared" si="107"/>
        <v>B</v>
      </c>
      <c r="QT11" s="156" t="s">
        <v>27</v>
      </c>
      <c r="QU11" s="157"/>
      <c r="QV11" s="158"/>
      <c r="QW11" s="108">
        <f>IFERROR((((COUNTIF('Elève (5ème6)'!QT11:QV11,"A"))*4)+((COUNTIF('Elève (5ème6)'!QT11:QV11,"B"))*3)+((COUNTIF('Elève (5ème6)'!QT11:QV11,"C"))*2)+((COUNTIF('Elève (5ème6)'!QT11:QV11,"D"))*1))/(COUNTA(QT11:QV11)),"")</f>
        <v>4</v>
      </c>
      <c r="QX11" s="109" t="str">
        <f t="shared" si="108"/>
        <v>A</v>
      </c>
      <c r="QY11" s="81"/>
      <c r="QZ11" s="82"/>
      <c r="RA11" s="83"/>
      <c r="RB11" s="108" t="str">
        <f>IFERROR((((COUNTIF('Elève (5ème6)'!QY11:RA11,"A"))*4)+((COUNTIF('Elève (5ème6)'!QY11:RA11,"B"))*3)+((COUNTIF('Elève (5ème6)'!QY11:RA11,"C"))*2)+((COUNTIF('Elève (5ème6)'!QY11:RA11,"D"))*1))/(COUNTA(QY11:RA11)),"")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(5ème6)'!RD11:RF11,"A"))*4)+((COUNTIF('Elève (5ème6)'!RD11:RF11,"B"))*3)+((COUNTIF('Elève (5ème6)'!RD11:RF11,"C"))*2)+((COUNTIF('Elève (5ème6)'!RD11:RF11,"D"))*1))/(COUNTA(RD11:RF11)),"")</f>
        <v/>
      </c>
      <c r="RH11" s="109" t="str">
        <f t="shared" si="110"/>
        <v/>
      </c>
      <c r="RI11" s="178">
        <f>IF(COUNT(QW11,RB11,RG11)=0,"",SUM(QW11,RB11,RG11)/COUNT(QW11,RB11,RG11))</f>
        <v>4</v>
      </c>
      <c r="RJ11" s="131" t="str">
        <f t="shared" si="111"/>
        <v>A</v>
      </c>
      <c r="RK11" s="156" t="s">
        <v>27</v>
      </c>
      <c r="RL11" s="157"/>
      <c r="RM11" s="158"/>
      <c r="RN11" s="108">
        <f>IFERROR((((COUNTIF('Elève (5ème6)'!RK11:RM11,"A"))*4)+((COUNTIF('Elève (5ème6)'!RK11:RM11,"B"))*3)+((COUNTIF('Elève (5ème6)'!RK11:RM11,"C"))*2)+((COUNTIF('Elève (5ème6)'!RK11:RM11,"D"))*1))/(COUNTA(RK11:RM11)),"")</f>
        <v>4</v>
      </c>
      <c r="RO11" s="109" t="str">
        <f t="shared" si="112"/>
        <v>A</v>
      </c>
      <c r="RP11" s="81"/>
      <c r="RQ11" s="82"/>
      <c r="RR11" s="83"/>
      <c r="RS11" s="108" t="str">
        <f>IFERROR((((COUNTIF('Elève (5ème6)'!RP11:RR11,"A"))*4)+((COUNTIF('Elève (5ème6)'!RP11:RR11,"B"))*3)+((COUNTIF('Elève (5ème6)'!RP11:RR11,"C"))*2)+((COUNTIF('Elève (5ème6)'!RP11:RR11,"D"))*1))/(COUNTA(RP11:RR11)),"")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(5ème6)'!RU11:RW11,"A"))*4)+((COUNTIF('Elève (5ème6)'!RU11:RW11,"B"))*3)+((COUNTIF('Elève (5ème6)'!RU11:RW11,"C"))*2)+((COUNTIF('Elève (5ème6)'!RU11:RW11,"D"))*1))/(COUNTA(RU11:RW11)),"")</f>
        <v/>
      </c>
      <c r="RY11" s="109" t="str">
        <f t="shared" si="114"/>
        <v/>
      </c>
      <c r="RZ11" s="178">
        <f>IF(COUNT(RN11,RS11,RX11)=0,"",SUM(RN11,RS11,RX11)/COUNT(RN11,RS11,RX11))</f>
        <v>4</v>
      </c>
      <c r="SA11" s="131" t="str">
        <f t="shared" si="115"/>
        <v>A</v>
      </c>
      <c r="SB11" s="156"/>
      <c r="SC11" s="157"/>
      <c r="SD11" s="158"/>
      <c r="SE11" s="108" t="str">
        <f>IFERROR((((COUNTIF('Elève (5ème6)'!SB11:SD11,"A"))*4)+((COUNTIF('Elève (5ème6)'!SB11:SD11,"B"))*3)+((COUNTIF('Elève (5ème6)'!SB11:SD11,"C"))*2)+((COUNTIF('Elève (5ème6)'!SB11:SD11,"D"))*1))/(COUNTA(SB11:SD11)),"")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(5ème6)'!SG11:SI11,"A"))*4)+((COUNTIF('Elève (5ème6)'!SG11:SI11,"B"))*3)+((COUNTIF('Elève (5ème6)'!SG11:SI11,"C"))*2)+((COUNTIF('Elève (5ème6)'!SG11:SI11,"D"))*1))/(COUNTA(SG11:SI11)),"")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(5ème6)'!SL11:SN11,"A"))*4)+((COUNTIF('Elève (5ème6)'!SL11:SN11,"B"))*3)+((COUNTIF('Elève (5ème6)'!SL11:SN11,"C"))*2)+((COUNTIF('Elève (5ème6)'!SL11:SN11,"D"))*1))/(COUNTA(SL11:SN11)),"")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25" t="s">
        <v>45</v>
      </c>
      <c r="B12" s="226"/>
      <c r="C12" s="159" t="s">
        <v>28</v>
      </c>
      <c r="D12" s="160"/>
      <c r="E12" s="161"/>
      <c r="F12" s="112">
        <f>IFERROR((((COUNTIF('Elève (5ème6)'!C12:E12,"A"))*4)+((COUNTIF('Elève (5ème6)'!C12:E12,"B"))*3)+((COUNTIF('Elève (5ème6)'!C12:E12,"C"))*2)+((COUNTIF('Elève (5ème6)'!C12:E12,"D"))*1))/(COUNTA(C12:E12)),"")</f>
        <v>3</v>
      </c>
      <c r="G12" s="113" t="str">
        <f t="shared" si="0"/>
        <v>B</v>
      </c>
      <c r="H12" s="84"/>
      <c r="I12" s="85"/>
      <c r="J12" s="86"/>
      <c r="K12" s="112" t="str">
        <f>IFERROR((((COUNTIF('Elève (5ème6)'!H12:J12,"A"))*4)+((COUNTIF('Elève (5ème6)'!H12:J12,"B"))*3)+((COUNTIF('Elève (5ème6)'!H12:J12,"C"))*2)+((COUNTIF('Elève (5ème6)'!H12:J12,"D"))*1))/(COUNTA(H12:J12)),"")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(5ème6)'!M12:O12,"A"))*4)+((COUNTIF('Elève (5ème6)'!M12:O12,"B"))*3)+((COUNTIF('Elève (5ème6)'!M12:O12,"C"))*2)+((COUNTIF('Elève (5ème6)'!M12:O12,"D"))*1))/(COUNTA(M12:O12)),"")</f>
        <v/>
      </c>
      <c r="Q12" s="113" t="str">
        <f t="shared" si="2"/>
        <v/>
      </c>
      <c r="R12" s="180">
        <f>IF(COUNT(F12,K12,P12)=0,"",SUM(F12,K12,P12)/COUNT(F12,K12,P12))</f>
        <v>3</v>
      </c>
      <c r="S12" s="133" t="str">
        <f t="shared" si="3"/>
        <v>B</v>
      </c>
      <c r="T12" s="159" t="s">
        <v>27</v>
      </c>
      <c r="U12" s="160"/>
      <c r="V12" s="161"/>
      <c r="W12" s="112">
        <f>IFERROR((((COUNTIF('Elève (5ème6)'!T12:V12,"A"))*4)+((COUNTIF('Elève (5ème6)'!T12:V12,"B"))*3)+((COUNTIF('Elève (5ème6)'!T12:V12,"C"))*2)+((COUNTIF('Elève (5ème6)'!T12:V12,"D"))*1))/(COUNTA(T12:V12)),"")</f>
        <v>4</v>
      </c>
      <c r="X12" s="113" t="str">
        <f t="shared" si="4"/>
        <v>A</v>
      </c>
      <c r="Y12" s="84"/>
      <c r="Z12" s="85"/>
      <c r="AA12" s="86"/>
      <c r="AB12" s="112" t="str">
        <f>IFERROR((((COUNTIF('Elève (5ème6)'!Y12:AA12,"A"))*4)+((COUNTIF('Elève (5ème6)'!Y12:AA12,"B"))*3)+((COUNTIF('Elève (5ème6)'!Y12:AA12,"C"))*2)+((COUNTIF('Elève (5ème6)'!Y12:AA12,"D"))*1))/(COUNTA(Y12:AA12)),"")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(5ème6)'!AD12:AF12,"A"))*4)+((COUNTIF('Elève (5ème6)'!AD12:AF12,"B"))*3)+((COUNTIF('Elève (5ème6)'!AD12:AF12,"C"))*2)+((COUNTIF('Elève (5ème6)'!AD12:AF12,"D"))*1))/(COUNTA(AD12:AF12)),"")</f>
        <v/>
      </c>
      <c r="AH12" s="113" t="str">
        <f t="shared" si="6"/>
        <v/>
      </c>
      <c r="AI12" s="180">
        <f>IF(COUNT(W12,AB12,AG12)=0,"",SUM(W12,AB12,AG12)/COUNT(W12,AB12,AG12))</f>
        <v>4</v>
      </c>
      <c r="AJ12" s="133" t="str">
        <f t="shared" si="7"/>
        <v>A</v>
      </c>
      <c r="AK12" s="159" t="s">
        <v>29</v>
      </c>
      <c r="AL12" s="160"/>
      <c r="AM12" s="161"/>
      <c r="AN12" s="112">
        <f>IFERROR((((COUNTIF('Elève (5ème6)'!AK12:AM12,"A"))*4)+((COUNTIF('Elève (5ème6)'!AK12:AM12,"B"))*3)+((COUNTIF('Elève (5ème6)'!AK12:AM12,"C"))*2)+((COUNTIF('Elève (5ème6)'!AK12:AM12,"D"))*1))/(COUNTA(AK12:AM12)),"")</f>
        <v>2</v>
      </c>
      <c r="AO12" s="113" t="str">
        <f t="shared" si="8"/>
        <v>C</v>
      </c>
      <c r="AP12" s="84"/>
      <c r="AQ12" s="85"/>
      <c r="AR12" s="86"/>
      <c r="AS12" s="112" t="str">
        <f>IFERROR((((COUNTIF('Elève (5ème6)'!AP12:AR12,"A"))*4)+((COUNTIF('Elève (5ème6)'!AP12:AR12,"B"))*3)+((COUNTIF('Elève (5ème6)'!AP12:AR12,"C"))*2)+((COUNTIF('Elève (5ème6)'!AP12:AR12,"D"))*1))/(COUNTA(AP12:AR12)),"")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(5ème6)'!AU12:AW12,"A"))*4)+((COUNTIF('Elève (5ème6)'!AU12:AW12,"B"))*3)+((COUNTIF('Elève (5ème6)'!AU12:AW12,"C"))*2)+((COUNTIF('Elève (5ème6)'!AU12:AW12,"D"))*1))/(COUNTA(AU12:AW12)),"")</f>
        <v/>
      </c>
      <c r="AY12" s="113" t="str">
        <f t="shared" si="10"/>
        <v/>
      </c>
      <c r="AZ12" s="180">
        <f>IF(COUNT(AN12,AS12,AX12)=0,"",SUM(AN12,AS12,AX12)/COUNT(AN12,AS12,AX12))</f>
        <v>2</v>
      </c>
      <c r="BA12" s="133" t="str">
        <f t="shared" si="11"/>
        <v>C</v>
      </c>
      <c r="BB12" s="159" t="s">
        <v>27</v>
      </c>
      <c r="BC12" s="160"/>
      <c r="BD12" s="161"/>
      <c r="BE12" s="112">
        <f>IFERROR((((COUNTIF('Elève (5ème6)'!BB12:BD12,"A"))*4)+((COUNTIF('Elève (5ème6)'!BB12:BD12,"B"))*3)+((COUNTIF('Elève (5ème6)'!BB12:BD12,"C"))*2)+((COUNTIF('Elève (5ème6)'!BB12:BD12,"D"))*1))/(COUNTA(BB12:BD12)),"")</f>
        <v>4</v>
      </c>
      <c r="BF12" s="113" t="str">
        <f t="shared" si="12"/>
        <v>A</v>
      </c>
      <c r="BG12" s="84"/>
      <c r="BH12" s="85"/>
      <c r="BI12" s="86"/>
      <c r="BJ12" s="112" t="str">
        <f>IFERROR((((COUNTIF('Elève (5ème6)'!BG12:BI12,"A"))*4)+((COUNTIF('Elève (5ème6)'!BG12:BI12,"B"))*3)+((COUNTIF('Elève (5ème6)'!BG12:BI12,"C"))*2)+((COUNTIF('Elève (5ème6)'!BG12:BI12,"D"))*1))/(COUNTA(BG12:BI12)),"")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(5ème6)'!BL12:BN12,"A"))*4)+((COUNTIF('Elève (5ème6)'!BL12:BN12,"B"))*3)+((COUNTIF('Elève (5ème6)'!BL12:BN12,"C"))*2)+((COUNTIF('Elève (5ème6)'!BL12:BN12,"D"))*1))/(COUNTA(BL12:BN12)),"")</f>
        <v/>
      </c>
      <c r="BP12" s="113" t="str">
        <f t="shared" si="14"/>
        <v/>
      </c>
      <c r="BQ12" s="180">
        <f>IF(COUNT(BE12,BJ12,BO12)=0,"",SUM(BE12,BJ12,BO12)/COUNT(BE12,BJ12,BO12))</f>
        <v>4</v>
      </c>
      <c r="BR12" s="133" t="str">
        <f t="shared" si="15"/>
        <v>A</v>
      </c>
      <c r="BS12" s="159" t="s">
        <v>27</v>
      </c>
      <c r="BT12" s="160"/>
      <c r="BU12" s="161"/>
      <c r="BV12" s="112">
        <f>IFERROR((((COUNTIF('Elève (5ème6)'!BS12:BU12,"A"))*4)+((COUNTIF('Elève (5ème6)'!BS12:BU12,"B"))*3)+((COUNTIF('Elève (5ème6)'!BS12:BU12,"C"))*2)+((COUNTIF('Elève (5ème6)'!BS12:BU12,"D"))*1))/(COUNTA(BS12:BU12)),"")</f>
        <v>4</v>
      </c>
      <c r="BW12" s="113" t="str">
        <f t="shared" si="16"/>
        <v>A</v>
      </c>
      <c r="BX12" s="84"/>
      <c r="BY12" s="85"/>
      <c r="BZ12" s="86"/>
      <c r="CA12" s="112" t="str">
        <f>IFERROR((((COUNTIF('Elève (5ème6)'!BX12:BZ12,"A"))*4)+((COUNTIF('Elève (5ème6)'!BX12:BZ12,"B"))*3)+((COUNTIF('Elève (5ème6)'!BX12:BZ12,"C"))*2)+((COUNTIF('Elève (5ème6)'!BX12:BZ12,"D"))*1))/(COUNTA(BX12:BZ12)),"")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(5ème6)'!CC12:CE12,"A"))*4)+((COUNTIF('Elève (5ème6)'!CC12:CE12,"B"))*3)+((COUNTIF('Elève (5ème6)'!CC12:CE12,"C"))*2)+((COUNTIF('Elève (5ème6)'!CC12:CE12,"D"))*1))/(COUNTA(CC12:CE12)),"")</f>
        <v/>
      </c>
      <c r="CG12" s="113" t="str">
        <f t="shared" si="18"/>
        <v/>
      </c>
      <c r="CH12" s="180">
        <f>IF(COUNT(BV12,CA12,CF12)=0,"",SUM(BV12,CA12,CF12)/COUNT(BV12,CA12,CF12))</f>
        <v>4</v>
      </c>
      <c r="CI12" s="133" t="str">
        <f t="shared" si="19"/>
        <v>A</v>
      </c>
      <c r="CJ12" s="159" t="s">
        <v>28</v>
      </c>
      <c r="CK12" s="160"/>
      <c r="CL12" s="161"/>
      <c r="CM12" s="112">
        <f>IFERROR((((COUNTIF('Elève (5ème6)'!CJ12:CL12,"A"))*4)+((COUNTIF('Elève (5ème6)'!CJ12:CL12,"B"))*3)+((COUNTIF('Elève (5ème6)'!CJ12:CL12,"C"))*2)+((COUNTIF('Elève (5ème6)'!CJ12:CL12,"D"))*1))/(COUNTA(CJ12:CL12)),"")</f>
        <v>3</v>
      </c>
      <c r="CN12" s="113" t="str">
        <f t="shared" si="20"/>
        <v>B</v>
      </c>
      <c r="CO12" s="84"/>
      <c r="CP12" s="85"/>
      <c r="CQ12" s="86"/>
      <c r="CR12" s="112" t="str">
        <f>IFERROR((((COUNTIF('Elève (5ème6)'!CO12:CQ12,"A"))*4)+((COUNTIF('Elève (5ème6)'!CO12:CQ12,"B"))*3)+((COUNTIF('Elève (5ème6)'!CO12:CQ12,"C"))*2)+((COUNTIF('Elève (5ème6)'!CO12:CQ12,"D"))*1))/(COUNTA(CO12:CQ12)),"")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(5ème6)'!CT12:CV12,"A"))*4)+((COUNTIF('Elève (5ème6)'!CT12:CV12,"B"))*3)+((COUNTIF('Elève (5ème6)'!CT12:CV12,"C"))*2)+((COUNTIF('Elève (5ème6)'!CT12:CV12,"D"))*1))/(COUNTA(CT12:CV12)),"")</f>
        <v/>
      </c>
      <c r="CX12" s="113" t="str">
        <f t="shared" si="22"/>
        <v/>
      </c>
      <c r="CY12" s="180">
        <f>IF(COUNT(CM12,CR12,CW12)=0,"",SUM(CM12,CR12,CW12)/COUNT(CM12,CR12,CW12))</f>
        <v>3</v>
      </c>
      <c r="CZ12" s="133" t="str">
        <f t="shared" si="23"/>
        <v>B</v>
      </c>
      <c r="DA12" s="159" t="s">
        <v>27</v>
      </c>
      <c r="DB12" s="160"/>
      <c r="DC12" s="161"/>
      <c r="DD12" s="112">
        <f>IFERROR((((COUNTIF('Elève (5ème6)'!DA12:DC12,"A"))*4)+((COUNTIF('Elève (5ème6)'!DA12:DC12,"B"))*3)+((COUNTIF('Elève (5ème6)'!DA12:DC12,"C"))*2)+((COUNTIF('Elève (5ème6)'!DA12:DC12,"D"))*1))/(COUNTA(DA12:DC12)),"")</f>
        <v>4</v>
      </c>
      <c r="DE12" s="113" t="str">
        <f t="shared" si="24"/>
        <v>A</v>
      </c>
      <c r="DF12" s="84"/>
      <c r="DG12" s="85"/>
      <c r="DH12" s="86"/>
      <c r="DI12" s="112" t="str">
        <f>IFERROR((((COUNTIF('Elève (5ème6)'!DF12:DH12,"A"))*4)+((COUNTIF('Elève (5ème6)'!DF12:DH12,"B"))*3)+((COUNTIF('Elève (5ème6)'!DF12:DH12,"C"))*2)+((COUNTIF('Elève (5ème6)'!DF12:DH12,"D"))*1))/(COUNTA(DF12:DH12)),"")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(5ème6)'!DK12:DM12,"A"))*4)+((COUNTIF('Elève (5ème6)'!DK12:DM12,"B"))*3)+((COUNTIF('Elève (5ème6)'!DK12:DM12,"C"))*2)+((COUNTIF('Elève (5ème6)'!DK12:DM12,"D"))*1))/(COUNTA(DK12:DM12)),"")</f>
        <v/>
      </c>
      <c r="DO12" s="113" t="str">
        <f t="shared" si="26"/>
        <v/>
      </c>
      <c r="DP12" s="180">
        <f>IF(COUNT(DD12,DI12,DN12)=0,"",SUM(DD12,DI12,DN12)/COUNT(DD12,DI12,DN12))</f>
        <v>4</v>
      </c>
      <c r="DQ12" s="133" t="str">
        <f t="shared" si="27"/>
        <v>A</v>
      </c>
      <c r="DR12" s="159" t="s">
        <v>27</v>
      </c>
      <c r="DS12" s="160"/>
      <c r="DT12" s="161"/>
      <c r="DU12" s="112">
        <f>IFERROR((((COUNTIF('Elève (5ème6)'!DR12:DT12,"A"))*4)+((COUNTIF('Elève (5ème6)'!DR12:DT12,"B"))*3)+((COUNTIF('Elève (5ème6)'!DR12:DT12,"C"))*2)+((COUNTIF('Elève (5ème6)'!DR12:DT12,"D"))*1))/(COUNTA(DR12:DT12)),"")</f>
        <v>4</v>
      </c>
      <c r="DV12" s="113" t="str">
        <f t="shared" si="28"/>
        <v>A</v>
      </c>
      <c r="DW12" s="84"/>
      <c r="DX12" s="85"/>
      <c r="DY12" s="86"/>
      <c r="DZ12" s="112" t="str">
        <f>IFERROR((((COUNTIF('Elève (5ème6)'!DW12:DY12,"A"))*4)+((COUNTIF('Elève (5ème6)'!DW12:DY12,"B"))*3)+((COUNTIF('Elève (5ème6)'!DW12:DY12,"C"))*2)+((COUNTIF('Elève (5ème6)'!DW12:DY12,"D"))*1))/(COUNTA(DW12:DY12)),"")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(5ème6)'!EB12:ED12,"A"))*4)+((COUNTIF('Elève (5ème6)'!EB12:ED12,"B"))*3)+((COUNTIF('Elève (5ème6)'!EB12:ED12,"C"))*2)+((COUNTIF('Elève (5ème6)'!EB12:ED12,"D"))*1))/(COUNTA(EB12:ED12)),"")</f>
        <v/>
      </c>
      <c r="EF12" s="113" t="str">
        <f t="shared" si="30"/>
        <v/>
      </c>
      <c r="EG12" s="180">
        <f>IF(COUNT(DU12,DZ12,EE12)=0,"",SUM(DU12,DZ12,EE12)/COUNT(DU12,DZ12,EE12))</f>
        <v>4</v>
      </c>
      <c r="EH12" s="133" t="str">
        <f t="shared" si="31"/>
        <v>A</v>
      </c>
      <c r="EI12" s="159" t="s">
        <v>27</v>
      </c>
      <c r="EJ12" s="160"/>
      <c r="EK12" s="161"/>
      <c r="EL12" s="112">
        <f>IFERROR((((COUNTIF('Elève (5ème6)'!EI12:EK12,"A"))*4)+((COUNTIF('Elève (5ème6)'!EI12:EK12,"B"))*3)+((COUNTIF('Elève (5ème6)'!EI12:EK12,"C"))*2)+((COUNTIF('Elève (5ème6)'!EI12:EK12,"D"))*1))/(COUNTA(EI12:EK12)),"")</f>
        <v>4</v>
      </c>
      <c r="EM12" s="113" t="str">
        <f t="shared" si="32"/>
        <v>A</v>
      </c>
      <c r="EN12" s="84"/>
      <c r="EO12" s="85"/>
      <c r="EP12" s="86"/>
      <c r="EQ12" s="112" t="str">
        <f>IFERROR((((COUNTIF('Elève (5ème6)'!EN12:EP12,"A"))*4)+((COUNTIF('Elève (5ème6)'!EN12:EP12,"B"))*3)+((COUNTIF('Elève (5ème6)'!EN12:EP12,"C"))*2)+((COUNTIF('Elève (5ème6)'!EN12:EP12,"D"))*1))/(COUNTA(EN12:EP12)),"")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(5ème6)'!ES12:EU12,"A"))*4)+((COUNTIF('Elève (5ème6)'!ES12:EU12,"B"))*3)+((COUNTIF('Elève (5ème6)'!ES12:EU12,"C"))*2)+((COUNTIF('Elève (5ème6)'!ES12:EU12,"D"))*1))/(COUNTA(ES12:EU12)),"")</f>
        <v/>
      </c>
      <c r="EW12" s="113" t="str">
        <f t="shared" si="34"/>
        <v/>
      </c>
      <c r="EX12" s="180">
        <f>IF(COUNT(EL12,EQ12,EV12)=0,"",SUM(EL12,EQ12,EV12)/COUNT(EL12,EQ12,EV12))</f>
        <v>4</v>
      </c>
      <c r="EY12" s="133" t="str">
        <f t="shared" si="35"/>
        <v>A</v>
      </c>
      <c r="EZ12" s="159" t="s">
        <v>27</v>
      </c>
      <c r="FA12" s="160"/>
      <c r="FB12" s="161"/>
      <c r="FC12" s="112">
        <f>IFERROR((((COUNTIF('Elève (5ème6)'!EZ12:FB12,"A"))*4)+((COUNTIF('Elève (5ème6)'!EZ12:FB12,"B"))*3)+((COUNTIF('Elève (5ème6)'!EZ12:FB12,"C"))*2)+((COUNTIF('Elève (5ème6)'!EZ12:FB12,"D"))*1))/(COUNTA(EZ12:FB12)),"")</f>
        <v>4</v>
      </c>
      <c r="FD12" s="113" t="str">
        <f t="shared" si="36"/>
        <v>A</v>
      </c>
      <c r="FE12" s="84"/>
      <c r="FF12" s="85"/>
      <c r="FG12" s="86"/>
      <c r="FH12" s="112" t="str">
        <f>IFERROR((((COUNTIF('Elève (5ème6)'!FE12:FG12,"A"))*4)+((COUNTIF('Elève (5ème6)'!FE12:FG12,"B"))*3)+((COUNTIF('Elève (5ème6)'!FE12:FG12,"C"))*2)+((COUNTIF('Elève (5ème6)'!FE12:FG12,"D"))*1))/(COUNTA(FE12:FG12)),"")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(5ème6)'!FJ12:FL12,"A"))*4)+((COUNTIF('Elève (5ème6)'!FJ12:FL12,"B"))*3)+((COUNTIF('Elève (5ème6)'!FJ12:FL12,"C"))*2)+((COUNTIF('Elève (5ème6)'!FJ12:FL12,"D"))*1))/(COUNTA(FJ12:FL12)),"")</f>
        <v/>
      </c>
      <c r="FN12" s="113" t="str">
        <f t="shared" si="38"/>
        <v/>
      </c>
      <c r="FO12" s="180">
        <f>IF(COUNT(FC12,FH12,FM12)=0,"",SUM(FC12,FH12,FM12)/COUNT(FC12,FH12,FM12))</f>
        <v>4</v>
      </c>
      <c r="FP12" s="133" t="str">
        <f t="shared" si="39"/>
        <v>A</v>
      </c>
      <c r="FQ12" s="159" t="s">
        <v>27</v>
      </c>
      <c r="FR12" s="160"/>
      <c r="FS12" s="161"/>
      <c r="FT12" s="112">
        <f>IFERROR((((COUNTIF('Elève (5ème6)'!FQ12:FS12,"A"))*4)+((COUNTIF('Elève (5ème6)'!FQ12:FS12,"B"))*3)+((COUNTIF('Elève (5ème6)'!FQ12:FS12,"C"))*2)+((COUNTIF('Elève (5ème6)'!FQ12:FS12,"D"))*1))/(COUNTA(FQ12:FS12)),"")</f>
        <v>4</v>
      </c>
      <c r="FU12" s="113" t="str">
        <f t="shared" si="40"/>
        <v>A</v>
      </c>
      <c r="FV12" s="84"/>
      <c r="FW12" s="85"/>
      <c r="FX12" s="86"/>
      <c r="FY12" s="112" t="str">
        <f>IFERROR((((COUNTIF('Elève (5ème6)'!FV12:FX12,"A"))*4)+((COUNTIF('Elève (5ème6)'!FV12:FX12,"B"))*3)+((COUNTIF('Elève (5ème6)'!FV12:FX12,"C"))*2)+((COUNTIF('Elève (5ème6)'!FV12:FX12,"D"))*1))/(COUNTA(FV12:FX12)),"")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(5ème6)'!GA12:GC12,"A"))*4)+((COUNTIF('Elève (5ème6)'!GA12:GC12,"B"))*3)+((COUNTIF('Elève (5ème6)'!GA12:GC12,"C"))*2)+((COUNTIF('Elève (5ème6)'!GA12:GC12,"D"))*1))/(COUNTA(GA12:GC12)),"")</f>
        <v/>
      </c>
      <c r="GE12" s="113" t="str">
        <f t="shared" si="42"/>
        <v/>
      </c>
      <c r="GF12" s="180">
        <f>IF(COUNT(FT12,FY12,GD12)=0,"",SUM(FT12,FY12,GD12)/COUNT(FT12,FY12,GD12))</f>
        <v>4</v>
      </c>
      <c r="GG12" s="133" t="str">
        <f t="shared" si="43"/>
        <v>A</v>
      </c>
      <c r="GH12" s="159" t="s">
        <v>27</v>
      </c>
      <c r="GI12" s="160"/>
      <c r="GJ12" s="161"/>
      <c r="GK12" s="112">
        <f>IFERROR((((COUNTIF('Elève (5ème6)'!GH12:GJ12,"A"))*4)+((COUNTIF('Elève (5ème6)'!GH12:GJ12,"B"))*3)+((COUNTIF('Elève (5ème6)'!GH12:GJ12,"C"))*2)+((COUNTIF('Elève (5ème6)'!GH12:GJ12,"D"))*1))/(COUNTA(GH12:GJ12)),"")</f>
        <v>4</v>
      </c>
      <c r="GL12" s="113" t="str">
        <f t="shared" si="44"/>
        <v>A</v>
      </c>
      <c r="GM12" s="84"/>
      <c r="GN12" s="85"/>
      <c r="GO12" s="86"/>
      <c r="GP12" s="112" t="str">
        <f>IFERROR((((COUNTIF('Elève (5ème6)'!GM12:GO12,"A"))*4)+((COUNTIF('Elève (5ème6)'!GM12:GO12,"B"))*3)+((COUNTIF('Elève (5ème6)'!GM12:GO12,"C"))*2)+((COUNTIF('Elève (5ème6)'!GM12:GO12,"D"))*1))/(COUNTA(GM12:GO12)),"")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(5ème6)'!GR12:GT12,"A"))*4)+((COUNTIF('Elève (5ème6)'!GR12:GT12,"B"))*3)+((COUNTIF('Elève (5ème6)'!GR12:GT12,"C"))*2)+((COUNTIF('Elève (5ème6)'!GR12:GT12,"D"))*1))/(COUNTA(GR12:GT12)),"")</f>
        <v/>
      </c>
      <c r="GV12" s="113" t="str">
        <f t="shared" si="46"/>
        <v/>
      </c>
      <c r="GW12" s="180">
        <f>IF(COUNT(GK12,GP12,GU12)=0,"",SUM(GK12,GP12,GU12)/COUNT(GK12,GP12,GU12))</f>
        <v>4</v>
      </c>
      <c r="GX12" s="133" t="str">
        <f t="shared" si="47"/>
        <v>A</v>
      </c>
      <c r="GY12" s="159" t="s">
        <v>27</v>
      </c>
      <c r="GZ12" s="160"/>
      <c r="HA12" s="161"/>
      <c r="HB12" s="112">
        <f>IFERROR((((COUNTIF('Elève (5ème6)'!GY12:HA12,"A"))*4)+((COUNTIF('Elève (5ème6)'!GY12:HA12,"B"))*3)+((COUNTIF('Elève (5ème6)'!GY12:HA12,"C"))*2)+((COUNTIF('Elève (5ème6)'!GY12:HA12,"D"))*1))/(COUNTA(GY12:HA12)),"")</f>
        <v>4</v>
      </c>
      <c r="HC12" s="113" t="str">
        <f t="shared" si="48"/>
        <v>A</v>
      </c>
      <c r="HD12" s="84"/>
      <c r="HE12" s="85"/>
      <c r="HF12" s="86"/>
      <c r="HG12" s="112" t="str">
        <f>IFERROR((((COUNTIF('Elève (5ème6)'!HD12:HF12,"A"))*4)+((COUNTIF('Elève (5ème6)'!HD12:HF12,"B"))*3)+((COUNTIF('Elève (5ème6)'!HD12:HF12,"C"))*2)+((COUNTIF('Elève (5ème6)'!HD12:HF12,"D"))*1))/(COUNTA(HD12:HF12)),"")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(5ème6)'!HI12:HK12,"A"))*4)+((COUNTIF('Elève (5ème6)'!HI12:HK12,"B"))*3)+((COUNTIF('Elève (5ème6)'!HI12:HK12,"C"))*2)+((COUNTIF('Elève (5ème6)'!HI12:HK12,"D"))*1))/(COUNTA(HI12:HK12)),"")</f>
        <v/>
      </c>
      <c r="HM12" s="113" t="str">
        <f t="shared" si="50"/>
        <v/>
      </c>
      <c r="HN12" s="180">
        <f>IF(COUNT(HB12,HG12,HL12)=0,"",SUM(HB12,HG12,HL12)/COUNT(HB12,HG12,HL12))</f>
        <v>4</v>
      </c>
      <c r="HO12" s="133" t="str">
        <f t="shared" si="51"/>
        <v>A</v>
      </c>
      <c r="HP12" s="159" t="s">
        <v>27</v>
      </c>
      <c r="HQ12" s="160"/>
      <c r="HR12" s="161"/>
      <c r="HS12" s="112">
        <f>IFERROR((((COUNTIF('Elève (5ème6)'!HP12:HR12,"A"))*4)+((COUNTIF('Elève (5ème6)'!HP12:HR12,"B"))*3)+((COUNTIF('Elève (5ème6)'!HP12:HR12,"C"))*2)+((COUNTIF('Elève (5ème6)'!HP12:HR12,"D"))*1))/(COUNTA(HP12:HR12)),"")</f>
        <v>4</v>
      </c>
      <c r="HT12" s="113" t="str">
        <f t="shared" si="52"/>
        <v>A</v>
      </c>
      <c r="HU12" s="84"/>
      <c r="HV12" s="85"/>
      <c r="HW12" s="86"/>
      <c r="HX12" s="112" t="str">
        <f>IFERROR((((COUNTIF('Elève (5ème6)'!HU12:HW12,"A"))*4)+((COUNTIF('Elève (5ème6)'!HU12:HW12,"B"))*3)+((COUNTIF('Elève (5ème6)'!HU12:HW12,"C"))*2)+((COUNTIF('Elève (5ème6)'!HU12:HW12,"D"))*1))/(COUNTA(HU12:HW12)),"")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(5ème6)'!HZ12:IB12,"A"))*4)+((COUNTIF('Elève (5ème6)'!HZ12:IB12,"B"))*3)+((COUNTIF('Elève (5ème6)'!HZ12:IB12,"C"))*2)+((COUNTIF('Elève (5ème6)'!HZ12:IB12,"D"))*1))/(COUNTA(HZ12:IB12)),"")</f>
        <v/>
      </c>
      <c r="ID12" s="113" t="str">
        <f t="shared" si="54"/>
        <v/>
      </c>
      <c r="IE12" s="180">
        <f>IF(COUNT(HS12,HX12,IC12)=0,"",SUM(HS12,HX12,IC12)/COUNT(HS12,HX12,IC12))</f>
        <v>4</v>
      </c>
      <c r="IF12" s="133" t="str">
        <f t="shared" si="55"/>
        <v>A</v>
      </c>
      <c r="IG12" s="159" t="s">
        <v>27</v>
      </c>
      <c r="IH12" s="160"/>
      <c r="II12" s="161"/>
      <c r="IJ12" s="112">
        <f>IFERROR((((COUNTIF('Elève (5ème6)'!IG12:II12,"A"))*4)+((COUNTIF('Elève (5ème6)'!IG12:II12,"B"))*3)+((COUNTIF('Elève (5ème6)'!IG12:II12,"C"))*2)+((COUNTIF('Elève (5ème6)'!IG12:II12,"D"))*1))/(COUNTA(IG12:II12)),"")</f>
        <v>4</v>
      </c>
      <c r="IK12" s="113" t="str">
        <f t="shared" si="56"/>
        <v>A</v>
      </c>
      <c r="IL12" s="84"/>
      <c r="IM12" s="85"/>
      <c r="IN12" s="86"/>
      <c r="IO12" s="112" t="str">
        <f>IFERROR((((COUNTIF('Elève (5ème6)'!IL12:IN12,"A"))*4)+((COUNTIF('Elève (5ème6)'!IL12:IN12,"B"))*3)+((COUNTIF('Elève (5ème6)'!IL12:IN12,"C"))*2)+((COUNTIF('Elève (5ème6)'!IL12:IN12,"D"))*1))/(COUNTA(IL12:IN12)),"")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(5ème6)'!IQ12:IS12,"A"))*4)+((COUNTIF('Elève (5ème6)'!IQ12:IS12,"B"))*3)+((COUNTIF('Elève (5ème6)'!IQ12:IS12,"C"))*2)+((COUNTIF('Elève (5ème6)'!IQ12:IS12,"D"))*1))/(COUNTA(IQ12:IS12)),"")</f>
        <v/>
      </c>
      <c r="IU12" s="113" t="str">
        <f t="shared" si="58"/>
        <v/>
      </c>
      <c r="IV12" s="180">
        <f>IF(COUNT(IJ12,IO12,IT12)=0,"",SUM(IJ12,IO12,IT12)/COUNT(IJ12,IO12,IT12))</f>
        <v>4</v>
      </c>
      <c r="IW12" s="133" t="str">
        <f t="shared" si="59"/>
        <v>A</v>
      </c>
      <c r="IX12" s="159" t="s">
        <v>27</v>
      </c>
      <c r="IY12" s="160"/>
      <c r="IZ12" s="161"/>
      <c r="JA12" s="112">
        <f>IFERROR((((COUNTIF('Elève (5ème6)'!IX12:IZ12,"A"))*4)+((COUNTIF('Elève (5ème6)'!IX12:IZ12,"B"))*3)+((COUNTIF('Elève (5ème6)'!IX12:IZ12,"C"))*2)+((COUNTIF('Elève (5ème6)'!IX12:IZ12,"D"))*1))/(COUNTA(IX12:IZ12)),"")</f>
        <v>4</v>
      </c>
      <c r="JB12" s="113" t="str">
        <f t="shared" si="60"/>
        <v>A</v>
      </c>
      <c r="JC12" s="84"/>
      <c r="JD12" s="85"/>
      <c r="JE12" s="86"/>
      <c r="JF12" s="112" t="str">
        <f>IFERROR((((COUNTIF('Elève (5ème6)'!JC12:JE12,"A"))*4)+((COUNTIF('Elève (5ème6)'!JC12:JE12,"B"))*3)+((COUNTIF('Elève (5ème6)'!JC12:JE12,"C"))*2)+((COUNTIF('Elève (5ème6)'!JC12:JE12,"D"))*1))/(COUNTA(JC12:JE12)),"")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(5ème6)'!JH12:JJ12,"A"))*4)+((COUNTIF('Elève (5ème6)'!JH12:JJ12,"B"))*3)+((COUNTIF('Elève (5ème6)'!JH12:JJ12,"C"))*2)+((COUNTIF('Elève (5ème6)'!JH12:JJ12,"D"))*1))/(COUNTA(JH12:JJ12)),"")</f>
        <v/>
      </c>
      <c r="JL12" s="113" t="str">
        <f t="shared" si="62"/>
        <v/>
      </c>
      <c r="JM12" s="180">
        <f>IF(COUNT(JA12,JF12,JK12)=0,"",SUM(JA12,JF12,JK12)/COUNT(JA12,JF12,JK12))</f>
        <v>4</v>
      </c>
      <c r="JN12" s="133" t="str">
        <f t="shared" si="63"/>
        <v>A</v>
      </c>
      <c r="JO12" s="159" t="s">
        <v>27</v>
      </c>
      <c r="JP12" s="160"/>
      <c r="JQ12" s="161"/>
      <c r="JR12" s="112">
        <f>IFERROR((((COUNTIF('Elève (5ème6)'!JO12:JQ12,"A"))*4)+((COUNTIF('Elève (5ème6)'!JO12:JQ12,"B"))*3)+((COUNTIF('Elève (5ème6)'!JO12:JQ12,"C"))*2)+((COUNTIF('Elève (5ème6)'!JO12:JQ12,"D"))*1))/(COUNTA(JO12:JQ12)),"")</f>
        <v>4</v>
      </c>
      <c r="JS12" s="113" t="str">
        <f t="shared" si="64"/>
        <v>A</v>
      </c>
      <c r="JT12" s="84"/>
      <c r="JU12" s="85"/>
      <c r="JV12" s="86"/>
      <c r="JW12" s="112" t="str">
        <f>IFERROR((((COUNTIF('Elève (5ème6)'!JT12:JV12,"A"))*4)+((COUNTIF('Elève (5ème6)'!JT12:JV12,"B"))*3)+((COUNTIF('Elève (5ème6)'!JT12:JV12,"C"))*2)+((COUNTIF('Elève (5ème6)'!JT12:JV12,"D"))*1))/(COUNTA(JT12:JV12)),"")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(5ème6)'!JY12:KA12,"A"))*4)+((COUNTIF('Elève (5ème6)'!JY12:KA12,"B"))*3)+((COUNTIF('Elève (5ème6)'!JY12:KA12,"C"))*2)+((COUNTIF('Elève (5ème6)'!JY12:KA12,"D"))*1))/(COUNTA(JY12:KA12)),"")</f>
        <v/>
      </c>
      <c r="KC12" s="113" t="str">
        <f t="shared" si="66"/>
        <v/>
      </c>
      <c r="KD12" s="180">
        <f>IF(COUNT(JR12,JW12,KB12)=0,"",SUM(JR12,JW12,KB12)/COUNT(JR12,JW12,KB12))</f>
        <v>4</v>
      </c>
      <c r="KE12" s="133" t="str">
        <f t="shared" si="67"/>
        <v>A</v>
      </c>
      <c r="KF12" s="159" t="s">
        <v>27</v>
      </c>
      <c r="KG12" s="160"/>
      <c r="KH12" s="161"/>
      <c r="KI12" s="112">
        <f>IFERROR((((COUNTIF('Elève (5ème6)'!KF12:KH12,"A"))*4)+((COUNTIF('Elève (5ème6)'!KF12:KH12,"B"))*3)+((COUNTIF('Elève (5ème6)'!KF12:KH12,"C"))*2)+((COUNTIF('Elève (5ème6)'!KF12:KH12,"D"))*1))/(COUNTA(KF12:KH12)),"")</f>
        <v>4</v>
      </c>
      <c r="KJ12" s="113" t="str">
        <f t="shared" si="68"/>
        <v>A</v>
      </c>
      <c r="KK12" s="84"/>
      <c r="KL12" s="85"/>
      <c r="KM12" s="86"/>
      <c r="KN12" s="112" t="str">
        <f>IFERROR((((COUNTIF('Elève (5ème6)'!KK12:KM12,"A"))*4)+((COUNTIF('Elève (5ème6)'!KK12:KM12,"B"))*3)+((COUNTIF('Elève (5ème6)'!KK12:KM12,"C"))*2)+((COUNTIF('Elève (5ème6)'!KK12:KM12,"D"))*1))/(COUNTA(KK12:KM12)),"")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(5ème6)'!KP12:KR12,"A"))*4)+((COUNTIF('Elève (5ème6)'!KP12:KR12,"B"))*3)+((COUNTIF('Elève (5ème6)'!KP12:KR12,"C"))*2)+((COUNTIF('Elève (5ème6)'!KP12:KR12,"D"))*1))/(COUNTA(KP12:KR12)),"")</f>
        <v/>
      </c>
      <c r="KT12" s="113" t="str">
        <f t="shared" si="70"/>
        <v/>
      </c>
      <c r="KU12" s="180">
        <f>IF(COUNT(KI12,KN12,KS12)=0,"",SUM(KI12,KN12,KS12)/COUNT(KI12,KN12,KS12))</f>
        <v>4</v>
      </c>
      <c r="KV12" s="133" t="str">
        <f t="shared" si="71"/>
        <v>A</v>
      </c>
      <c r="KW12" s="159" t="s">
        <v>27</v>
      </c>
      <c r="KX12" s="160"/>
      <c r="KY12" s="161"/>
      <c r="KZ12" s="112">
        <f>IFERROR((((COUNTIF('Elève (5ème6)'!KW12:KY12,"A"))*4)+((COUNTIF('Elève (5ème6)'!KW12:KY12,"B"))*3)+((COUNTIF('Elève (5ème6)'!KW12:KY12,"C"))*2)+((COUNTIF('Elève (5ème6)'!KW12:KY12,"D"))*1))/(COUNTA(KW12:KY12)),"")</f>
        <v>4</v>
      </c>
      <c r="LA12" s="113" t="str">
        <f t="shared" si="72"/>
        <v>A</v>
      </c>
      <c r="LB12" s="84"/>
      <c r="LC12" s="85"/>
      <c r="LD12" s="86"/>
      <c r="LE12" s="112" t="str">
        <f>IFERROR((((COUNTIF('Elève (5ème6)'!LB12:LD12,"A"))*4)+((COUNTIF('Elève (5ème6)'!LB12:LD12,"B"))*3)+((COUNTIF('Elève (5ème6)'!LB12:LD12,"C"))*2)+((COUNTIF('Elève (5ème6)'!LB12:LD12,"D"))*1))/(COUNTA(LB12:LD12)),"")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(5ème6)'!LG12:LI12,"A"))*4)+((COUNTIF('Elève (5ème6)'!LG12:LI12,"B"))*3)+((COUNTIF('Elève (5ème6)'!LG12:LI12,"C"))*2)+((COUNTIF('Elève (5ème6)'!LG12:LI12,"D"))*1))/(COUNTA(LG12:LI12)),"")</f>
        <v/>
      </c>
      <c r="LK12" s="113" t="str">
        <f t="shared" si="74"/>
        <v/>
      </c>
      <c r="LL12" s="180">
        <f>IF(COUNT(KZ12,LE12,LJ12)=0,"",SUM(KZ12,LE12,LJ12)/COUNT(KZ12,LE12,LJ12))</f>
        <v>4</v>
      </c>
      <c r="LM12" s="133" t="str">
        <f t="shared" si="75"/>
        <v>A</v>
      </c>
      <c r="LN12" s="159" t="s">
        <v>27</v>
      </c>
      <c r="LO12" s="160"/>
      <c r="LP12" s="161"/>
      <c r="LQ12" s="112">
        <f>IFERROR((((COUNTIF('Elève (5ème6)'!LN12:LP12,"A"))*4)+((COUNTIF('Elève (5ème6)'!LN12:LP12,"B"))*3)+((COUNTIF('Elève (5ème6)'!LN12:LP12,"C"))*2)+((COUNTIF('Elève (5ème6)'!LN12:LP12,"D"))*1))/(COUNTA(LN12:LP12)),"")</f>
        <v>4</v>
      </c>
      <c r="LR12" s="113" t="str">
        <f t="shared" si="76"/>
        <v>A</v>
      </c>
      <c r="LS12" s="84"/>
      <c r="LT12" s="85"/>
      <c r="LU12" s="86"/>
      <c r="LV12" s="112" t="str">
        <f>IFERROR((((COUNTIF('Elève (5ème6)'!LS12:LU12,"A"))*4)+((COUNTIF('Elève (5ème6)'!LS12:LU12,"B"))*3)+((COUNTIF('Elève (5ème6)'!LS12:LU12,"C"))*2)+((COUNTIF('Elève (5ème6)'!LS12:LU12,"D"))*1))/(COUNTA(LS12:LU12)),"")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(5ème6)'!LX12:LZ12,"A"))*4)+((COUNTIF('Elève (5ème6)'!LX12:LZ12,"B"))*3)+((COUNTIF('Elève (5ème6)'!LX12:LZ12,"C"))*2)+((COUNTIF('Elève (5ème6)'!LX12:LZ12,"D"))*1))/(COUNTA(LX12:LZ12)),"")</f>
        <v/>
      </c>
      <c r="MB12" s="113" t="str">
        <f t="shared" si="78"/>
        <v/>
      </c>
      <c r="MC12" s="180">
        <f>IF(COUNT(LQ12,LV12,MA12)=0,"",SUM(LQ12,LV12,MA12)/COUNT(LQ12,LV12,MA12))</f>
        <v>4</v>
      </c>
      <c r="MD12" s="133" t="str">
        <f t="shared" si="79"/>
        <v>A</v>
      </c>
      <c r="ME12" s="159" t="s">
        <v>27</v>
      </c>
      <c r="MF12" s="160"/>
      <c r="MG12" s="161"/>
      <c r="MH12" s="112">
        <f>IFERROR((((COUNTIF('Elève (5ème6)'!ME12:MG12,"A"))*4)+((COUNTIF('Elève (5ème6)'!ME12:MG12,"B"))*3)+((COUNTIF('Elève (5ème6)'!ME12:MG12,"C"))*2)+((COUNTIF('Elève (5ème6)'!ME12:MG12,"D"))*1))/(COUNTA(ME12:MG12)),"")</f>
        <v>4</v>
      </c>
      <c r="MI12" s="113" t="str">
        <f t="shared" si="80"/>
        <v>A</v>
      </c>
      <c r="MJ12" s="84"/>
      <c r="MK12" s="85"/>
      <c r="ML12" s="86"/>
      <c r="MM12" s="112" t="str">
        <f>IFERROR((((COUNTIF('Elève (5ème6)'!MJ12:ML12,"A"))*4)+((COUNTIF('Elève (5ème6)'!MJ12:ML12,"B"))*3)+((COUNTIF('Elève (5ème6)'!MJ12:ML12,"C"))*2)+((COUNTIF('Elève (5ème6)'!MJ12:ML12,"D"))*1))/(COUNTA(MJ12:ML12)),"")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(5ème6)'!MO12:MQ12,"A"))*4)+((COUNTIF('Elève (5ème6)'!MO12:MQ12,"B"))*3)+((COUNTIF('Elève (5ème6)'!MO12:MQ12,"C"))*2)+((COUNTIF('Elève (5ème6)'!MO12:MQ12,"D"))*1))/(COUNTA(MO12:MQ12)),"")</f>
        <v/>
      </c>
      <c r="MS12" s="113" t="str">
        <f t="shared" si="82"/>
        <v/>
      </c>
      <c r="MT12" s="180">
        <f>IF(COUNT(MH12,MM12,MR12)=0,"",SUM(MH12,MM12,MR12)/COUNT(MH12,MM12,MR12))</f>
        <v>4</v>
      </c>
      <c r="MU12" s="133" t="str">
        <f t="shared" si="83"/>
        <v>A</v>
      </c>
      <c r="MV12" s="159" t="s">
        <v>27</v>
      </c>
      <c r="MW12" s="160"/>
      <c r="MX12" s="161"/>
      <c r="MY12" s="112">
        <f>IFERROR((((COUNTIF('Elève (5ème6)'!MV12:MX12,"A"))*4)+((COUNTIF('Elève (5ème6)'!MV12:MX12,"B"))*3)+((COUNTIF('Elève (5ème6)'!MV12:MX12,"C"))*2)+((COUNTIF('Elève (5ème6)'!MV12:MX12,"D"))*1))/(COUNTA(MV12:MX12)),"")</f>
        <v>4</v>
      </c>
      <c r="MZ12" s="113" t="str">
        <f t="shared" si="84"/>
        <v>A</v>
      </c>
      <c r="NA12" s="84"/>
      <c r="NB12" s="85"/>
      <c r="NC12" s="86"/>
      <c r="ND12" s="112" t="str">
        <f>IFERROR((((COUNTIF('Elève (5ème6)'!NA12:NC12,"A"))*4)+((COUNTIF('Elève (5ème6)'!NA12:NC12,"B"))*3)+((COUNTIF('Elève (5ème6)'!NA12:NC12,"C"))*2)+((COUNTIF('Elève (5ème6)'!NA12:NC12,"D"))*1))/(COUNTA(NA12:NC12)),"")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(5ème6)'!NF12:NH12,"A"))*4)+((COUNTIF('Elève (5ème6)'!NF12:NH12,"B"))*3)+((COUNTIF('Elève (5ème6)'!NF12:NH12,"C"))*2)+((COUNTIF('Elève (5ème6)'!NF12:NH12,"D"))*1))/(COUNTA(NF12:NH12)),"")</f>
        <v/>
      </c>
      <c r="NJ12" s="113" t="str">
        <f t="shared" si="86"/>
        <v/>
      </c>
      <c r="NK12" s="180">
        <f>IF(COUNT(MY12,ND12,NI12)=0,"",SUM(MY12,ND12,NI12)/COUNT(MY12,ND12,NI12))</f>
        <v>4</v>
      </c>
      <c r="NL12" s="133" t="str">
        <f t="shared" si="87"/>
        <v>A</v>
      </c>
      <c r="NM12" s="159" t="s">
        <v>27</v>
      </c>
      <c r="NN12" s="160"/>
      <c r="NO12" s="161"/>
      <c r="NP12" s="112">
        <f>IFERROR((((COUNTIF('Elève (5ème6)'!NM12:NO12,"A"))*4)+((COUNTIF('Elève (5ème6)'!NM12:NO12,"B"))*3)+((COUNTIF('Elève (5ème6)'!NM12:NO12,"C"))*2)+((COUNTIF('Elève (5ème6)'!NM12:NO12,"D"))*1))/(COUNTA(NM12:NO12)),"")</f>
        <v>4</v>
      </c>
      <c r="NQ12" s="113" t="str">
        <f t="shared" si="88"/>
        <v>A</v>
      </c>
      <c r="NR12" s="84"/>
      <c r="NS12" s="85"/>
      <c r="NT12" s="86"/>
      <c r="NU12" s="112" t="str">
        <f>IFERROR((((COUNTIF('Elève (5ème6)'!NR12:NT12,"A"))*4)+((COUNTIF('Elève (5ème6)'!NR12:NT12,"B"))*3)+((COUNTIF('Elève (5ème6)'!NR12:NT12,"C"))*2)+((COUNTIF('Elève (5ème6)'!NR12:NT12,"D"))*1))/(COUNTA(NR12:NT12)),"")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(5ème6)'!NW12:NY12,"A"))*4)+((COUNTIF('Elève (5ème6)'!NW12:NY12,"B"))*3)+((COUNTIF('Elève (5ème6)'!NW12:NY12,"C"))*2)+((COUNTIF('Elève (5ème6)'!NW12:NY12,"D"))*1))/(COUNTA(NW12:NY12)),"")</f>
        <v/>
      </c>
      <c r="OA12" s="113" t="str">
        <f t="shared" si="90"/>
        <v/>
      </c>
      <c r="OB12" s="180">
        <f>IF(COUNT(NP12,NU12,NZ12)=0,"",SUM(NP12,NU12,NZ12)/COUNT(NP12,NU12,NZ12))</f>
        <v>4</v>
      </c>
      <c r="OC12" s="133" t="str">
        <f t="shared" si="91"/>
        <v>A</v>
      </c>
      <c r="OD12" s="159" t="s">
        <v>27</v>
      </c>
      <c r="OE12" s="160"/>
      <c r="OF12" s="161"/>
      <c r="OG12" s="112">
        <f>IFERROR((((COUNTIF('Elève (5ème6)'!OD12:OF12,"A"))*4)+((COUNTIF('Elève (5ème6)'!OD12:OF12,"B"))*3)+((COUNTIF('Elève (5ème6)'!OD12:OF12,"C"))*2)+((COUNTIF('Elève (5ème6)'!OD12:OF12,"D"))*1))/(COUNTA(OD12:OF12)),"")</f>
        <v>4</v>
      </c>
      <c r="OH12" s="113" t="str">
        <f t="shared" si="92"/>
        <v>A</v>
      </c>
      <c r="OI12" s="84"/>
      <c r="OJ12" s="85"/>
      <c r="OK12" s="86"/>
      <c r="OL12" s="112" t="str">
        <f>IFERROR((((COUNTIF('Elève (5ème6)'!OI12:OK12,"A"))*4)+((COUNTIF('Elève (5ème6)'!OI12:OK12,"B"))*3)+((COUNTIF('Elève (5ème6)'!OI12:OK12,"C"))*2)+((COUNTIF('Elève (5ème6)'!OI12:OK12,"D"))*1))/(COUNTA(OI12:OK12)),"")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(5ème6)'!ON12:OP12,"A"))*4)+((COUNTIF('Elève (5ème6)'!ON12:OP12,"B"))*3)+((COUNTIF('Elève (5ème6)'!ON12:OP12,"C"))*2)+((COUNTIF('Elève (5ème6)'!ON12:OP12,"D"))*1))/(COUNTA(ON12:OP12)),"")</f>
        <v/>
      </c>
      <c r="OR12" s="113" t="str">
        <f t="shared" si="94"/>
        <v/>
      </c>
      <c r="OS12" s="180">
        <f>IF(COUNT(OG12,OL12,OQ12)=0,"",SUM(OG12,OL12,OQ12)/COUNT(OG12,OL12,OQ12))</f>
        <v>4</v>
      </c>
      <c r="OT12" s="133" t="str">
        <f t="shared" si="95"/>
        <v>A</v>
      </c>
      <c r="OU12" s="159" t="s">
        <v>27</v>
      </c>
      <c r="OV12" s="160"/>
      <c r="OW12" s="161"/>
      <c r="OX12" s="112">
        <f>IFERROR((((COUNTIF('Elève (5ème6)'!OU12:OW12,"A"))*4)+((COUNTIF('Elève (5ème6)'!OU12:OW12,"B"))*3)+((COUNTIF('Elève (5ème6)'!OU12:OW12,"C"))*2)+((COUNTIF('Elève (5ème6)'!OU12:OW12,"D"))*1))/(COUNTA(OU12:OW12)),"")</f>
        <v>4</v>
      </c>
      <c r="OY12" s="113" t="str">
        <f t="shared" si="96"/>
        <v>A</v>
      </c>
      <c r="OZ12" s="84"/>
      <c r="PA12" s="85"/>
      <c r="PB12" s="86"/>
      <c r="PC12" s="112" t="str">
        <f>IFERROR((((COUNTIF('Elève (5ème6)'!OZ12:PB12,"A"))*4)+((COUNTIF('Elève (5ème6)'!OZ12:PB12,"B"))*3)+((COUNTIF('Elève (5ème6)'!OZ12:PB12,"C"))*2)+((COUNTIF('Elève (5ème6)'!OZ12:PB12,"D"))*1))/(COUNTA(OZ12:PB12)),"")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(5ème6)'!PE12:PG12,"A"))*4)+((COUNTIF('Elève (5ème6)'!PE12:PG12,"B"))*3)+((COUNTIF('Elève (5ème6)'!PE12:PG12,"C"))*2)+((COUNTIF('Elève (5ème6)'!PE12:PG12,"D"))*1))/(COUNTA(PE12:PG12)),"")</f>
        <v/>
      </c>
      <c r="PI12" s="113" t="str">
        <f t="shared" si="98"/>
        <v/>
      </c>
      <c r="PJ12" s="180">
        <f>IF(COUNT(OX12,PC12,PH12)=0,"",SUM(OX12,PC12,PH12)/COUNT(OX12,PC12,PH12))</f>
        <v>4</v>
      </c>
      <c r="PK12" s="133" t="str">
        <f t="shared" si="99"/>
        <v>A</v>
      </c>
      <c r="PL12" s="159" t="s">
        <v>27</v>
      </c>
      <c r="PM12" s="160"/>
      <c r="PN12" s="161"/>
      <c r="PO12" s="112">
        <f>IFERROR((((COUNTIF('Elève (5ème6)'!PL12:PN12,"A"))*4)+((COUNTIF('Elève (5ème6)'!PL12:PN12,"B"))*3)+((COUNTIF('Elève (5ème6)'!PL12:PN12,"C"))*2)+((COUNTIF('Elève (5ème6)'!PL12:PN12,"D"))*1))/(COUNTA(PL12:PN12)),"")</f>
        <v>4</v>
      </c>
      <c r="PP12" s="113" t="str">
        <f t="shared" si="100"/>
        <v>A</v>
      </c>
      <c r="PQ12" s="84"/>
      <c r="PR12" s="85"/>
      <c r="PS12" s="86"/>
      <c r="PT12" s="112" t="str">
        <f>IFERROR((((COUNTIF('Elève (5ème6)'!PQ12:PS12,"A"))*4)+((COUNTIF('Elève (5ème6)'!PQ12:PS12,"B"))*3)+((COUNTIF('Elève (5ème6)'!PQ12:PS12,"C"))*2)+((COUNTIF('Elève (5ème6)'!PQ12:PS12,"D"))*1))/(COUNTA(PQ12:PS12)),"")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(5ème6)'!PV12:PX12,"A"))*4)+((COUNTIF('Elève (5ème6)'!PV12:PX12,"B"))*3)+((COUNTIF('Elève (5ème6)'!PV12:PX12,"C"))*2)+((COUNTIF('Elève (5ème6)'!PV12:PX12,"D"))*1))/(COUNTA(PV12:PX12)),"")</f>
        <v/>
      </c>
      <c r="PZ12" s="113" t="str">
        <f t="shared" si="102"/>
        <v/>
      </c>
      <c r="QA12" s="180">
        <f>IF(COUNT(PO12,PT12,PY12)=0,"",SUM(PO12,PT12,PY12)/COUNT(PO12,PT12,PY12))</f>
        <v>4</v>
      </c>
      <c r="QB12" s="133" t="str">
        <f t="shared" si="103"/>
        <v>A</v>
      </c>
      <c r="QC12" s="159" t="s">
        <v>28</v>
      </c>
      <c r="QD12" s="160"/>
      <c r="QE12" s="161"/>
      <c r="QF12" s="112">
        <f>IFERROR((((COUNTIF('Elève (5ème6)'!QC12:QE12,"A"))*4)+((COUNTIF('Elève (5ème6)'!QC12:QE12,"B"))*3)+((COUNTIF('Elève (5ème6)'!QC12:QE12,"C"))*2)+((COUNTIF('Elève (5ème6)'!QC12:QE12,"D"))*1))/(COUNTA(QC12:QE12)),"")</f>
        <v>3</v>
      </c>
      <c r="QG12" s="113" t="str">
        <f t="shared" si="104"/>
        <v>B</v>
      </c>
      <c r="QH12" s="84"/>
      <c r="QI12" s="85"/>
      <c r="QJ12" s="86"/>
      <c r="QK12" s="112" t="str">
        <f>IFERROR((((COUNTIF('Elève (5ème6)'!QH12:QJ12,"A"))*4)+((COUNTIF('Elève (5ème6)'!QH12:QJ12,"B"))*3)+((COUNTIF('Elève (5ème6)'!QH12:QJ12,"C"))*2)+((COUNTIF('Elève (5ème6)'!QH12:QJ12,"D"))*1))/(COUNTA(QH12:QJ12)),"")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(5ème6)'!QM12:QO12,"A"))*4)+((COUNTIF('Elève (5ème6)'!QM12:QO12,"B"))*3)+((COUNTIF('Elève (5ème6)'!QM12:QO12,"C"))*2)+((COUNTIF('Elève (5ème6)'!QM12:QO12,"D"))*1))/(COUNTA(QM12:QO12)),"")</f>
        <v/>
      </c>
      <c r="QQ12" s="113" t="str">
        <f t="shared" si="106"/>
        <v/>
      </c>
      <c r="QR12" s="180">
        <f>IF(COUNT(QF12,QK12,QP12)=0,"",SUM(QF12,QK12,QP12)/COUNT(QF12,QK12,QP12))</f>
        <v>3</v>
      </c>
      <c r="QS12" s="133" t="str">
        <f t="shared" si="107"/>
        <v>B</v>
      </c>
      <c r="QT12" s="159" t="s">
        <v>27</v>
      </c>
      <c r="QU12" s="160"/>
      <c r="QV12" s="161"/>
      <c r="QW12" s="112">
        <f>IFERROR((((COUNTIF('Elève (5ème6)'!QT12:QV12,"A"))*4)+((COUNTIF('Elève (5ème6)'!QT12:QV12,"B"))*3)+((COUNTIF('Elève (5ème6)'!QT12:QV12,"C"))*2)+((COUNTIF('Elève (5ème6)'!QT12:QV12,"D"))*1))/(COUNTA(QT12:QV12)),"")</f>
        <v>4</v>
      </c>
      <c r="QX12" s="113" t="str">
        <f t="shared" si="108"/>
        <v>A</v>
      </c>
      <c r="QY12" s="84"/>
      <c r="QZ12" s="85"/>
      <c r="RA12" s="86"/>
      <c r="RB12" s="112" t="str">
        <f>IFERROR((((COUNTIF('Elève (5ème6)'!QY12:RA12,"A"))*4)+((COUNTIF('Elève (5ème6)'!QY12:RA12,"B"))*3)+((COUNTIF('Elève (5ème6)'!QY12:RA12,"C"))*2)+((COUNTIF('Elève (5ème6)'!QY12:RA12,"D"))*1))/(COUNTA(QY12:RA12)),"")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(5ème6)'!RD12:RF12,"A"))*4)+((COUNTIF('Elève (5ème6)'!RD12:RF12,"B"))*3)+((COUNTIF('Elève (5ème6)'!RD12:RF12,"C"))*2)+((COUNTIF('Elève (5ème6)'!RD12:RF12,"D"))*1))/(COUNTA(RD12:RF12)),"")</f>
        <v/>
      </c>
      <c r="RH12" s="113" t="str">
        <f t="shared" si="110"/>
        <v/>
      </c>
      <c r="RI12" s="180">
        <f>IF(COUNT(QW12,RB12,RG12)=0,"",SUM(QW12,RB12,RG12)/COUNT(QW12,RB12,RG12))</f>
        <v>4</v>
      </c>
      <c r="RJ12" s="133" t="str">
        <f t="shared" si="111"/>
        <v>A</v>
      </c>
      <c r="RK12" s="159" t="s">
        <v>27</v>
      </c>
      <c r="RL12" s="160"/>
      <c r="RM12" s="161"/>
      <c r="RN12" s="112">
        <f>IFERROR((((COUNTIF('Elève (5ème6)'!RK12:RM12,"A"))*4)+((COUNTIF('Elève (5ème6)'!RK12:RM12,"B"))*3)+((COUNTIF('Elève (5ème6)'!RK12:RM12,"C"))*2)+((COUNTIF('Elève (5ème6)'!RK12:RM12,"D"))*1))/(COUNTA(RK12:RM12)),"")</f>
        <v>4</v>
      </c>
      <c r="RO12" s="113" t="str">
        <f t="shared" si="112"/>
        <v>A</v>
      </c>
      <c r="RP12" s="84"/>
      <c r="RQ12" s="85"/>
      <c r="RR12" s="86"/>
      <c r="RS12" s="112" t="str">
        <f>IFERROR((((COUNTIF('Elève (5ème6)'!RP12:RR12,"A"))*4)+((COUNTIF('Elève (5ème6)'!RP12:RR12,"B"))*3)+((COUNTIF('Elève (5ème6)'!RP12:RR12,"C"))*2)+((COUNTIF('Elève (5ème6)'!RP12:RR12,"D"))*1))/(COUNTA(RP12:RR12)),"")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(5ème6)'!RU12:RW12,"A"))*4)+((COUNTIF('Elève (5ème6)'!RU12:RW12,"B"))*3)+((COUNTIF('Elève (5ème6)'!RU12:RW12,"C"))*2)+((COUNTIF('Elève (5ème6)'!RU12:RW12,"D"))*1))/(COUNTA(RU12:RW12)),"")</f>
        <v/>
      </c>
      <c r="RY12" s="113" t="str">
        <f t="shared" si="114"/>
        <v/>
      </c>
      <c r="RZ12" s="180">
        <f>IF(COUNT(RN12,RS12,RX12)=0,"",SUM(RN12,RS12,RX12)/COUNT(RN12,RS12,RX12))</f>
        <v>4</v>
      </c>
      <c r="SA12" s="133" t="str">
        <f t="shared" si="115"/>
        <v>A</v>
      </c>
      <c r="SB12" s="159"/>
      <c r="SC12" s="160"/>
      <c r="SD12" s="161"/>
      <c r="SE12" s="112" t="str">
        <f>IFERROR((((COUNTIF('Elève (5ème6)'!SB12:SD12,"A"))*4)+((COUNTIF('Elève (5ème6)'!SB12:SD12,"B"))*3)+((COUNTIF('Elève (5ème6)'!SB12:SD12,"C"))*2)+((COUNTIF('Elève (5ème6)'!SB12:SD12,"D"))*1))/(COUNTA(SB12:SD12)),"")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(5ème6)'!SG12:SI12,"A"))*4)+((COUNTIF('Elève (5ème6)'!SG12:SI12,"B"))*3)+((COUNTIF('Elève (5ème6)'!SG12:SI12,"C"))*2)+((COUNTIF('Elève (5ème6)'!SG12:SI12,"D"))*1))/(COUNTA(SG12:SI12)),"")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(5ème6)'!SL12:SN12,"A"))*4)+((COUNTIF('Elève (5ème6)'!SL12:SN12,"B"))*3)+((COUNTIF('Elève (5ème6)'!SL12:SN12,"C"))*2)+((COUNTIF('Elève (5ème6)'!SL12:SN12,"D"))*1))/(COUNTA(SL12:SN12)),"")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>
        <f>IFERROR((((COUNTIF('Elève (5ème6)'!C14:E15,"A"))*4)+((COUNTIF('Elève (5ème6)'!C14:E15,"B"))*3)+((COUNTIF('Elève (5ème6)'!C14:E15,"C"))*2)+((COUNTIF('Elève (5ème6)'!C14:E15,"D"))*1))/(COUNTA(C14:E15)),"")</f>
        <v>3</v>
      </c>
      <c r="G13" s="107" t="str">
        <f t="shared" si="0"/>
        <v>B</v>
      </c>
      <c r="H13" s="204"/>
      <c r="I13" s="186"/>
      <c r="J13" s="205"/>
      <c r="K13" s="106" t="str">
        <f>IFERROR((((COUNTIF('Elève (5ème6)'!H14:J15,"A"))*4)+((COUNTIF('Elève (5ème6)'!H14:J15,"B"))*3)+((COUNTIF('Elève (5ème6)'!H14:J15,"C"))*2)+((COUNTIF('Elève (5ème6)'!H14:J15,"D"))*1))/(COUNTA(H14:J15)),"")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(5ème6)'!M14:O15,"A"))*4)+((COUNTIF('Elève (5ème6)'!M14:O15,"B"))*3)+((COUNTIF('Elève (5ème6)'!M14:O15,"C"))*2)+((COUNTIF('Elève (5ème6)'!M14:O15,"D"))*1))/(COUNTA(M14:O15)),"")</f>
        <v/>
      </c>
      <c r="Q13" s="128" t="str">
        <f t="shared" si="2"/>
        <v/>
      </c>
      <c r="R13" s="177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>3</v>
      </c>
      <c r="S13" s="130" t="str">
        <f t="shared" si="3"/>
        <v>B</v>
      </c>
      <c r="T13" s="152"/>
      <c r="U13" s="185"/>
      <c r="V13" s="185"/>
      <c r="W13" s="106">
        <f>IFERROR((((COUNTIF('Elève (5ème6)'!T14:V15,"A"))*4)+((COUNTIF('Elève (5ème6)'!T14:V15,"B"))*3)+((COUNTIF('Elève (5ème6)'!T14:V15,"C"))*2)+((COUNTIF('Elève (5ème6)'!T14:V15,"D"))*1))/(COUNTA(T14:V15)),"")</f>
        <v>4</v>
      </c>
      <c r="X13" s="107" t="str">
        <f t="shared" si="4"/>
        <v>A</v>
      </c>
      <c r="Y13" s="204"/>
      <c r="Z13" s="186"/>
      <c r="AA13" s="205"/>
      <c r="AB13" s="106" t="str">
        <f>IFERROR((((COUNTIF('Elève (5ème6)'!Y14:AA15,"A"))*4)+((COUNTIF('Elève (5ème6)'!Y14:AA15,"B"))*3)+((COUNTIF('Elève (5ème6)'!Y14:AA15,"C"))*2)+((COUNTIF('Elève (5ème6)'!Y14:AA15,"D"))*1))/(COUNTA(Y14:AA15)),"")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(5ème6)'!AD14:AF15,"A"))*4)+((COUNTIF('Elève (5ème6)'!AD14:AF15,"B"))*3)+((COUNTIF('Elève (5ème6)'!AD14:AF15,"C"))*2)+((COUNTIF('Elève (5ème6)'!AD14:AF15,"D"))*1))/(COUNTA(AD14:AF15)),"")</f>
        <v/>
      </c>
      <c r="AH13" s="128" t="str">
        <f t="shared" si="6"/>
        <v/>
      </c>
      <c r="AI13" s="177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>4</v>
      </c>
      <c r="AJ13" s="130" t="str">
        <f t="shared" si="7"/>
        <v>A</v>
      </c>
      <c r="AK13" s="152"/>
      <c r="AL13" s="185"/>
      <c r="AM13" s="185"/>
      <c r="AN13" s="106">
        <f>IFERROR((((COUNTIF('Elève (5ème6)'!AK14:AM15,"A"))*4)+((COUNTIF('Elève (5ème6)'!AK14:AM15,"B"))*3)+((COUNTIF('Elève (5ème6)'!AK14:AM15,"C"))*2)+((COUNTIF('Elève (5ème6)'!AK14:AM15,"D"))*1))/(COUNTA(AK14:AM15)),"")</f>
        <v>2</v>
      </c>
      <c r="AO13" s="107" t="str">
        <f t="shared" si="8"/>
        <v>C</v>
      </c>
      <c r="AP13" s="204"/>
      <c r="AQ13" s="186"/>
      <c r="AR13" s="205"/>
      <c r="AS13" s="106" t="str">
        <f>IFERROR((((COUNTIF('Elève (5ème6)'!AP14:AR15,"A"))*4)+((COUNTIF('Elève (5ème6)'!AP14:AR15,"B"))*3)+((COUNTIF('Elève (5ème6)'!AP14:AR15,"C"))*2)+((COUNTIF('Elève (5ème6)'!AP14:AR15,"D"))*1))/(COUNTA(AP14:AR15)),"")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(5ème6)'!AU14:AW15,"A"))*4)+((COUNTIF('Elève (5ème6)'!AU14:AW15,"B"))*3)+((COUNTIF('Elève (5ème6)'!AU14:AW15,"C"))*2)+((COUNTIF('Elève (5ème6)'!AU14:AW15,"D"))*1))/(COUNTA(AU14:AW15)),"")</f>
        <v/>
      </c>
      <c r="AY13" s="128" t="str">
        <f t="shared" si="10"/>
        <v/>
      </c>
      <c r="AZ13" s="177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>2</v>
      </c>
      <c r="BA13" s="130" t="str">
        <f t="shared" si="11"/>
        <v>C</v>
      </c>
      <c r="BB13" s="152"/>
      <c r="BC13" s="185"/>
      <c r="BD13" s="185"/>
      <c r="BE13" s="106">
        <f>IFERROR((((COUNTIF('Elève (5ème6)'!BB14:BD15,"A"))*4)+((COUNTIF('Elève (5ème6)'!BB14:BD15,"B"))*3)+((COUNTIF('Elève (5ème6)'!BB14:BD15,"C"))*2)+((COUNTIF('Elève (5ème6)'!BB14:BD15,"D"))*1))/(COUNTA(BB14:BD15)),"")</f>
        <v>4</v>
      </c>
      <c r="BF13" s="107" t="str">
        <f t="shared" si="12"/>
        <v>A</v>
      </c>
      <c r="BG13" s="204"/>
      <c r="BH13" s="186"/>
      <c r="BI13" s="205"/>
      <c r="BJ13" s="106" t="str">
        <f>IFERROR((((COUNTIF('Elève (5ème6)'!BG14:BI15,"A"))*4)+((COUNTIF('Elève (5ème6)'!BG14:BI15,"B"))*3)+((COUNTIF('Elève (5ème6)'!BG14:BI15,"C"))*2)+((COUNTIF('Elève (5ème6)'!BG14:BI15,"D"))*1))/(COUNTA(BG14:BI15)),"")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(5ème6)'!BL14:BN15,"A"))*4)+((COUNTIF('Elève (5ème6)'!BL14:BN15,"B"))*3)+((COUNTIF('Elève (5ème6)'!BL14:BN15,"C"))*2)+((COUNTIF('Elève (5ème6)'!BL14:BN15,"D"))*1))/(COUNTA(BL14:BN15)),"")</f>
        <v/>
      </c>
      <c r="BP13" s="128" t="str">
        <f t="shared" si="14"/>
        <v/>
      </c>
      <c r="BQ13" s="177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>4</v>
      </c>
      <c r="BR13" s="130" t="str">
        <f t="shared" si="15"/>
        <v>A</v>
      </c>
      <c r="BS13" s="152"/>
      <c r="BT13" s="185"/>
      <c r="BU13" s="185"/>
      <c r="BV13" s="106">
        <f>IFERROR((((COUNTIF('Elève (5ème6)'!BS14:BU15,"A"))*4)+((COUNTIF('Elève (5ème6)'!BS14:BU15,"B"))*3)+((COUNTIF('Elève (5ème6)'!BS14:BU15,"C"))*2)+((COUNTIF('Elève (5ème6)'!BS14:BU15,"D"))*1))/(COUNTA(BS14:BU15)),"")</f>
        <v>3</v>
      </c>
      <c r="BW13" s="107" t="str">
        <f t="shared" si="16"/>
        <v>B</v>
      </c>
      <c r="BX13" s="204"/>
      <c r="BY13" s="186"/>
      <c r="BZ13" s="205"/>
      <c r="CA13" s="106" t="str">
        <f>IFERROR((((COUNTIF('Elève (5ème6)'!BX14:BZ15,"A"))*4)+((COUNTIF('Elève (5ème6)'!BX14:BZ15,"B"))*3)+((COUNTIF('Elève (5ème6)'!BX14:BZ15,"C"))*2)+((COUNTIF('Elève (5ème6)'!BX14:BZ15,"D"))*1))/(COUNTA(BX14:BZ15)),"")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(5ème6)'!CC14:CE15,"A"))*4)+((COUNTIF('Elève (5ème6)'!CC14:CE15,"B"))*3)+((COUNTIF('Elève (5ème6)'!CC14:CE15,"C"))*2)+((COUNTIF('Elève (5ème6)'!CC14:CE15,"D"))*1))/(COUNTA(CC14:CE15)),"")</f>
        <v/>
      </c>
      <c r="CG13" s="128" t="str">
        <f t="shared" si="18"/>
        <v/>
      </c>
      <c r="CH13" s="177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>3</v>
      </c>
      <c r="CI13" s="130" t="str">
        <f t="shared" si="19"/>
        <v>B</v>
      </c>
      <c r="CJ13" s="152"/>
      <c r="CK13" s="185"/>
      <c r="CL13" s="185"/>
      <c r="CM13" s="106">
        <f>IFERROR((((COUNTIF('Elève (5ème6)'!CJ14:CL15,"A"))*4)+((COUNTIF('Elève (5ème6)'!CJ14:CL15,"B"))*3)+((COUNTIF('Elève (5ème6)'!CJ14:CL15,"C"))*2)+((COUNTIF('Elève (5ème6)'!CJ14:CL15,"D"))*1))/(COUNTA(CJ14:CL15)),"")</f>
        <v>2</v>
      </c>
      <c r="CN13" s="107" t="str">
        <f t="shared" si="20"/>
        <v>C</v>
      </c>
      <c r="CO13" s="204"/>
      <c r="CP13" s="186"/>
      <c r="CQ13" s="205"/>
      <c r="CR13" s="106" t="str">
        <f>IFERROR((((COUNTIF('Elève (5ème6)'!CO14:CQ15,"A"))*4)+((COUNTIF('Elève (5ème6)'!CO14:CQ15,"B"))*3)+((COUNTIF('Elève (5ème6)'!CO14:CQ15,"C"))*2)+((COUNTIF('Elève (5ème6)'!CO14:CQ15,"D"))*1))/(COUNTA(CO14:CQ15)),"")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(5ème6)'!CT14:CV15,"A"))*4)+((COUNTIF('Elève (5ème6)'!CT14:CV15,"B"))*3)+((COUNTIF('Elève (5ème6)'!CT14:CV15,"C"))*2)+((COUNTIF('Elève (5ème6)'!CT14:CV15,"D"))*1))/(COUNTA(CT14:CV15)),"")</f>
        <v/>
      </c>
      <c r="CX13" s="128" t="str">
        <f t="shared" si="22"/>
        <v/>
      </c>
      <c r="CY13" s="177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>2</v>
      </c>
      <c r="CZ13" s="130" t="str">
        <f t="shared" si="23"/>
        <v>C</v>
      </c>
      <c r="DA13" s="152"/>
      <c r="DB13" s="185"/>
      <c r="DC13" s="185"/>
      <c r="DD13" s="106">
        <f>IFERROR((((COUNTIF('Elève (5ème6)'!DA14:DC15,"A"))*4)+((COUNTIF('Elève (5ème6)'!DA14:DC15,"B"))*3)+((COUNTIF('Elève (5ème6)'!DA14:DC15,"C"))*2)+((COUNTIF('Elève (5ème6)'!DA14:DC15,"D"))*1))/(COUNTA(DA14:DC15)),"")</f>
        <v>4</v>
      </c>
      <c r="DE13" s="107" t="str">
        <f t="shared" si="24"/>
        <v>A</v>
      </c>
      <c r="DF13" s="204"/>
      <c r="DG13" s="186"/>
      <c r="DH13" s="205"/>
      <c r="DI13" s="106" t="str">
        <f>IFERROR((((COUNTIF('Elève (5ème6)'!DF14:DH15,"A"))*4)+((COUNTIF('Elève (5ème6)'!DF14:DH15,"B"))*3)+((COUNTIF('Elève (5ème6)'!DF14:DH15,"C"))*2)+((COUNTIF('Elève (5ème6)'!DF14:DH15,"D"))*1))/(COUNTA(DF14:DH15)),"")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(5ème6)'!DK14:DM15,"A"))*4)+((COUNTIF('Elève (5ème6)'!DK14:DM15,"B"))*3)+((COUNTIF('Elève (5ème6)'!DK14:DM15,"C"))*2)+((COUNTIF('Elève (5ème6)'!DK14:DM15,"D"))*1))/(COUNTA(DK14:DM15)),"")</f>
        <v/>
      </c>
      <c r="DO13" s="128" t="str">
        <f t="shared" si="26"/>
        <v/>
      </c>
      <c r="DP13" s="177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>4</v>
      </c>
      <c r="DQ13" s="130" t="str">
        <f t="shared" si="27"/>
        <v>A</v>
      </c>
      <c r="DR13" s="152"/>
      <c r="DS13" s="185"/>
      <c r="DT13" s="185"/>
      <c r="DU13" s="106">
        <f>IFERROR((((COUNTIF('Elève (5ème6)'!DR14:DT15,"A"))*4)+((COUNTIF('Elève (5ème6)'!DR14:DT15,"B"))*3)+((COUNTIF('Elève (5ème6)'!DR14:DT15,"C"))*2)+((COUNTIF('Elève (5ème6)'!DR14:DT15,"D"))*1))/(COUNTA(DR14:DT15)),"")</f>
        <v>3</v>
      </c>
      <c r="DV13" s="107" t="str">
        <f t="shared" si="28"/>
        <v>B</v>
      </c>
      <c r="DW13" s="204"/>
      <c r="DX13" s="186"/>
      <c r="DY13" s="205"/>
      <c r="DZ13" s="106" t="str">
        <f>IFERROR((((COUNTIF('Elève (5ème6)'!DW14:DY15,"A"))*4)+((COUNTIF('Elève (5ème6)'!DW14:DY15,"B"))*3)+((COUNTIF('Elève (5ème6)'!DW14:DY15,"C"))*2)+((COUNTIF('Elève (5ème6)'!DW14:DY15,"D"))*1))/(COUNTA(DW14:DY15)),"")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(5ème6)'!EB14:ED15,"A"))*4)+((COUNTIF('Elève (5ème6)'!EB14:ED15,"B"))*3)+((COUNTIF('Elève (5ème6)'!EB14:ED15,"C"))*2)+((COUNTIF('Elève (5ème6)'!EB14:ED15,"D"))*1))/(COUNTA(EB14:ED15)),"")</f>
        <v/>
      </c>
      <c r="EF13" s="128" t="str">
        <f t="shared" si="30"/>
        <v/>
      </c>
      <c r="EG13" s="177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>3</v>
      </c>
      <c r="EH13" s="130" t="str">
        <f t="shared" si="31"/>
        <v>B</v>
      </c>
      <c r="EI13" s="152"/>
      <c r="EJ13" s="185"/>
      <c r="EK13" s="185"/>
      <c r="EL13" s="106">
        <f>IFERROR((((COUNTIF('Elève (5ème6)'!EI14:EK15,"A"))*4)+((COUNTIF('Elève (5ème6)'!EI14:EK15,"B"))*3)+((COUNTIF('Elève (5ème6)'!EI14:EK15,"C"))*2)+((COUNTIF('Elève (5ème6)'!EI14:EK15,"D"))*1))/(COUNTA(EI14:EK15)),"")</f>
        <v>3</v>
      </c>
      <c r="EM13" s="107" t="str">
        <f t="shared" si="32"/>
        <v>B</v>
      </c>
      <c r="EN13" s="204"/>
      <c r="EO13" s="186"/>
      <c r="EP13" s="205"/>
      <c r="EQ13" s="106" t="str">
        <f>IFERROR((((COUNTIF('Elève (5ème6)'!EN14:EP15,"A"))*4)+((COUNTIF('Elève (5ème6)'!EN14:EP15,"B"))*3)+((COUNTIF('Elève (5ème6)'!EN14:EP15,"C"))*2)+((COUNTIF('Elève (5ème6)'!EN14:EP15,"D"))*1))/(COUNTA(EN14:EP15)),"")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(5ème6)'!ES14:EU15,"A"))*4)+((COUNTIF('Elève (5ème6)'!ES14:EU15,"B"))*3)+((COUNTIF('Elève (5ème6)'!ES14:EU15,"C"))*2)+((COUNTIF('Elève (5ème6)'!ES14:EU15,"D"))*1))/(COUNTA(ES14:EU15)),"")</f>
        <v/>
      </c>
      <c r="EW13" s="128" t="str">
        <f t="shared" si="34"/>
        <v/>
      </c>
      <c r="EX13" s="177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>3</v>
      </c>
      <c r="EY13" s="130" t="str">
        <f t="shared" si="35"/>
        <v>B</v>
      </c>
      <c r="EZ13" s="152"/>
      <c r="FA13" s="185"/>
      <c r="FB13" s="185"/>
      <c r="FC13" s="106">
        <f>IFERROR((((COUNTIF('Elève (5ème6)'!EZ14:FB15,"A"))*4)+((COUNTIF('Elève (5ème6)'!EZ14:FB15,"B"))*3)+((COUNTIF('Elève (5ème6)'!EZ14:FB15,"C"))*2)+((COUNTIF('Elève (5ème6)'!EZ14:FB15,"D"))*1))/(COUNTA(EZ14:FB15)),"")</f>
        <v>4</v>
      </c>
      <c r="FD13" s="107" t="str">
        <f t="shared" si="36"/>
        <v>A</v>
      </c>
      <c r="FE13" s="204"/>
      <c r="FF13" s="186"/>
      <c r="FG13" s="205"/>
      <c r="FH13" s="106" t="str">
        <f>IFERROR((((COUNTIF('Elève (5ème6)'!FE14:FG15,"A"))*4)+((COUNTIF('Elève (5ème6)'!FE14:FG15,"B"))*3)+((COUNTIF('Elève (5ème6)'!FE14:FG15,"C"))*2)+((COUNTIF('Elève (5ème6)'!FE14:FG15,"D"))*1))/(COUNTA(FE14:FG15)),"")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(5ème6)'!FJ14:FL15,"A"))*4)+((COUNTIF('Elève (5ème6)'!FJ14:FL15,"B"))*3)+((COUNTIF('Elève (5ème6)'!FJ14:FL15,"C"))*2)+((COUNTIF('Elève (5ème6)'!FJ14:FL15,"D"))*1))/(COUNTA(FJ14:FL15)),"")</f>
        <v/>
      </c>
      <c r="FN13" s="128" t="str">
        <f t="shared" si="38"/>
        <v/>
      </c>
      <c r="FO13" s="177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>4</v>
      </c>
      <c r="FP13" s="130" t="str">
        <f t="shared" si="39"/>
        <v>A</v>
      </c>
      <c r="FQ13" s="152"/>
      <c r="FR13" s="185"/>
      <c r="FS13" s="185"/>
      <c r="FT13" s="106">
        <f>IFERROR((((COUNTIF('Elève (5ème6)'!FQ14:FS15,"A"))*4)+((COUNTIF('Elève (5ème6)'!FQ14:FS15,"B"))*3)+((COUNTIF('Elève (5ème6)'!FQ14:FS15,"C"))*2)+((COUNTIF('Elève (5ème6)'!FQ14:FS15,"D"))*1))/(COUNTA(FQ14:FS15)),"")</f>
        <v>4</v>
      </c>
      <c r="FU13" s="107" t="str">
        <f t="shared" si="40"/>
        <v>A</v>
      </c>
      <c r="FV13" s="204"/>
      <c r="FW13" s="186"/>
      <c r="FX13" s="205"/>
      <c r="FY13" s="106" t="str">
        <f>IFERROR((((COUNTIF('Elève (5ème6)'!FV14:FX15,"A"))*4)+((COUNTIF('Elève (5ème6)'!FV14:FX15,"B"))*3)+((COUNTIF('Elève (5ème6)'!FV14:FX15,"C"))*2)+((COUNTIF('Elève (5ème6)'!FV14:FX15,"D"))*1))/(COUNTA(FV14:FX15)),"")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(5ème6)'!GA14:GC15,"A"))*4)+((COUNTIF('Elève (5ème6)'!GA14:GC15,"B"))*3)+((COUNTIF('Elève (5ème6)'!GA14:GC15,"C"))*2)+((COUNTIF('Elève (5ème6)'!GA14:GC15,"D"))*1))/(COUNTA(GA14:GC15)),"")</f>
        <v/>
      </c>
      <c r="GE13" s="128" t="str">
        <f t="shared" si="42"/>
        <v/>
      </c>
      <c r="GF13" s="177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>4</v>
      </c>
      <c r="GG13" s="130" t="str">
        <f t="shared" si="43"/>
        <v>A</v>
      </c>
      <c r="GH13" s="152"/>
      <c r="GI13" s="185"/>
      <c r="GJ13" s="185"/>
      <c r="GK13" s="106">
        <f>IFERROR((((COUNTIF('Elève (5ème6)'!GH14:GJ15,"A"))*4)+((COUNTIF('Elève (5ème6)'!GH14:GJ15,"B"))*3)+((COUNTIF('Elève (5ème6)'!GH14:GJ15,"C"))*2)+((COUNTIF('Elève (5ème6)'!GH14:GJ15,"D"))*1))/(COUNTA(GH14:GJ15)),"")</f>
        <v>2</v>
      </c>
      <c r="GL13" s="107" t="str">
        <f t="shared" si="44"/>
        <v>C</v>
      </c>
      <c r="GM13" s="204"/>
      <c r="GN13" s="186"/>
      <c r="GO13" s="205"/>
      <c r="GP13" s="106" t="str">
        <f>IFERROR((((COUNTIF('Elève (5ème6)'!GM14:GO15,"A"))*4)+((COUNTIF('Elève (5ème6)'!GM14:GO15,"B"))*3)+((COUNTIF('Elève (5ème6)'!GM14:GO15,"C"))*2)+((COUNTIF('Elève (5ème6)'!GM14:GO15,"D"))*1))/(COUNTA(GM14:GO15)),"")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(5ème6)'!GR14:GT15,"A"))*4)+((COUNTIF('Elève (5ème6)'!GR14:GT15,"B"))*3)+((COUNTIF('Elève (5ème6)'!GR14:GT15,"C"))*2)+((COUNTIF('Elève (5ème6)'!GR14:GT15,"D"))*1))/(COUNTA(GR14:GT15)),"")</f>
        <v/>
      </c>
      <c r="GV13" s="128" t="str">
        <f t="shared" si="46"/>
        <v/>
      </c>
      <c r="GW13" s="177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>2</v>
      </c>
      <c r="GX13" s="130" t="str">
        <f t="shared" si="47"/>
        <v>C</v>
      </c>
      <c r="GY13" s="152"/>
      <c r="GZ13" s="185"/>
      <c r="HA13" s="185"/>
      <c r="HB13" s="106">
        <f>IFERROR((((COUNTIF('Elève (5ème6)'!GY14:HA15,"A"))*4)+((COUNTIF('Elève (5ème6)'!GY14:HA15,"B"))*3)+((COUNTIF('Elève (5ème6)'!GY14:HA15,"C"))*2)+((COUNTIF('Elève (5ème6)'!GY14:HA15,"D"))*1))/(COUNTA(GY14:HA15)),"")</f>
        <v>3</v>
      </c>
      <c r="HC13" s="107" t="str">
        <f t="shared" si="48"/>
        <v>B</v>
      </c>
      <c r="HD13" s="204"/>
      <c r="HE13" s="186"/>
      <c r="HF13" s="205"/>
      <c r="HG13" s="106" t="str">
        <f>IFERROR((((COUNTIF('Elève (5ème6)'!HD14:HF15,"A"))*4)+((COUNTIF('Elève (5ème6)'!HD14:HF15,"B"))*3)+((COUNTIF('Elève (5ème6)'!HD14:HF15,"C"))*2)+((COUNTIF('Elève (5ème6)'!HD14:HF15,"D"))*1))/(COUNTA(HD14:HF15)),"")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(5ème6)'!HI14:HK15,"A"))*4)+((COUNTIF('Elève (5ème6)'!HI14:HK15,"B"))*3)+((COUNTIF('Elève (5ème6)'!HI14:HK15,"C"))*2)+((COUNTIF('Elève (5ème6)'!HI14:HK15,"D"))*1))/(COUNTA(HI14:HK15)),"")</f>
        <v/>
      </c>
      <c r="HM13" s="128" t="str">
        <f t="shared" si="50"/>
        <v/>
      </c>
      <c r="HN13" s="177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>3</v>
      </c>
      <c r="HO13" s="130" t="str">
        <f t="shared" si="51"/>
        <v>B</v>
      </c>
      <c r="HP13" s="152"/>
      <c r="HQ13" s="185"/>
      <c r="HR13" s="185"/>
      <c r="HS13" s="106">
        <f>IFERROR((((COUNTIF('Elève (5ème6)'!HP14:HR15,"A"))*4)+((COUNTIF('Elève (5ème6)'!HP14:HR15,"B"))*3)+((COUNTIF('Elève (5ème6)'!HP14:HR15,"C"))*2)+((COUNTIF('Elève (5ème6)'!HP14:HR15,"D"))*1))/(COUNTA(HP14:HR15)),"")</f>
        <v>4</v>
      </c>
      <c r="HT13" s="107" t="str">
        <f t="shared" si="52"/>
        <v>A</v>
      </c>
      <c r="HU13" s="204"/>
      <c r="HV13" s="186"/>
      <c r="HW13" s="205"/>
      <c r="HX13" s="106" t="str">
        <f>IFERROR((((COUNTIF('Elève (5ème6)'!HU14:HW15,"A"))*4)+((COUNTIF('Elève (5ème6)'!HU14:HW15,"B"))*3)+((COUNTIF('Elève (5ème6)'!HU14:HW15,"C"))*2)+((COUNTIF('Elève (5ème6)'!HU14:HW15,"D"))*1))/(COUNTA(HU14:HW15)),"")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(5ème6)'!HZ14:IB15,"A"))*4)+((COUNTIF('Elève (5ème6)'!HZ14:IB15,"B"))*3)+((COUNTIF('Elève (5ème6)'!HZ14:IB15,"C"))*2)+((COUNTIF('Elève (5ème6)'!HZ14:IB15,"D"))*1))/(COUNTA(HZ14:IB15)),"")</f>
        <v/>
      </c>
      <c r="ID13" s="128" t="str">
        <f t="shared" si="54"/>
        <v/>
      </c>
      <c r="IE13" s="177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>4</v>
      </c>
      <c r="IF13" s="130" t="str">
        <f t="shared" si="55"/>
        <v>A</v>
      </c>
      <c r="IG13" s="152"/>
      <c r="IH13" s="185"/>
      <c r="II13" s="185"/>
      <c r="IJ13" s="106">
        <f>IFERROR((((COUNTIF('Elève (5ème6)'!IG14:II15,"A"))*4)+((COUNTIF('Elève (5ème6)'!IG14:II15,"B"))*3)+((COUNTIF('Elève (5ème6)'!IG14:II15,"C"))*2)+((COUNTIF('Elève (5ème6)'!IG14:II15,"D"))*1))/(COUNTA(IG14:II15)),"")</f>
        <v>4</v>
      </c>
      <c r="IK13" s="107" t="str">
        <f t="shared" si="56"/>
        <v>A</v>
      </c>
      <c r="IL13" s="204"/>
      <c r="IM13" s="186"/>
      <c r="IN13" s="205"/>
      <c r="IO13" s="106" t="str">
        <f>IFERROR((((COUNTIF('Elève (5ème6)'!IL14:IN15,"A"))*4)+((COUNTIF('Elève (5ème6)'!IL14:IN15,"B"))*3)+((COUNTIF('Elève (5ème6)'!IL14:IN15,"C"))*2)+((COUNTIF('Elève (5ème6)'!IL14:IN15,"D"))*1))/(COUNTA(IL14:IN15)),"")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(5ème6)'!IQ14:IS15,"A"))*4)+((COUNTIF('Elève (5ème6)'!IQ14:IS15,"B"))*3)+((COUNTIF('Elève (5ème6)'!IQ14:IS15,"C"))*2)+((COUNTIF('Elève (5ème6)'!IQ14:IS15,"D"))*1))/(COUNTA(IQ14:IS15)),"")</f>
        <v/>
      </c>
      <c r="IU13" s="128" t="str">
        <f t="shared" si="58"/>
        <v/>
      </c>
      <c r="IV13" s="177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>4</v>
      </c>
      <c r="IW13" s="130" t="str">
        <f t="shared" si="59"/>
        <v>A</v>
      </c>
      <c r="IX13" s="152"/>
      <c r="IY13" s="185"/>
      <c r="IZ13" s="185"/>
      <c r="JA13" s="106">
        <f>IFERROR((((COUNTIF('Elève (5ème6)'!IX14:IZ15,"A"))*4)+((COUNTIF('Elève (5ème6)'!IX14:IZ15,"B"))*3)+((COUNTIF('Elève (5ème6)'!IX14:IZ15,"C"))*2)+((COUNTIF('Elève (5ème6)'!IX14:IZ15,"D"))*1))/(COUNTA(IX14:IZ15)),"")</f>
        <v>4</v>
      </c>
      <c r="JB13" s="107" t="str">
        <f t="shared" si="60"/>
        <v>A</v>
      </c>
      <c r="JC13" s="204"/>
      <c r="JD13" s="186"/>
      <c r="JE13" s="205"/>
      <c r="JF13" s="106" t="str">
        <f>IFERROR((((COUNTIF('Elève (5ème6)'!JC14:JE15,"A"))*4)+((COUNTIF('Elève (5ème6)'!JC14:JE15,"B"))*3)+((COUNTIF('Elève (5ème6)'!JC14:JE15,"C"))*2)+((COUNTIF('Elève (5ème6)'!JC14:JE15,"D"))*1))/(COUNTA(JC14:JE15)),"")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(5ème6)'!JH14:JJ15,"A"))*4)+((COUNTIF('Elève (5ème6)'!JH14:JJ15,"B"))*3)+((COUNTIF('Elève (5ème6)'!JH14:JJ15,"C"))*2)+((COUNTIF('Elève (5ème6)'!JH14:JJ15,"D"))*1))/(COUNTA(JH14:JJ15)),"")</f>
        <v/>
      </c>
      <c r="JL13" s="128" t="str">
        <f t="shared" si="62"/>
        <v/>
      </c>
      <c r="JM13" s="177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>4</v>
      </c>
      <c r="JN13" s="130" t="str">
        <f t="shared" si="63"/>
        <v>A</v>
      </c>
      <c r="JO13" s="152"/>
      <c r="JP13" s="185"/>
      <c r="JQ13" s="185"/>
      <c r="JR13" s="106">
        <f>IFERROR((((COUNTIF('Elève (5ème6)'!JO14:JQ15,"A"))*4)+((COUNTIF('Elève (5ème6)'!JO14:JQ15,"B"))*3)+((COUNTIF('Elève (5ème6)'!JO14:JQ15,"C"))*2)+((COUNTIF('Elève (5ème6)'!JO14:JQ15,"D"))*1))/(COUNTA(JO14:JQ15)),"")</f>
        <v>3</v>
      </c>
      <c r="JS13" s="107" t="str">
        <f t="shared" si="64"/>
        <v>B</v>
      </c>
      <c r="JT13" s="204"/>
      <c r="JU13" s="186"/>
      <c r="JV13" s="205"/>
      <c r="JW13" s="106" t="str">
        <f>IFERROR((((COUNTIF('Elève (5ème6)'!JT14:JV15,"A"))*4)+((COUNTIF('Elève (5ème6)'!JT14:JV15,"B"))*3)+((COUNTIF('Elève (5ème6)'!JT14:JV15,"C"))*2)+((COUNTIF('Elève (5ème6)'!JT14:JV15,"D"))*1))/(COUNTA(JT14:JV15)),"")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(5ème6)'!JY14:KA15,"A"))*4)+((COUNTIF('Elève (5ème6)'!JY14:KA15,"B"))*3)+((COUNTIF('Elève (5ème6)'!JY14:KA15,"C"))*2)+((COUNTIF('Elève (5ème6)'!JY14:KA15,"D"))*1))/(COUNTA(JY14:KA15)),"")</f>
        <v/>
      </c>
      <c r="KC13" s="128" t="str">
        <f t="shared" si="66"/>
        <v/>
      </c>
      <c r="KD13" s="177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>3</v>
      </c>
      <c r="KE13" s="130" t="str">
        <f t="shared" si="67"/>
        <v>B</v>
      </c>
      <c r="KF13" s="152"/>
      <c r="KG13" s="185"/>
      <c r="KH13" s="185"/>
      <c r="KI13" s="106">
        <f>IFERROR((((COUNTIF('Elève (5ème6)'!KF14:KH15,"A"))*4)+((COUNTIF('Elève (5ème6)'!KF14:KH15,"B"))*3)+((COUNTIF('Elève (5ème6)'!KF14:KH15,"C"))*2)+((COUNTIF('Elève (5ème6)'!KF14:KH15,"D"))*1))/(COUNTA(KF14:KH15)),"")</f>
        <v>2</v>
      </c>
      <c r="KJ13" s="107" t="str">
        <f t="shared" si="68"/>
        <v>C</v>
      </c>
      <c r="KK13" s="204"/>
      <c r="KL13" s="186"/>
      <c r="KM13" s="205"/>
      <c r="KN13" s="106" t="str">
        <f>IFERROR((((COUNTIF('Elève (5ème6)'!KK14:KM15,"A"))*4)+((COUNTIF('Elève (5ème6)'!KK14:KM15,"B"))*3)+((COUNTIF('Elève (5ème6)'!KK14:KM15,"C"))*2)+((COUNTIF('Elève (5ème6)'!KK14:KM15,"D"))*1))/(COUNTA(KK14:KM15)),"")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(5ème6)'!KP14:KR15,"A"))*4)+((COUNTIF('Elève (5ème6)'!KP14:KR15,"B"))*3)+((COUNTIF('Elève (5ème6)'!KP14:KR15,"C"))*2)+((COUNTIF('Elève (5ème6)'!KP14:KR15,"D"))*1))/(COUNTA(KP14:KR15)),"")</f>
        <v/>
      </c>
      <c r="KT13" s="128" t="str">
        <f t="shared" si="70"/>
        <v/>
      </c>
      <c r="KU13" s="177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>2</v>
      </c>
      <c r="KV13" s="130" t="str">
        <f t="shared" si="71"/>
        <v>C</v>
      </c>
      <c r="KW13" s="152"/>
      <c r="KX13" s="185"/>
      <c r="KY13" s="185"/>
      <c r="KZ13" s="106">
        <f>IFERROR((((COUNTIF('Elève (5ème6)'!KW14:KY15,"A"))*4)+((COUNTIF('Elève (5ème6)'!KW14:KY15,"B"))*3)+((COUNTIF('Elève (5ème6)'!KW14:KY15,"C"))*2)+((COUNTIF('Elève (5ème6)'!KW14:KY15,"D"))*1))/(COUNTA(KW14:KY15)),"")</f>
        <v>4</v>
      </c>
      <c r="LA13" s="107" t="str">
        <f t="shared" si="72"/>
        <v>A</v>
      </c>
      <c r="LB13" s="204"/>
      <c r="LC13" s="186"/>
      <c r="LD13" s="205"/>
      <c r="LE13" s="106" t="str">
        <f>IFERROR((((COUNTIF('Elève (5ème6)'!LB14:LD15,"A"))*4)+((COUNTIF('Elève (5ème6)'!LB14:LD15,"B"))*3)+((COUNTIF('Elève (5ème6)'!LB14:LD15,"C"))*2)+((COUNTIF('Elève (5ème6)'!LB14:LD15,"D"))*1))/(COUNTA(LB14:LD15)),"")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(5ème6)'!LG14:LI15,"A"))*4)+((COUNTIF('Elève (5ème6)'!LG14:LI15,"B"))*3)+((COUNTIF('Elève (5ème6)'!LG14:LI15,"C"))*2)+((COUNTIF('Elève (5ème6)'!LG14:LI15,"D"))*1))/(COUNTA(LG14:LI15)),"")</f>
        <v/>
      </c>
      <c r="LK13" s="128" t="str">
        <f t="shared" si="74"/>
        <v/>
      </c>
      <c r="LL13" s="177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>4</v>
      </c>
      <c r="LM13" s="130" t="str">
        <f t="shared" si="75"/>
        <v>A</v>
      </c>
      <c r="LN13" s="152"/>
      <c r="LO13" s="185"/>
      <c r="LP13" s="185"/>
      <c r="LQ13" s="106">
        <f>IFERROR((((COUNTIF('Elève (5ème6)'!LN14:LP15,"A"))*4)+((COUNTIF('Elève (5ème6)'!LN14:LP15,"B"))*3)+((COUNTIF('Elève (5ème6)'!LN14:LP15,"C"))*2)+((COUNTIF('Elève (5ème6)'!LN14:LP15,"D"))*1))/(COUNTA(LN14:LP15)),"")</f>
        <v>4</v>
      </c>
      <c r="LR13" s="107" t="str">
        <f t="shared" si="76"/>
        <v>A</v>
      </c>
      <c r="LS13" s="204"/>
      <c r="LT13" s="186"/>
      <c r="LU13" s="205"/>
      <c r="LV13" s="106" t="str">
        <f>IFERROR((((COUNTIF('Elève (5ème6)'!LS14:LU15,"A"))*4)+((COUNTIF('Elève (5ème6)'!LS14:LU15,"B"))*3)+((COUNTIF('Elève (5ème6)'!LS14:LU15,"C"))*2)+((COUNTIF('Elève (5ème6)'!LS14:LU15,"D"))*1))/(COUNTA(LS14:LU15)),"")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(5ème6)'!LX14:LZ15,"A"))*4)+((COUNTIF('Elève (5ème6)'!LX14:LZ15,"B"))*3)+((COUNTIF('Elève (5ème6)'!LX14:LZ15,"C"))*2)+((COUNTIF('Elève (5ème6)'!LX14:LZ15,"D"))*1))/(COUNTA(LX14:LZ15)),"")</f>
        <v/>
      </c>
      <c r="MB13" s="128" t="str">
        <f t="shared" si="78"/>
        <v/>
      </c>
      <c r="MC13" s="177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>4</v>
      </c>
      <c r="MD13" s="130" t="str">
        <f t="shared" si="79"/>
        <v>A</v>
      </c>
      <c r="ME13" s="152"/>
      <c r="MF13" s="185"/>
      <c r="MG13" s="185"/>
      <c r="MH13" s="106">
        <f>IFERROR((((COUNTIF('Elève (5ème6)'!ME14:MG15,"A"))*4)+((COUNTIF('Elève (5ème6)'!ME14:MG15,"B"))*3)+((COUNTIF('Elève (5ème6)'!ME14:MG15,"C"))*2)+((COUNTIF('Elève (5ème6)'!ME14:MG15,"D"))*1))/(COUNTA(ME14:MG15)),"")</f>
        <v>2</v>
      </c>
      <c r="MI13" s="107" t="str">
        <f t="shared" si="80"/>
        <v>C</v>
      </c>
      <c r="MJ13" s="204"/>
      <c r="MK13" s="186"/>
      <c r="ML13" s="205"/>
      <c r="MM13" s="106" t="str">
        <f>IFERROR((((COUNTIF('Elève (5ème6)'!MJ14:ML15,"A"))*4)+((COUNTIF('Elève (5ème6)'!MJ14:ML15,"B"))*3)+((COUNTIF('Elève (5ème6)'!MJ14:ML15,"C"))*2)+((COUNTIF('Elève (5ème6)'!MJ14:ML15,"D"))*1))/(COUNTA(MJ14:ML15)),"")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(5ème6)'!MO14:MQ15,"A"))*4)+((COUNTIF('Elève (5ème6)'!MO14:MQ15,"B"))*3)+((COUNTIF('Elève (5ème6)'!MO14:MQ15,"C"))*2)+((COUNTIF('Elève (5ème6)'!MO14:MQ15,"D"))*1))/(COUNTA(MO14:MQ15)),"")</f>
        <v/>
      </c>
      <c r="MS13" s="128" t="str">
        <f t="shared" si="82"/>
        <v/>
      </c>
      <c r="MT13" s="177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>2</v>
      </c>
      <c r="MU13" s="130" t="str">
        <f t="shared" si="83"/>
        <v>C</v>
      </c>
      <c r="MV13" s="152"/>
      <c r="MW13" s="185"/>
      <c r="MX13" s="185"/>
      <c r="MY13" s="106">
        <f>IFERROR((((COUNTIF('Elève (5ème6)'!MV14:MX15,"A"))*4)+((COUNTIF('Elève (5ème6)'!MV14:MX15,"B"))*3)+((COUNTIF('Elève (5ème6)'!MV14:MX15,"C"))*2)+((COUNTIF('Elève (5ème6)'!MV14:MX15,"D"))*1))/(COUNTA(MV14:MX15)),"")</f>
        <v>4</v>
      </c>
      <c r="MZ13" s="107" t="str">
        <f t="shared" si="84"/>
        <v>A</v>
      </c>
      <c r="NA13" s="204"/>
      <c r="NB13" s="186"/>
      <c r="NC13" s="205"/>
      <c r="ND13" s="106" t="str">
        <f>IFERROR((((COUNTIF('Elève (5ème6)'!NA14:NC15,"A"))*4)+((COUNTIF('Elève (5ème6)'!NA14:NC15,"B"))*3)+((COUNTIF('Elève (5ème6)'!NA14:NC15,"C"))*2)+((COUNTIF('Elève (5ème6)'!NA14:NC15,"D"))*1))/(COUNTA(NA14:NC15)),"")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(5ème6)'!NF14:NH15,"A"))*4)+((COUNTIF('Elève (5ème6)'!NF14:NH15,"B"))*3)+((COUNTIF('Elève (5ème6)'!NF14:NH15,"C"))*2)+((COUNTIF('Elève (5ème6)'!NF14:NH15,"D"))*1))/(COUNTA(NF14:NH15)),"")</f>
        <v/>
      </c>
      <c r="NJ13" s="128" t="str">
        <f t="shared" si="86"/>
        <v/>
      </c>
      <c r="NK13" s="177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>4</v>
      </c>
      <c r="NL13" s="130" t="str">
        <f t="shared" si="87"/>
        <v>A</v>
      </c>
      <c r="NM13" s="152"/>
      <c r="NN13" s="185"/>
      <c r="NO13" s="185"/>
      <c r="NP13" s="106">
        <f>IFERROR((((COUNTIF('Elève (5ème6)'!NM14:NO15,"A"))*4)+((COUNTIF('Elève (5ème6)'!NM14:NO15,"B"))*3)+((COUNTIF('Elève (5ème6)'!NM14:NO15,"C"))*2)+((COUNTIF('Elève (5ème6)'!NM14:NO15,"D"))*1))/(COUNTA(NM14:NO15)),"")</f>
        <v>4</v>
      </c>
      <c r="NQ13" s="107" t="str">
        <f t="shared" si="88"/>
        <v>A</v>
      </c>
      <c r="NR13" s="204"/>
      <c r="NS13" s="186"/>
      <c r="NT13" s="205"/>
      <c r="NU13" s="106" t="str">
        <f>IFERROR((((COUNTIF('Elève (5ème6)'!NR14:NT15,"A"))*4)+((COUNTIF('Elève (5ème6)'!NR14:NT15,"B"))*3)+((COUNTIF('Elève (5ème6)'!NR14:NT15,"C"))*2)+((COUNTIF('Elève (5ème6)'!NR14:NT15,"D"))*1))/(COUNTA(NR14:NT15)),"")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(5ème6)'!NW14:NY15,"A"))*4)+((COUNTIF('Elève (5ème6)'!NW14:NY15,"B"))*3)+((COUNTIF('Elève (5ème6)'!NW14:NY15,"C"))*2)+((COUNTIF('Elève (5ème6)'!NW14:NY15,"D"))*1))/(COUNTA(NW14:NY15)),"")</f>
        <v/>
      </c>
      <c r="OA13" s="128" t="str">
        <f t="shared" si="90"/>
        <v/>
      </c>
      <c r="OB13" s="177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>4</v>
      </c>
      <c r="OC13" s="130" t="str">
        <f t="shared" si="91"/>
        <v>A</v>
      </c>
      <c r="OD13" s="152"/>
      <c r="OE13" s="185"/>
      <c r="OF13" s="185"/>
      <c r="OG13" s="106">
        <f>IFERROR((((COUNTIF('Elève (5ème6)'!OD14:OF15,"A"))*4)+((COUNTIF('Elève (5ème6)'!OD14:OF15,"B"))*3)+((COUNTIF('Elève (5ème6)'!OD14:OF15,"C"))*2)+((COUNTIF('Elève (5ème6)'!OD14:OF15,"D"))*1))/(COUNTA(OD14:OF15)),"")</f>
        <v>4</v>
      </c>
      <c r="OH13" s="107" t="str">
        <f t="shared" si="92"/>
        <v>A</v>
      </c>
      <c r="OI13" s="204"/>
      <c r="OJ13" s="186"/>
      <c r="OK13" s="205"/>
      <c r="OL13" s="106" t="str">
        <f>IFERROR((((COUNTIF('Elève (5ème6)'!OI14:OK15,"A"))*4)+((COUNTIF('Elève (5ème6)'!OI14:OK15,"B"))*3)+((COUNTIF('Elève (5ème6)'!OI14:OK15,"C"))*2)+((COUNTIF('Elève (5ème6)'!OI14:OK15,"D"))*1))/(COUNTA(OI14:OK15)),"")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(5ème6)'!ON14:OP15,"A"))*4)+((COUNTIF('Elève (5ème6)'!ON14:OP15,"B"))*3)+((COUNTIF('Elève (5ème6)'!ON14:OP15,"C"))*2)+((COUNTIF('Elève (5ème6)'!ON14:OP15,"D"))*1))/(COUNTA(ON14:OP15)),"")</f>
        <v/>
      </c>
      <c r="OR13" s="128" t="str">
        <f t="shared" si="94"/>
        <v/>
      </c>
      <c r="OS13" s="177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>4</v>
      </c>
      <c r="OT13" s="130" t="str">
        <f t="shared" si="95"/>
        <v>A</v>
      </c>
      <c r="OU13" s="152"/>
      <c r="OV13" s="185"/>
      <c r="OW13" s="185"/>
      <c r="OX13" s="106">
        <f>IFERROR((((COUNTIF('Elève (5ème6)'!OU14:OW15,"A"))*4)+((COUNTIF('Elève (5ème6)'!OU14:OW15,"B"))*3)+((COUNTIF('Elève (5ème6)'!OU14:OW15,"C"))*2)+((COUNTIF('Elève (5ème6)'!OU14:OW15,"D"))*1))/(COUNTA(OU14:OW15)),"")</f>
        <v>4</v>
      </c>
      <c r="OY13" s="107" t="str">
        <f t="shared" si="96"/>
        <v>A</v>
      </c>
      <c r="OZ13" s="204"/>
      <c r="PA13" s="186"/>
      <c r="PB13" s="205"/>
      <c r="PC13" s="106" t="str">
        <f>IFERROR((((COUNTIF('Elève (5ème6)'!OZ14:PB15,"A"))*4)+((COUNTIF('Elève (5ème6)'!OZ14:PB15,"B"))*3)+((COUNTIF('Elève (5ème6)'!OZ14:PB15,"C"))*2)+((COUNTIF('Elève (5ème6)'!OZ14:PB15,"D"))*1))/(COUNTA(OZ14:PB15)),"")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(5ème6)'!PE14:PG15,"A"))*4)+((COUNTIF('Elève (5ème6)'!PE14:PG15,"B"))*3)+((COUNTIF('Elève (5ème6)'!PE14:PG15,"C"))*2)+((COUNTIF('Elève (5ème6)'!PE14:PG15,"D"))*1))/(COUNTA(PE14:PG15)),"")</f>
        <v/>
      </c>
      <c r="PI13" s="128" t="str">
        <f t="shared" si="98"/>
        <v/>
      </c>
      <c r="PJ13" s="177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>4</v>
      </c>
      <c r="PK13" s="130" t="str">
        <f t="shared" si="99"/>
        <v>A</v>
      </c>
      <c r="PL13" s="152"/>
      <c r="PM13" s="185"/>
      <c r="PN13" s="185"/>
      <c r="PO13" s="106">
        <f>IFERROR((((COUNTIF('Elève (5ème6)'!PL14:PN15,"A"))*4)+((COUNTIF('Elève (5ème6)'!PL14:PN15,"B"))*3)+((COUNTIF('Elève (5ème6)'!PL14:PN15,"C"))*2)+((COUNTIF('Elève (5ème6)'!PL14:PN15,"D"))*1))/(COUNTA(PL14:PN15)),"")</f>
        <v>4</v>
      </c>
      <c r="PP13" s="107" t="str">
        <f t="shared" si="100"/>
        <v>A</v>
      </c>
      <c r="PQ13" s="204"/>
      <c r="PR13" s="186"/>
      <c r="PS13" s="205"/>
      <c r="PT13" s="106" t="str">
        <f>IFERROR((((COUNTIF('Elève (5ème6)'!PQ14:PS15,"A"))*4)+((COUNTIF('Elève (5ème6)'!PQ14:PS15,"B"))*3)+((COUNTIF('Elève (5ème6)'!PQ14:PS15,"C"))*2)+((COUNTIF('Elève (5ème6)'!PQ14:PS15,"D"))*1))/(COUNTA(PQ14:PS15)),"")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(5ème6)'!PV14:PX15,"A"))*4)+((COUNTIF('Elève (5ème6)'!PV14:PX15,"B"))*3)+((COUNTIF('Elève (5ème6)'!PV14:PX15,"C"))*2)+((COUNTIF('Elève (5ème6)'!PV14:PX15,"D"))*1))/(COUNTA(PV14:PX15)),"")</f>
        <v/>
      </c>
      <c r="PZ13" s="128" t="str">
        <f t="shared" si="102"/>
        <v/>
      </c>
      <c r="QA13" s="177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>4</v>
      </c>
      <c r="QB13" s="130" t="str">
        <f t="shared" si="103"/>
        <v>A</v>
      </c>
      <c r="QC13" s="152"/>
      <c r="QD13" s="185"/>
      <c r="QE13" s="185"/>
      <c r="QF13" s="106">
        <f>IFERROR((((COUNTIF('Elève (5ème6)'!QC14:QE15,"A"))*4)+((COUNTIF('Elève (5ème6)'!QC14:QE15,"B"))*3)+((COUNTIF('Elève (5ème6)'!QC14:QE15,"C"))*2)+((COUNTIF('Elève (5ème6)'!QC14:QE15,"D"))*1))/(COUNTA(QC14:QE15)),"")</f>
        <v>4</v>
      </c>
      <c r="QG13" s="107" t="str">
        <f t="shared" si="104"/>
        <v>A</v>
      </c>
      <c r="QH13" s="204"/>
      <c r="QI13" s="186"/>
      <c r="QJ13" s="205"/>
      <c r="QK13" s="106" t="str">
        <f>IFERROR((((COUNTIF('Elève (5ème6)'!QH14:QJ15,"A"))*4)+((COUNTIF('Elève (5ème6)'!QH14:QJ15,"B"))*3)+((COUNTIF('Elève (5ème6)'!QH14:QJ15,"C"))*2)+((COUNTIF('Elève (5ème6)'!QH14:QJ15,"D"))*1))/(COUNTA(QH14:QJ15)),"")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(5ème6)'!QM14:QO15,"A"))*4)+((COUNTIF('Elève (5ème6)'!QM14:QO15,"B"))*3)+((COUNTIF('Elève (5ème6)'!QM14:QO15,"C"))*2)+((COUNTIF('Elève (5ème6)'!QM14:QO15,"D"))*1))/(COUNTA(QM14:QO15)),"")</f>
        <v/>
      </c>
      <c r="QQ13" s="128" t="str">
        <f t="shared" si="106"/>
        <v/>
      </c>
      <c r="QR13" s="177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>4</v>
      </c>
      <c r="QS13" s="130" t="str">
        <f t="shared" si="107"/>
        <v>A</v>
      </c>
      <c r="QT13" s="152"/>
      <c r="QU13" s="185"/>
      <c r="QV13" s="185"/>
      <c r="QW13" s="106">
        <f>IFERROR((((COUNTIF('Elève (5ème6)'!QT14:QV15,"A"))*4)+((COUNTIF('Elève (5ème6)'!QT14:QV15,"B"))*3)+((COUNTIF('Elève (5ème6)'!QT14:QV15,"C"))*2)+((COUNTIF('Elève (5ème6)'!QT14:QV15,"D"))*1))/(COUNTA(QT14:QV15)),"")</f>
        <v>4</v>
      </c>
      <c r="QX13" s="107" t="str">
        <f t="shared" si="108"/>
        <v>A</v>
      </c>
      <c r="QY13" s="204"/>
      <c r="QZ13" s="186"/>
      <c r="RA13" s="205"/>
      <c r="RB13" s="106" t="str">
        <f>IFERROR((((COUNTIF('Elève (5ème6)'!QY14:RA15,"A"))*4)+((COUNTIF('Elève (5ème6)'!QY14:RA15,"B"))*3)+((COUNTIF('Elève (5ème6)'!QY14:RA15,"C"))*2)+((COUNTIF('Elève (5ème6)'!QY14:RA15,"D"))*1))/(COUNTA(QY14:RA15)),"")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(5ème6)'!RD14:RF15,"A"))*4)+((COUNTIF('Elève (5ème6)'!RD14:RF15,"B"))*3)+((COUNTIF('Elève (5ème6)'!RD14:RF15,"C"))*2)+((COUNTIF('Elève (5ème6)'!RD14:RF15,"D"))*1))/(COUNTA(RD14:RF15)),"")</f>
        <v/>
      </c>
      <c r="RH13" s="128" t="str">
        <f t="shared" si="110"/>
        <v/>
      </c>
      <c r="RI13" s="177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>4</v>
      </c>
      <c r="RJ13" s="130" t="str">
        <f t="shared" si="111"/>
        <v>A</v>
      </c>
      <c r="RK13" s="152"/>
      <c r="RL13" s="185"/>
      <c r="RM13" s="185"/>
      <c r="RN13" s="106">
        <f>IFERROR((((COUNTIF('Elève (5ème6)'!RK14:RM15,"A"))*4)+((COUNTIF('Elève (5ème6)'!RK14:RM15,"B"))*3)+((COUNTIF('Elève (5ème6)'!RK14:RM15,"C"))*2)+((COUNTIF('Elève (5ème6)'!RK14:RM15,"D"))*1))/(COUNTA(RK14:RM15)),"")</f>
        <v>3</v>
      </c>
      <c r="RO13" s="107" t="str">
        <f t="shared" si="112"/>
        <v>B</v>
      </c>
      <c r="RP13" s="204"/>
      <c r="RQ13" s="186"/>
      <c r="RR13" s="205"/>
      <c r="RS13" s="106" t="str">
        <f>IFERROR((((COUNTIF('Elève (5ème6)'!RP14:RR15,"A"))*4)+((COUNTIF('Elève (5ème6)'!RP14:RR15,"B"))*3)+((COUNTIF('Elève (5ème6)'!RP14:RR15,"C"))*2)+((COUNTIF('Elève (5ème6)'!RP14:RR15,"D"))*1))/(COUNTA(RP14:RR15)),"")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(5ème6)'!RU14:RW15,"A"))*4)+((COUNTIF('Elève (5ème6)'!RU14:RW15,"B"))*3)+((COUNTIF('Elève (5ème6)'!RU14:RW15,"C"))*2)+((COUNTIF('Elève (5ème6)'!RU14:RW15,"D"))*1))/(COUNTA(RU14:RW15)),"")</f>
        <v/>
      </c>
      <c r="RY13" s="128" t="str">
        <f t="shared" si="114"/>
        <v/>
      </c>
      <c r="RZ13" s="177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>3</v>
      </c>
      <c r="SA13" s="130" t="str">
        <f t="shared" si="115"/>
        <v>B</v>
      </c>
      <c r="SB13" s="152"/>
      <c r="SC13" s="185"/>
      <c r="SD13" s="185"/>
      <c r="SE13" s="106" t="str">
        <f>IFERROR((((COUNTIF('Elève (5ème6)'!SB14:SD15,"A"))*4)+((COUNTIF('Elève (5ème6)'!SB14:SD15,"B"))*3)+((COUNTIF('Elève (5ème6)'!SB14:SD15,"C"))*2)+((COUNTIF('Elève (5ème6)'!SB14:SD15,"D"))*1))/(COUNTA(SB14:SD15)),"")</f>
        <v/>
      </c>
      <c r="SF13" s="107" t="str">
        <f t="shared" si="116"/>
        <v/>
      </c>
      <c r="SG13" s="204"/>
      <c r="SH13" s="186"/>
      <c r="SI13" s="205"/>
      <c r="SJ13" s="106" t="str">
        <f>IFERROR((((COUNTIF('Elève (5ème6)'!SG14:SI15,"A"))*4)+((COUNTIF('Elève (5ème6)'!SG14:SI15,"B"))*3)+((COUNTIF('Elève (5ème6)'!SG14:SI15,"C"))*2)+((COUNTIF('Elève (5ème6)'!SG14:SI15,"D"))*1))/(COUNTA(SG14:SI15)),"")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(5ème6)'!SL14:SN15,"A"))*4)+((COUNTIF('Elève (5ème6)'!SL14:SN15,"B"))*3)+((COUNTIF('Elève (5ème6)'!SL14:SN15,"C"))*2)+((COUNTIF('Elève (5ème6)'!SL14:SN15,"D"))*1))/(COUNTA(SL14:SN15)),"")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1" t="s">
        <v>19</v>
      </c>
      <c r="B14" s="222"/>
      <c r="C14" s="156" t="s">
        <v>28</v>
      </c>
      <c r="D14" s="157"/>
      <c r="E14" s="158"/>
      <c r="F14" s="108">
        <f>IFERROR((((COUNTIF('Elève (5ème6)'!C14:E14,"A"))*4)+((COUNTIF('Elève (5ème6)'!C14:E14,"B"))*3)+((COUNTIF('Elève (5ème6)'!C14:E14,"C"))*2)+((COUNTIF('Elève (5ème6)'!C14:E14,"D"))*1))/(COUNTA(C14:E14)),"")</f>
        <v>3</v>
      </c>
      <c r="G14" s="109" t="str">
        <f t="shared" si="0"/>
        <v>B</v>
      </c>
      <c r="H14" s="81"/>
      <c r="I14" s="82"/>
      <c r="J14" s="83"/>
      <c r="K14" s="108" t="str">
        <f>IFERROR((((COUNTIF('Elève (5ème6)'!H14:J14,"A"))*4)+((COUNTIF('Elève (5ème6)'!H14:J14,"B"))*3)+((COUNTIF('Elève (5ème6)'!H14:J14,"C"))*2)+((COUNTIF('Elève (5ème6)'!H14:J14,"D"))*1))/(COUNTA(H14:J14)),"")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(5ème6)'!M14:O14,"A"))*4)+((COUNTIF('Elève (5ème6)'!M14:O14,"B"))*3)+((COUNTIF('Elève (5ème6)'!M14:O14,"C"))*2)+((COUNTIF('Elève (5ème6)'!M14:O14,"D"))*1))/(COUNTA(M14:O14)),"")</f>
        <v/>
      </c>
      <c r="Q14" s="139" t="str">
        <f t="shared" si="2"/>
        <v/>
      </c>
      <c r="R14" s="178">
        <f>IF(COUNT(F14,K14,P14)=0,"",SUM(F14,K14,P14)/COUNT(F14,K14,P14))</f>
        <v>3</v>
      </c>
      <c r="S14" s="131" t="str">
        <f t="shared" si="3"/>
        <v>B</v>
      </c>
      <c r="T14" s="156" t="s">
        <v>27</v>
      </c>
      <c r="U14" s="157"/>
      <c r="V14" s="158"/>
      <c r="W14" s="108">
        <f>IFERROR((((COUNTIF('Elève (5ème6)'!T14:V14,"A"))*4)+((COUNTIF('Elève (5ème6)'!T14:V14,"B"))*3)+((COUNTIF('Elève (5ème6)'!T14:V14,"C"))*2)+((COUNTIF('Elève (5ème6)'!T14:V14,"D"))*1))/(COUNTA(T14:V14)),"")</f>
        <v>4</v>
      </c>
      <c r="X14" s="109" t="str">
        <f t="shared" si="4"/>
        <v>A</v>
      </c>
      <c r="Y14" s="81"/>
      <c r="Z14" s="82"/>
      <c r="AA14" s="83"/>
      <c r="AB14" s="108" t="str">
        <f>IFERROR((((COUNTIF('Elève (5ème6)'!Y14:AA14,"A"))*4)+((COUNTIF('Elève (5ème6)'!Y14:AA14,"B"))*3)+((COUNTIF('Elève (5ème6)'!Y14:AA14,"C"))*2)+((COUNTIF('Elève (5ème6)'!Y14:AA14,"D"))*1))/(COUNTA(Y14:AA14)),"")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(5ème6)'!AD14:AF14,"A"))*4)+((COUNTIF('Elève (5ème6)'!AD14:AF14,"B"))*3)+((COUNTIF('Elève (5ème6)'!AD14:AF14,"C"))*2)+((COUNTIF('Elève (5ème6)'!AD14:AF14,"D"))*1))/(COUNTA(AD14:AF14)),"")</f>
        <v/>
      </c>
      <c r="AH14" s="139" t="str">
        <f t="shared" si="6"/>
        <v/>
      </c>
      <c r="AI14" s="178">
        <f>IF(COUNT(W14,AB14,AG14)=0,"",SUM(W14,AB14,AG14)/COUNT(W14,AB14,AG14))</f>
        <v>4</v>
      </c>
      <c r="AJ14" s="131" t="str">
        <f t="shared" si="7"/>
        <v>A</v>
      </c>
      <c r="AK14" s="156" t="s">
        <v>29</v>
      </c>
      <c r="AL14" s="157"/>
      <c r="AM14" s="158"/>
      <c r="AN14" s="108">
        <f>IFERROR((((COUNTIF('Elève (5ème6)'!AK14:AM14,"A"))*4)+((COUNTIF('Elève (5ème6)'!AK14:AM14,"B"))*3)+((COUNTIF('Elève (5ème6)'!AK14:AM14,"C"))*2)+((COUNTIF('Elève (5ème6)'!AK14:AM14,"D"))*1))/(COUNTA(AK14:AM14)),"")</f>
        <v>2</v>
      </c>
      <c r="AO14" s="109" t="str">
        <f t="shared" si="8"/>
        <v>C</v>
      </c>
      <c r="AP14" s="81"/>
      <c r="AQ14" s="82"/>
      <c r="AR14" s="83"/>
      <c r="AS14" s="108" t="str">
        <f>IFERROR((((COUNTIF('Elève (5ème6)'!AP14:AR14,"A"))*4)+((COUNTIF('Elève (5ème6)'!AP14:AR14,"B"))*3)+((COUNTIF('Elève (5ème6)'!AP14:AR14,"C"))*2)+((COUNTIF('Elève (5ème6)'!AP14:AR14,"D"))*1))/(COUNTA(AP14:AR14)),"")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(5ème6)'!AU14:AW14,"A"))*4)+((COUNTIF('Elève (5ème6)'!AU14:AW14,"B"))*3)+((COUNTIF('Elève (5ème6)'!AU14:AW14,"C"))*2)+((COUNTIF('Elève (5ème6)'!AU14:AW14,"D"))*1))/(COUNTA(AU14:AW14)),"")</f>
        <v/>
      </c>
      <c r="AY14" s="139" t="str">
        <f t="shared" si="10"/>
        <v/>
      </c>
      <c r="AZ14" s="178">
        <f>IF(COUNT(AN14,AS14,AX14)=0,"",SUM(AN14,AS14,AX14)/COUNT(AN14,AS14,AX14))</f>
        <v>2</v>
      </c>
      <c r="BA14" s="131" t="str">
        <f t="shared" si="11"/>
        <v>C</v>
      </c>
      <c r="BB14" s="156" t="s">
        <v>27</v>
      </c>
      <c r="BC14" s="157"/>
      <c r="BD14" s="158"/>
      <c r="BE14" s="108">
        <f>IFERROR((((COUNTIF('Elève (5ème6)'!BB14:BD14,"A"))*4)+((COUNTIF('Elève (5ème6)'!BB14:BD14,"B"))*3)+((COUNTIF('Elève (5ème6)'!BB14:BD14,"C"))*2)+((COUNTIF('Elève (5ème6)'!BB14:BD14,"D"))*1))/(COUNTA(BB14:BD14)),"")</f>
        <v>4</v>
      </c>
      <c r="BF14" s="109" t="str">
        <f t="shared" si="12"/>
        <v>A</v>
      </c>
      <c r="BG14" s="81"/>
      <c r="BH14" s="82"/>
      <c r="BI14" s="83"/>
      <c r="BJ14" s="108" t="str">
        <f>IFERROR((((COUNTIF('Elève (5ème6)'!BG14:BI14,"A"))*4)+((COUNTIF('Elève (5ème6)'!BG14:BI14,"B"))*3)+((COUNTIF('Elève (5ème6)'!BG14:BI14,"C"))*2)+((COUNTIF('Elève (5ème6)'!BG14:BI14,"D"))*1))/(COUNTA(BG14:BI14)),"")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(5ème6)'!BL14:BN14,"A"))*4)+((COUNTIF('Elève (5ème6)'!BL14:BN14,"B"))*3)+((COUNTIF('Elève (5ème6)'!BL14:BN14,"C"))*2)+((COUNTIF('Elève (5ème6)'!BL14:BN14,"D"))*1))/(COUNTA(BL14:BN14)),"")</f>
        <v/>
      </c>
      <c r="BP14" s="139" t="str">
        <f t="shared" si="14"/>
        <v/>
      </c>
      <c r="BQ14" s="178">
        <f>IF(COUNT(BE14,BJ14,BO14)=0,"",SUM(BE14,BJ14,BO14)/COUNT(BE14,BJ14,BO14))</f>
        <v>4</v>
      </c>
      <c r="BR14" s="131" t="str">
        <f t="shared" si="15"/>
        <v>A</v>
      </c>
      <c r="BS14" s="156" t="s">
        <v>28</v>
      </c>
      <c r="BT14" s="157"/>
      <c r="BU14" s="158"/>
      <c r="BV14" s="108">
        <f>IFERROR((((COUNTIF('Elève (5ème6)'!BS14:BU14,"A"))*4)+((COUNTIF('Elève (5ème6)'!BS14:BU14,"B"))*3)+((COUNTIF('Elève (5ème6)'!BS14:BU14,"C"))*2)+((COUNTIF('Elève (5ème6)'!BS14:BU14,"D"))*1))/(COUNTA(BS14:BU14)),"")</f>
        <v>3</v>
      </c>
      <c r="BW14" s="109" t="str">
        <f t="shared" si="16"/>
        <v>B</v>
      </c>
      <c r="BX14" s="81"/>
      <c r="BY14" s="82"/>
      <c r="BZ14" s="83"/>
      <c r="CA14" s="108" t="str">
        <f>IFERROR((((COUNTIF('Elève (5ème6)'!BX14:BZ14,"A"))*4)+((COUNTIF('Elève (5ème6)'!BX14:BZ14,"B"))*3)+((COUNTIF('Elève (5ème6)'!BX14:BZ14,"C"))*2)+((COUNTIF('Elève (5ème6)'!BX14:BZ14,"D"))*1))/(COUNTA(BX14:BZ14)),"")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(5ème6)'!CC14:CE14,"A"))*4)+((COUNTIF('Elève (5ème6)'!CC14:CE14,"B"))*3)+((COUNTIF('Elève (5ème6)'!CC14:CE14,"C"))*2)+((COUNTIF('Elève (5ème6)'!CC14:CE14,"D"))*1))/(COUNTA(CC14:CE14)),"")</f>
        <v/>
      </c>
      <c r="CG14" s="139" t="str">
        <f t="shared" si="18"/>
        <v/>
      </c>
      <c r="CH14" s="178">
        <f>IF(COUNT(BV14,CA14,CF14)=0,"",SUM(BV14,CA14,CF14)/COUNT(BV14,CA14,CF14))</f>
        <v>3</v>
      </c>
      <c r="CI14" s="131" t="str">
        <f t="shared" si="19"/>
        <v>B</v>
      </c>
      <c r="CJ14" s="156" t="s">
        <v>29</v>
      </c>
      <c r="CK14" s="157"/>
      <c r="CL14" s="158"/>
      <c r="CM14" s="108">
        <f>IFERROR((((COUNTIF('Elève (5ème6)'!CJ14:CL14,"A"))*4)+((COUNTIF('Elève (5ème6)'!CJ14:CL14,"B"))*3)+((COUNTIF('Elève (5ème6)'!CJ14:CL14,"C"))*2)+((COUNTIF('Elève (5ème6)'!CJ14:CL14,"D"))*1))/(COUNTA(CJ14:CL14)),"")</f>
        <v>2</v>
      </c>
      <c r="CN14" s="109" t="str">
        <f t="shared" si="20"/>
        <v>C</v>
      </c>
      <c r="CO14" s="81"/>
      <c r="CP14" s="82"/>
      <c r="CQ14" s="83"/>
      <c r="CR14" s="108" t="str">
        <f>IFERROR((((COUNTIF('Elève (5ème6)'!CO14:CQ14,"A"))*4)+((COUNTIF('Elève (5ème6)'!CO14:CQ14,"B"))*3)+((COUNTIF('Elève (5ème6)'!CO14:CQ14,"C"))*2)+((COUNTIF('Elève (5ème6)'!CO14:CQ14,"D"))*1))/(COUNTA(CO14:CQ14)),"")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(5ème6)'!CT14:CV14,"A"))*4)+((COUNTIF('Elève (5ème6)'!CT14:CV14,"B"))*3)+((COUNTIF('Elève (5ème6)'!CT14:CV14,"C"))*2)+((COUNTIF('Elève (5ème6)'!CT14:CV14,"D"))*1))/(COUNTA(CT14:CV14)),"")</f>
        <v/>
      </c>
      <c r="CX14" s="139" t="str">
        <f t="shared" si="22"/>
        <v/>
      </c>
      <c r="CY14" s="178">
        <f>IF(COUNT(CM14,CR14,CW14)=0,"",SUM(CM14,CR14,CW14)/COUNT(CM14,CR14,CW14))</f>
        <v>2</v>
      </c>
      <c r="CZ14" s="131" t="str">
        <f t="shared" si="23"/>
        <v>C</v>
      </c>
      <c r="DA14" s="156" t="s">
        <v>27</v>
      </c>
      <c r="DB14" s="157"/>
      <c r="DC14" s="158"/>
      <c r="DD14" s="108">
        <f>IFERROR((((COUNTIF('Elève (5ème6)'!DA14:DC14,"A"))*4)+((COUNTIF('Elève (5ème6)'!DA14:DC14,"B"))*3)+((COUNTIF('Elève (5ème6)'!DA14:DC14,"C"))*2)+((COUNTIF('Elève (5ème6)'!DA14:DC14,"D"))*1))/(COUNTA(DA14:DC14)),"")</f>
        <v>4</v>
      </c>
      <c r="DE14" s="109" t="str">
        <f t="shared" si="24"/>
        <v>A</v>
      </c>
      <c r="DF14" s="81"/>
      <c r="DG14" s="82"/>
      <c r="DH14" s="83"/>
      <c r="DI14" s="108" t="str">
        <f>IFERROR((((COUNTIF('Elève (5ème6)'!DF14:DH14,"A"))*4)+((COUNTIF('Elève (5ème6)'!DF14:DH14,"B"))*3)+((COUNTIF('Elève (5ème6)'!DF14:DH14,"C"))*2)+((COUNTIF('Elève (5ème6)'!DF14:DH14,"D"))*1))/(COUNTA(DF14:DH14)),"")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(5ème6)'!DK14:DM14,"A"))*4)+((COUNTIF('Elève (5ème6)'!DK14:DM14,"B"))*3)+((COUNTIF('Elève (5ème6)'!DK14:DM14,"C"))*2)+((COUNTIF('Elève (5ème6)'!DK14:DM14,"D"))*1))/(COUNTA(DK14:DM14)),"")</f>
        <v/>
      </c>
      <c r="DO14" s="139" t="str">
        <f t="shared" si="26"/>
        <v/>
      </c>
      <c r="DP14" s="178">
        <f>IF(COUNT(DD14,DI14,DN14)=0,"",SUM(DD14,DI14,DN14)/COUNT(DD14,DI14,DN14))</f>
        <v>4</v>
      </c>
      <c r="DQ14" s="131" t="str">
        <f t="shared" si="27"/>
        <v>A</v>
      </c>
      <c r="DR14" s="156" t="s">
        <v>28</v>
      </c>
      <c r="DS14" s="157"/>
      <c r="DT14" s="158"/>
      <c r="DU14" s="108">
        <f>IFERROR((((COUNTIF('Elève (5ème6)'!DR14:DT14,"A"))*4)+((COUNTIF('Elève (5ème6)'!DR14:DT14,"B"))*3)+((COUNTIF('Elève (5ème6)'!DR14:DT14,"C"))*2)+((COUNTIF('Elève (5ème6)'!DR14:DT14,"D"))*1))/(COUNTA(DR14:DT14)),"")</f>
        <v>3</v>
      </c>
      <c r="DV14" s="109" t="str">
        <f t="shared" si="28"/>
        <v>B</v>
      </c>
      <c r="DW14" s="81"/>
      <c r="DX14" s="82"/>
      <c r="DY14" s="83"/>
      <c r="DZ14" s="108" t="str">
        <f>IFERROR((((COUNTIF('Elève (5ème6)'!DW14:DY14,"A"))*4)+((COUNTIF('Elève (5ème6)'!DW14:DY14,"B"))*3)+((COUNTIF('Elève (5ème6)'!DW14:DY14,"C"))*2)+((COUNTIF('Elève (5ème6)'!DW14:DY14,"D"))*1))/(COUNTA(DW14:DY14)),"")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(5ème6)'!EB14:ED14,"A"))*4)+((COUNTIF('Elève (5ème6)'!EB14:ED14,"B"))*3)+((COUNTIF('Elève (5ème6)'!EB14:ED14,"C"))*2)+((COUNTIF('Elève (5ème6)'!EB14:ED14,"D"))*1))/(COUNTA(EB14:ED14)),"")</f>
        <v/>
      </c>
      <c r="EF14" s="139" t="str">
        <f t="shared" si="30"/>
        <v/>
      </c>
      <c r="EG14" s="178">
        <f>IF(COUNT(DU14,DZ14,EE14)=0,"",SUM(DU14,DZ14,EE14)/COUNT(DU14,DZ14,EE14))</f>
        <v>3</v>
      </c>
      <c r="EH14" s="131" t="str">
        <f t="shared" si="31"/>
        <v>B</v>
      </c>
      <c r="EI14" s="156" t="s">
        <v>28</v>
      </c>
      <c r="EJ14" s="157"/>
      <c r="EK14" s="158"/>
      <c r="EL14" s="108">
        <f>IFERROR((((COUNTIF('Elève (5ème6)'!EI14:EK14,"A"))*4)+((COUNTIF('Elève (5ème6)'!EI14:EK14,"B"))*3)+((COUNTIF('Elève (5ème6)'!EI14:EK14,"C"))*2)+((COUNTIF('Elève (5ème6)'!EI14:EK14,"D"))*1))/(COUNTA(EI14:EK14)),"")</f>
        <v>3</v>
      </c>
      <c r="EM14" s="109" t="str">
        <f t="shared" si="32"/>
        <v>B</v>
      </c>
      <c r="EN14" s="81"/>
      <c r="EO14" s="82"/>
      <c r="EP14" s="83"/>
      <c r="EQ14" s="108" t="str">
        <f>IFERROR((((COUNTIF('Elève (5ème6)'!EN14:EP14,"A"))*4)+((COUNTIF('Elève (5ème6)'!EN14:EP14,"B"))*3)+((COUNTIF('Elève (5ème6)'!EN14:EP14,"C"))*2)+((COUNTIF('Elève (5ème6)'!EN14:EP14,"D"))*1))/(COUNTA(EN14:EP14)),"")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(5ème6)'!ES14:EU14,"A"))*4)+((COUNTIF('Elève (5ème6)'!ES14:EU14,"B"))*3)+((COUNTIF('Elève (5ème6)'!ES14:EU14,"C"))*2)+((COUNTIF('Elève (5ème6)'!ES14:EU14,"D"))*1))/(COUNTA(ES14:EU14)),"")</f>
        <v/>
      </c>
      <c r="EW14" s="139" t="str">
        <f t="shared" si="34"/>
        <v/>
      </c>
      <c r="EX14" s="178">
        <f>IF(COUNT(EL14,EQ14,EV14)=0,"",SUM(EL14,EQ14,EV14)/COUNT(EL14,EQ14,EV14))</f>
        <v>3</v>
      </c>
      <c r="EY14" s="131" t="str">
        <f t="shared" si="35"/>
        <v>B</v>
      </c>
      <c r="EZ14" s="156" t="s">
        <v>27</v>
      </c>
      <c r="FA14" s="157"/>
      <c r="FB14" s="158"/>
      <c r="FC14" s="108">
        <f>IFERROR((((COUNTIF('Elève (5ème6)'!EZ14:FB14,"A"))*4)+((COUNTIF('Elève (5ème6)'!EZ14:FB14,"B"))*3)+((COUNTIF('Elève (5ème6)'!EZ14:FB14,"C"))*2)+((COUNTIF('Elève (5ème6)'!EZ14:FB14,"D"))*1))/(COUNTA(EZ14:FB14)),"")</f>
        <v>4</v>
      </c>
      <c r="FD14" s="109" t="str">
        <f t="shared" si="36"/>
        <v>A</v>
      </c>
      <c r="FE14" s="81"/>
      <c r="FF14" s="82"/>
      <c r="FG14" s="83"/>
      <c r="FH14" s="108" t="str">
        <f>IFERROR((((COUNTIF('Elève (5ème6)'!FE14:FG14,"A"))*4)+((COUNTIF('Elève (5ème6)'!FE14:FG14,"B"))*3)+((COUNTIF('Elève (5ème6)'!FE14:FG14,"C"))*2)+((COUNTIF('Elève (5ème6)'!FE14:FG14,"D"))*1))/(COUNTA(FE14:FG14)),"")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(5ème6)'!FJ14:FL14,"A"))*4)+((COUNTIF('Elève (5ème6)'!FJ14:FL14,"B"))*3)+((COUNTIF('Elève (5ème6)'!FJ14:FL14,"C"))*2)+((COUNTIF('Elève (5ème6)'!FJ14:FL14,"D"))*1))/(COUNTA(FJ14:FL14)),"")</f>
        <v/>
      </c>
      <c r="FN14" s="139" t="str">
        <f t="shared" si="38"/>
        <v/>
      </c>
      <c r="FO14" s="178">
        <f>IF(COUNT(FC14,FH14,FM14)=0,"",SUM(FC14,FH14,FM14)/COUNT(FC14,FH14,FM14))</f>
        <v>4</v>
      </c>
      <c r="FP14" s="131" t="str">
        <f t="shared" si="39"/>
        <v>A</v>
      </c>
      <c r="FQ14" s="156" t="s">
        <v>27</v>
      </c>
      <c r="FR14" s="157"/>
      <c r="FS14" s="158"/>
      <c r="FT14" s="108">
        <f>IFERROR((((COUNTIF('Elève (5ème6)'!FQ14:FS14,"A"))*4)+((COUNTIF('Elève (5ème6)'!FQ14:FS14,"B"))*3)+((COUNTIF('Elève (5ème6)'!FQ14:FS14,"C"))*2)+((COUNTIF('Elève (5ème6)'!FQ14:FS14,"D"))*1))/(COUNTA(FQ14:FS14)),"")</f>
        <v>4</v>
      </c>
      <c r="FU14" s="109" t="str">
        <f t="shared" si="40"/>
        <v>A</v>
      </c>
      <c r="FV14" s="81"/>
      <c r="FW14" s="82"/>
      <c r="FX14" s="83"/>
      <c r="FY14" s="108" t="str">
        <f>IFERROR((((COUNTIF('Elève (5ème6)'!FV14:FX14,"A"))*4)+((COUNTIF('Elève (5ème6)'!FV14:FX14,"B"))*3)+((COUNTIF('Elève (5ème6)'!FV14:FX14,"C"))*2)+((COUNTIF('Elève (5ème6)'!FV14:FX14,"D"))*1))/(COUNTA(FV14:FX14)),"")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(5ème6)'!GA14:GC14,"A"))*4)+((COUNTIF('Elève (5ème6)'!GA14:GC14,"B"))*3)+((COUNTIF('Elève (5ème6)'!GA14:GC14,"C"))*2)+((COUNTIF('Elève (5ème6)'!GA14:GC14,"D"))*1))/(COUNTA(GA14:GC14)),"")</f>
        <v/>
      </c>
      <c r="GE14" s="139" t="str">
        <f t="shared" si="42"/>
        <v/>
      </c>
      <c r="GF14" s="178">
        <f>IF(COUNT(FT14,FY14,GD14)=0,"",SUM(FT14,FY14,GD14)/COUNT(FT14,FY14,GD14))</f>
        <v>4</v>
      </c>
      <c r="GG14" s="131" t="str">
        <f t="shared" si="43"/>
        <v>A</v>
      </c>
      <c r="GH14" s="156" t="s">
        <v>29</v>
      </c>
      <c r="GI14" s="157"/>
      <c r="GJ14" s="158"/>
      <c r="GK14" s="108">
        <f>IFERROR((((COUNTIF('Elève (5ème6)'!GH14:GJ14,"A"))*4)+((COUNTIF('Elève (5ème6)'!GH14:GJ14,"B"))*3)+((COUNTIF('Elève (5ème6)'!GH14:GJ14,"C"))*2)+((COUNTIF('Elève (5ème6)'!GH14:GJ14,"D"))*1))/(COUNTA(GH14:GJ14)),"")</f>
        <v>2</v>
      </c>
      <c r="GL14" s="109" t="str">
        <f t="shared" si="44"/>
        <v>C</v>
      </c>
      <c r="GM14" s="81"/>
      <c r="GN14" s="82"/>
      <c r="GO14" s="83"/>
      <c r="GP14" s="108" t="str">
        <f>IFERROR((((COUNTIF('Elève (5ème6)'!GM14:GO14,"A"))*4)+((COUNTIF('Elève (5ème6)'!GM14:GO14,"B"))*3)+((COUNTIF('Elève (5ème6)'!GM14:GO14,"C"))*2)+((COUNTIF('Elève (5ème6)'!GM14:GO14,"D"))*1))/(COUNTA(GM14:GO14)),"")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(5ème6)'!GR14:GT14,"A"))*4)+((COUNTIF('Elève (5ème6)'!GR14:GT14,"B"))*3)+((COUNTIF('Elève (5ème6)'!GR14:GT14,"C"))*2)+((COUNTIF('Elève (5ème6)'!GR14:GT14,"D"))*1))/(COUNTA(GR14:GT14)),"")</f>
        <v/>
      </c>
      <c r="GV14" s="139" t="str">
        <f t="shared" si="46"/>
        <v/>
      </c>
      <c r="GW14" s="178">
        <f>IF(COUNT(GK14,GP14,GU14)=0,"",SUM(GK14,GP14,GU14)/COUNT(GK14,GP14,GU14))</f>
        <v>2</v>
      </c>
      <c r="GX14" s="131" t="str">
        <f t="shared" si="47"/>
        <v>C</v>
      </c>
      <c r="GY14" s="156" t="s">
        <v>28</v>
      </c>
      <c r="GZ14" s="157"/>
      <c r="HA14" s="158"/>
      <c r="HB14" s="108">
        <f>IFERROR((((COUNTIF('Elève (5ème6)'!GY14:HA14,"A"))*4)+((COUNTIF('Elève (5ème6)'!GY14:HA14,"B"))*3)+((COUNTIF('Elève (5ème6)'!GY14:HA14,"C"))*2)+((COUNTIF('Elève (5ème6)'!GY14:HA14,"D"))*1))/(COUNTA(GY14:HA14)),"")</f>
        <v>3</v>
      </c>
      <c r="HC14" s="109" t="str">
        <f t="shared" si="48"/>
        <v>B</v>
      </c>
      <c r="HD14" s="81"/>
      <c r="HE14" s="82"/>
      <c r="HF14" s="83"/>
      <c r="HG14" s="108" t="str">
        <f>IFERROR((((COUNTIF('Elève (5ème6)'!HD14:HF14,"A"))*4)+((COUNTIF('Elève (5ème6)'!HD14:HF14,"B"))*3)+((COUNTIF('Elève (5ème6)'!HD14:HF14,"C"))*2)+((COUNTIF('Elève (5ème6)'!HD14:HF14,"D"))*1))/(COUNTA(HD14:HF14)),"")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(5ème6)'!HI14:HK14,"A"))*4)+((COUNTIF('Elève (5ème6)'!HI14:HK14,"B"))*3)+((COUNTIF('Elève (5ème6)'!HI14:HK14,"C"))*2)+((COUNTIF('Elève (5ème6)'!HI14:HK14,"D"))*1))/(COUNTA(HI14:HK14)),"")</f>
        <v/>
      </c>
      <c r="HM14" s="139" t="str">
        <f t="shared" si="50"/>
        <v/>
      </c>
      <c r="HN14" s="178">
        <f>IF(COUNT(HB14,HG14,HL14)=0,"",SUM(HB14,HG14,HL14)/COUNT(HB14,HG14,HL14))</f>
        <v>3</v>
      </c>
      <c r="HO14" s="131" t="str">
        <f t="shared" si="51"/>
        <v>B</v>
      </c>
      <c r="HP14" s="156" t="s">
        <v>27</v>
      </c>
      <c r="HQ14" s="157"/>
      <c r="HR14" s="158"/>
      <c r="HS14" s="108">
        <f>IFERROR((((COUNTIF('Elève (5ème6)'!HP14:HR14,"A"))*4)+((COUNTIF('Elève (5ème6)'!HP14:HR14,"B"))*3)+((COUNTIF('Elève (5ème6)'!HP14:HR14,"C"))*2)+((COUNTIF('Elève (5ème6)'!HP14:HR14,"D"))*1))/(COUNTA(HP14:HR14)),"")</f>
        <v>4</v>
      </c>
      <c r="HT14" s="109" t="str">
        <f t="shared" si="52"/>
        <v>A</v>
      </c>
      <c r="HU14" s="81"/>
      <c r="HV14" s="82"/>
      <c r="HW14" s="83"/>
      <c r="HX14" s="108" t="str">
        <f>IFERROR((((COUNTIF('Elève (5ème6)'!HU14:HW14,"A"))*4)+((COUNTIF('Elève (5ème6)'!HU14:HW14,"B"))*3)+((COUNTIF('Elève (5ème6)'!HU14:HW14,"C"))*2)+((COUNTIF('Elève (5ème6)'!HU14:HW14,"D"))*1))/(COUNTA(HU14:HW14)),"")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(5ème6)'!HZ14:IB14,"A"))*4)+((COUNTIF('Elève (5ème6)'!HZ14:IB14,"B"))*3)+((COUNTIF('Elève (5ème6)'!HZ14:IB14,"C"))*2)+((COUNTIF('Elève (5ème6)'!HZ14:IB14,"D"))*1))/(COUNTA(HZ14:IB14)),"")</f>
        <v/>
      </c>
      <c r="ID14" s="139" t="str">
        <f t="shared" si="54"/>
        <v/>
      </c>
      <c r="IE14" s="178">
        <f>IF(COUNT(HS14,HX14,IC14)=0,"",SUM(HS14,HX14,IC14)/COUNT(HS14,HX14,IC14))</f>
        <v>4</v>
      </c>
      <c r="IF14" s="131" t="str">
        <f t="shared" si="55"/>
        <v>A</v>
      </c>
      <c r="IG14" s="156" t="s">
        <v>27</v>
      </c>
      <c r="IH14" s="157"/>
      <c r="II14" s="158"/>
      <c r="IJ14" s="108">
        <f>IFERROR((((COUNTIF('Elève (5ème6)'!IG14:II14,"A"))*4)+((COUNTIF('Elève (5ème6)'!IG14:II14,"B"))*3)+((COUNTIF('Elève (5ème6)'!IG14:II14,"C"))*2)+((COUNTIF('Elève (5ème6)'!IG14:II14,"D"))*1))/(COUNTA(IG14:II14)),"")</f>
        <v>4</v>
      </c>
      <c r="IK14" s="109" t="str">
        <f t="shared" si="56"/>
        <v>A</v>
      </c>
      <c r="IL14" s="81"/>
      <c r="IM14" s="82"/>
      <c r="IN14" s="83"/>
      <c r="IO14" s="108" t="str">
        <f>IFERROR((((COUNTIF('Elève (5ème6)'!IL14:IN14,"A"))*4)+((COUNTIF('Elève (5ème6)'!IL14:IN14,"B"))*3)+((COUNTIF('Elève (5ème6)'!IL14:IN14,"C"))*2)+((COUNTIF('Elève (5ème6)'!IL14:IN14,"D"))*1))/(COUNTA(IL14:IN14)),"")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(5ème6)'!IQ14:IS14,"A"))*4)+((COUNTIF('Elève (5ème6)'!IQ14:IS14,"B"))*3)+((COUNTIF('Elève (5ème6)'!IQ14:IS14,"C"))*2)+((COUNTIF('Elève (5ème6)'!IQ14:IS14,"D"))*1))/(COUNTA(IQ14:IS14)),"")</f>
        <v/>
      </c>
      <c r="IU14" s="139" t="str">
        <f t="shared" si="58"/>
        <v/>
      </c>
      <c r="IV14" s="178">
        <f>IF(COUNT(IJ14,IO14,IT14)=0,"",SUM(IJ14,IO14,IT14)/COUNT(IJ14,IO14,IT14))</f>
        <v>4</v>
      </c>
      <c r="IW14" s="131" t="str">
        <f t="shared" si="59"/>
        <v>A</v>
      </c>
      <c r="IX14" s="156" t="s">
        <v>27</v>
      </c>
      <c r="IY14" s="157"/>
      <c r="IZ14" s="158"/>
      <c r="JA14" s="108">
        <f>IFERROR((((COUNTIF('Elève (5ème6)'!IX14:IZ14,"A"))*4)+((COUNTIF('Elève (5ème6)'!IX14:IZ14,"B"))*3)+((COUNTIF('Elève (5ème6)'!IX14:IZ14,"C"))*2)+((COUNTIF('Elève (5ème6)'!IX14:IZ14,"D"))*1))/(COUNTA(IX14:IZ14)),"")</f>
        <v>4</v>
      </c>
      <c r="JB14" s="109" t="str">
        <f t="shared" si="60"/>
        <v>A</v>
      </c>
      <c r="JC14" s="81"/>
      <c r="JD14" s="82"/>
      <c r="JE14" s="83"/>
      <c r="JF14" s="108" t="str">
        <f>IFERROR((((COUNTIF('Elève (5ème6)'!JC14:JE14,"A"))*4)+((COUNTIF('Elève (5ème6)'!JC14:JE14,"B"))*3)+((COUNTIF('Elève (5ème6)'!JC14:JE14,"C"))*2)+((COUNTIF('Elève (5ème6)'!JC14:JE14,"D"))*1))/(COUNTA(JC14:JE14)),"")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(5ème6)'!JH14:JJ14,"A"))*4)+((COUNTIF('Elève (5ème6)'!JH14:JJ14,"B"))*3)+((COUNTIF('Elève (5ème6)'!JH14:JJ14,"C"))*2)+((COUNTIF('Elève (5ème6)'!JH14:JJ14,"D"))*1))/(COUNTA(JH14:JJ14)),"")</f>
        <v/>
      </c>
      <c r="JL14" s="139" t="str">
        <f t="shared" si="62"/>
        <v/>
      </c>
      <c r="JM14" s="178">
        <f>IF(COUNT(JA14,JF14,JK14)=0,"",SUM(JA14,JF14,JK14)/COUNT(JA14,JF14,JK14))</f>
        <v>4</v>
      </c>
      <c r="JN14" s="131" t="str">
        <f t="shared" si="63"/>
        <v>A</v>
      </c>
      <c r="JO14" s="156" t="s">
        <v>28</v>
      </c>
      <c r="JP14" s="157"/>
      <c r="JQ14" s="158"/>
      <c r="JR14" s="108">
        <f>IFERROR((((COUNTIF('Elève (5ème6)'!JO14:JQ14,"A"))*4)+((COUNTIF('Elève (5ème6)'!JO14:JQ14,"B"))*3)+((COUNTIF('Elève (5ème6)'!JO14:JQ14,"C"))*2)+((COUNTIF('Elève (5ème6)'!JO14:JQ14,"D"))*1))/(COUNTA(JO14:JQ14)),"")</f>
        <v>3</v>
      </c>
      <c r="JS14" s="109" t="str">
        <f t="shared" si="64"/>
        <v>B</v>
      </c>
      <c r="JT14" s="81"/>
      <c r="JU14" s="82"/>
      <c r="JV14" s="83"/>
      <c r="JW14" s="108" t="str">
        <f>IFERROR((((COUNTIF('Elève (5ème6)'!JT14:JV14,"A"))*4)+((COUNTIF('Elève (5ème6)'!JT14:JV14,"B"))*3)+((COUNTIF('Elève (5ème6)'!JT14:JV14,"C"))*2)+((COUNTIF('Elève (5ème6)'!JT14:JV14,"D"))*1))/(COUNTA(JT14:JV14)),"")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(5ème6)'!JY14:KA14,"A"))*4)+((COUNTIF('Elève (5ème6)'!JY14:KA14,"B"))*3)+((COUNTIF('Elève (5ème6)'!JY14:KA14,"C"))*2)+((COUNTIF('Elève (5ème6)'!JY14:KA14,"D"))*1))/(COUNTA(JY14:KA14)),"")</f>
        <v/>
      </c>
      <c r="KC14" s="139" t="str">
        <f t="shared" si="66"/>
        <v/>
      </c>
      <c r="KD14" s="178">
        <f>IF(COUNT(JR14,JW14,KB14)=0,"",SUM(JR14,JW14,KB14)/COUNT(JR14,JW14,KB14))</f>
        <v>3</v>
      </c>
      <c r="KE14" s="131" t="str">
        <f t="shared" si="67"/>
        <v>B</v>
      </c>
      <c r="KF14" s="156" t="s">
        <v>29</v>
      </c>
      <c r="KG14" s="157"/>
      <c r="KH14" s="158"/>
      <c r="KI14" s="108">
        <f>IFERROR((((COUNTIF('Elève (5ème6)'!KF14:KH14,"A"))*4)+((COUNTIF('Elève (5ème6)'!KF14:KH14,"B"))*3)+((COUNTIF('Elève (5ème6)'!KF14:KH14,"C"))*2)+((COUNTIF('Elève (5ème6)'!KF14:KH14,"D"))*1))/(COUNTA(KF14:KH14)),"")</f>
        <v>2</v>
      </c>
      <c r="KJ14" s="109" t="str">
        <f t="shared" si="68"/>
        <v>C</v>
      </c>
      <c r="KK14" s="81"/>
      <c r="KL14" s="82"/>
      <c r="KM14" s="83"/>
      <c r="KN14" s="108" t="str">
        <f>IFERROR((((COUNTIF('Elève (5ème6)'!KK14:KM14,"A"))*4)+((COUNTIF('Elève (5ème6)'!KK14:KM14,"B"))*3)+((COUNTIF('Elève (5ème6)'!KK14:KM14,"C"))*2)+((COUNTIF('Elève (5ème6)'!KK14:KM14,"D"))*1))/(COUNTA(KK14:KM14)),"")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(5ème6)'!KP14:KR14,"A"))*4)+((COUNTIF('Elève (5ème6)'!KP14:KR14,"B"))*3)+((COUNTIF('Elève (5ème6)'!KP14:KR14,"C"))*2)+((COUNTIF('Elève (5ème6)'!KP14:KR14,"D"))*1))/(COUNTA(KP14:KR14)),"")</f>
        <v/>
      </c>
      <c r="KT14" s="139" t="str">
        <f t="shared" si="70"/>
        <v/>
      </c>
      <c r="KU14" s="178">
        <f>IF(COUNT(KI14,KN14,KS14)=0,"",SUM(KI14,KN14,KS14)/COUNT(KI14,KN14,KS14))</f>
        <v>2</v>
      </c>
      <c r="KV14" s="131" t="str">
        <f t="shared" si="71"/>
        <v>C</v>
      </c>
      <c r="KW14" s="156" t="s">
        <v>27</v>
      </c>
      <c r="KX14" s="157"/>
      <c r="KY14" s="158"/>
      <c r="KZ14" s="108">
        <f>IFERROR((((COUNTIF('Elève (5ème6)'!KW14:KY14,"A"))*4)+((COUNTIF('Elève (5ème6)'!KW14:KY14,"B"))*3)+((COUNTIF('Elève (5ème6)'!KW14:KY14,"C"))*2)+((COUNTIF('Elève (5ème6)'!KW14:KY14,"D"))*1))/(COUNTA(KW14:KY14)),"")</f>
        <v>4</v>
      </c>
      <c r="LA14" s="109" t="str">
        <f t="shared" si="72"/>
        <v>A</v>
      </c>
      <c r="LB14" s="81"/>
      <c r="LC14" s="82"/>
      <c r="LD14" s="83"/>
      <c r="LE14" s="108" t="str">
        <f>IFERROR((((COUNTIF('Elève (5ème6)'!LB14:LD14,"A"))*4)+((COUNTIF('Elève (5ème6)'!LB14:LD14,"B"))*3)+((COUNTIF('Elève (5ème6)'!LB14:LD14,"C"))*2)+((COUNTIF('Elève (5ème6)'!LB14:LD14,"D"))*1))/(COUNTA(LB14:LD14)),"")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(5ème6)'!LG14:LI14,"A"))*4)+((COUNTIF('Elève (5ème6)'!LG14:LI14,"B"))*3)+((COUNTIF('Elève (5ème6)'!LG14:LI14,"C"))*2)+((COUNTIF('Elève (5ème6)'!LG14:LI14,"D"))*1))/(COUNTA(LG14:LI14)),"")</f>
        <v/>
      </c>
      <c r="LK14" s="139" t="str">
        <f t="shared" si="74"/>
        <v/>
      </c>
      <c r="LL14" s="178">
        <f>IF(COUNT(KZ14,LE14,LJ14)=0,"",SUM(KZ14,LE14,LJ14)/COUNT(KZ14,LE14,LJ14))</f>
        <v>4</v>
      </c>
      <c r="LM14" s="131" t="str">
        <f t="shared" si="75"/>
        <v>A</v>
      </c>
      <c r="LN14" s="156" t="s">
        <v>27</v>
      </c>
      <c r="LO14" s="157"/>
      <c r="LP14" s="158"/>
      <c r="LQ14" s="108">
        <f>IFERROR((((COUNTIF('Elève (5ème6)'!LN14:LP14,"A"))*4)+((COUNTIF('Elève (5ème6)'!LN14:LP14,"B"))*3)+((COUNTIF('Elève (5ème6)'!LN14:LP14,"C"))*2)+((COUNTIF('Elève (5ème6)'!LN14:LP14,"D"))*1))/(COUNTA(LN14:LP14)),"")</f>
        <v>4</v>
      </c>
      <c r="LR14" s="109" t="str">
        <f t="shared" si="76"/>
        <v>A</v>
      </c>
      <c r="LS14" s="81"/>
      <c r="LT14" s="82"/>
      <c r="LU14" s="83"/>
      <c r="LV14" s="108" t="str">
        <f>IFERROR((((COUNTIF('Elève (5ème6)'!LS14:LU14,"A"))*4)+((COUNTIF('Elève (5ème6)'!LS14:LU14,"B"))*3)+((COUNTIF('Elève (5ème6)'!LS14:LU14,"C"))*2)+((COUNTIF('Elève (5ème6)'!LS14:LU14,"D"))*1))/(COUNTA(LS14:LU14)),"")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(5ème6)'!LX14:LZ14,"A"))*4)+((COUNTIF('Elève (5ème6)'!LX14:LZ14,"B"))*3)+((COUNTIF('Elève (5ème6)'!LX14:LZ14,"C"))*2)+((COUNTIF('Elève (5ème6)'!LX14:LZ14,"D"))*1))/(COUNTA(LX14:LZ14)),"")</f>
        <v/>
      </c>
      <c r="MB14" s="139" t="str">
        <f t="shared" si="78"/>
        <v/>
      </c>
      <c r="MC14" s="178">
        <f>IF(COUNT(LQ14,LV14,MA14)=0,"",SUM(LQ14,LV14,MA14)/COUNT(LQ14,LV14,MA14))</f>
        <v>4</v>
      </c>
      <c r="MD14" s="131" t="str">
        <f t="shared" si="79"/>
        <v>A</v>
      </c>
      <c r="ME14" s="156" t="s">
        <v>29</v>
      </c>
      <c r="MF14" s="157"/>
      <c r="MG14" s="158"/>
      <c r="MH14" s="108">
        <f>IFERROR((((COUNTIF('Elève (5ème6)'!ME14:MG14,"A"))*4)+((COUNTIF('Elève (5ème6)'!ME14:MG14,"B"))*3)+((COUNTIF('Elève (5ème6)'!ME14:MG14,"C"))*2)+((COUNTIF('Elève (5ème6)'!ME14:MG14,"D"))*1))/(COUNTA(ME14:MG14)),"")</f>
        <v>2</v>
      </c>
      <c r="MI14" s="109" t="str">
        <f t="shared" si="80"/>
        <v>C</v>
      </c>
      <c r="MJ14" s="81"/>
      <c r="MK14" s="82"/>
      <c r="ML14" s="83"/>
      <c r="MM14" s="108" t="str">
        <f>IFERROR((((COUNTIF('Elève (5ème6)'!MJ14:ML14,"A"))*4)+((COUNTIF('Elève (5ème6)'!MJ14:ML14,"B"))*3)+((COUNTIF('Elève (5ème6)'!MJ14:ML14,"C"))*2)+((COUNTIF('Elève (5ème6)'!MJ14:ML14,"D"))*1))/(COUNTA(MJ14:ML14)),"")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(5ème6)'!MO14:MQ14,"A"))*4)+((COUNTIF('Elève (5ème6)'!MO14:MQ14,"B"))*3)+((COUNTIF('Elève (5ème6)'!MO14:MQ14,"C"))*2)+((COUNTIF('Elève (5ème6)'!MO14:MQ14,"D"))*1))/(COUNTA(MO14:MQ14)),"")</f>
        <v/>
      </c>
      <c r="MS14" s="139" t="str">
        <f t="shared" si="82"/>
        <v/>
      </c>
      <c r="MT14" s="178">
        <f>IF(COUNT(MH14,MM14,MR14)=0,"",SUM(MH14,MM14,MR14)/COUNT(MH14,MM14,MR14))</f>
        <v>2</v>
      </c>
      <c r="MU14" s="131" t="str">
        <f t="shared" si="83"/>
        <v>C</v>
      </c>
      <c r="MV14" s="156" t="s">
        <v>27</v>
      </c>
      <c r="MW14" s="157"/>
      <c r="MX14" s="158"/>
      <c r="MY14" s="108">
        <f>IFERROR((((COUNTIF('Elève (5ème6)'!MV14:MX14,"A"))*4)+((COUNTIF('Elève (5ème6)'!MV14:MX14,"B"))*3)+((COUNTIF('Elève (5ème6)'!MV14:MX14,"C"))*2)+((COUNTIF('Elève (5ème6)'!MV14:MX14,"D"))*1))/(COUNTA(MV14:MX14)),"")</f>
        <v>4</v>
      </c>
      <c r="MZ14" s="109" t="str">
        <f t="shared" si="84"/>
        <v>A</v>
      </c>
      <c r="NA14" s="81"/>
      <c r="NB14" s="82"/>
      <c r="NC14" s="83"/>
      <c r="ND14" s="108" t="str">
        <f>IFERROR((((COUNTIF('Elève (5ème6)'!NA14:NC14,"A"))*4)+((COUNTIF('Elève (5ème6)'!NA14:NC14,"B"))*3)+((COUNTIF('Elève (5ème6)'!NA14:NC14,"C"))*2)+((COUNTIF('Elève (5ème6)'!NA14:NC14,"D"))*1))/(COUNTA(NA14:NC14)),"")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(5ème6)'!NF14:NH14,"A"))*4)+((COUNTIF('Elève (5ème6)'!NF14:NH14,"B"))*3)+((COUNTIF('Elève (5ème6)'!NF14:NH14,"C"))*2)+((COUNTIF('Elève (5ème6)'!NF14:NH14,"D"))*1))/(COUNTA(NF14:NH14)),"")</f>
        <v/>
      </c>
      <c r="NJ14" s="139" t="str">
        <f t="shared" si="86"/>
        <v/>
      </c>
      <c r="NK14" s="178">
        <f>IF(COUNT(MY14,ND14,NI14)=0,"",SUM(MY14,ND14,NI14)/COUNT(MY14,ND14,NI14))</f>
        <v>4</v>
      </c>
      <c r="NL14" s="131" t="str">
        <f t="shared" si="87"/>
        <v>A</v>
      </c>
      <c r="NM14" s="156" t="s">
        <v>27</v>
      </c>
      <c r="NN14" s="157"/>
      <c r="NO14" s="158"/>
      <c r="NP14" s="108">
        <f>IFERROR((((COUNTIF('Elève (5ème6)'!NM14:NO14,"A"))*4)+((COUNTIF('Elève (5ème6)'!NM14:NO14,"B"))*3)+((COUNTIF('Elève (5ème6)'!NM14:NO14,"C"))*2)+((COUNTIF('Elève (5ème6)'!NM14:NO14,"D"))*1))/(COUNTA(NM14:NO14)),"")</f>
        <v>4</v>
      </c>
      <c r="NQ14" s="109" t="str">
        <f t="shared" si="88"/>
        <v>A</v>
      </c>
      <c r="NR14" s="81"/>
      <c r="NS14" s="82"/>
      <c r="NT14" s="83"/>
      <c r="NU14" s="108" t="str">
        <f>IFERROR((((COUNTIF('Elève (5ème6)'!NR14:NT14,"A"))*4)+((COUNTIF('Elève (5ème6)'!NR14:NT14,"B"))*3)+((COUNTIF('Elève (5ème6)'!NR14:NT14,"C"))*2)+((COUNTIF('Elève (5ème6)'!NR14:NT14,"D"))*1))/(COUNTA(NR14:NT14)),"")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(5ème6)'!NW14:NY14,"A"))*4)+((COUNTIF('Elève (5ème6)'!NW14:NY14,"B"))*3)+((COUNTIF('Elève (5ème6)'!NW14:NY14,"C"))*2)+((COUNTIF('Elève (5ème6)'!NW14:NY14,"D"))*1))/(COUNTA(NW14:NY14)),"")</f>
        <v/>
      </c>
      <c r="OA14" s="139" t="str">
        <f t="shared" si="90"/>
        <v/>
      </c>
      <c r="OB14" s="178">
        <f>IF(COUNT(NP14,NU14,NZ14)=0,"",SUM(NP14,NU14,NZ14)/COUNT(NP14,NU14,NZ14))</f>
        <v>4</v>
      </c>
      <c r="OC14" s="131" t="str">
        <f t="shared" si="91"/>
        <v>A</v>
      </c>
      <c r="OD14" s="156" t="s">
        <v>27</v>
      </c>
      <c r="OE14" s="157"/>
      <c r="OF14" s="158"/>
      <c r="OG14" s="108">
        <f>IFERROR((((COUNTIF('Elève (5ème6)'!OD14:OF14,"A"))*4)+((COUNTIF('Elève (5ème6)'!OD14:OF14,"B"))*3)+((COUNTIF('Elève (5ème6)'!OD14:OF14,"C"))*2)+((COUNTIF('Elève (5ème6)'!OD14:OF14,"D"))*1))/(COUNTA(OD14:OF14)),"")</f>
        <v>4</v>
      </c>
      <c r="OH14" s="109" t="str">
        <f t="shared" si="92"/>
        <v>A</v>
      </c>
      <c r="OI14" s="81"/>
      <c r="OJ14" s="82"/>
      <c r="OK14" s="83"/>
      <c r="OL14" s="108" t="str">
        <f>IFERROR((((COUNTIF('Elève (5ème6)'!OI14:OK14,"A"))*4)+((COUNTIF('Elève (5ème6)'!OI14:OK14,"B"))*3)+((COUNTIF('Elève (5ème6)'!OI14:OK14,"C"))*2)+((COUNTIF('Elève (5ème6)'!OI14:OK14,"D"))*1))/(COUNTA(OI14:OK14)),"")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(5ème6)'!ON14:OP14,"A"))*4)+((COUNTIF('Elève (5ème6)'!ON14:OP14,"B"))*3)+((COUNTIF('Elève (5ème6)'!ON14:OP14,"C"))*2)+((COUNTIF('Elève (5ème6)'!ON14:OP14,"D"))*1))/(COUNTA(ON14:OP14)),"")</f>
        <v/>
      </c>
      <c r="OR14" s="139" t="str">
        <f t="shared" si="94"/>
        <v/>
      </c>
      <c r="OS14" s="178">
        <f>IF(COUNT(OG14,OL14,OQ14)=0,"",SUM(OG14,OL14,OQ14)/COUNT(OG14,OL14,OQ14))</f>
        <v>4</v>
      </c>
      <c r="OT14" s="131" t="str">
        <f t="shared" si="95"/>
        <v>A</v>
      </c>
      <c r="OU14" s="156" t="s">
        <v>27</v>
      </c>
      <c r="OV14" s="157"/>
      <c r="OW14" s="158"/>
      <c r="OX14" s="108">
        <f>IFERROR((((COUNTIF('Elève (5ème6)'!OU14:OW14,"A"))*4)+((COUNTIF('Elève (5ème6)'!OU14:OW14,"B"))*3)+((COUNTIF('Elève (5ème6)'!OU14:OW14,"C"))*2)+((COUNTIF('Elève (5ème6)'!OU14:OW14,"D"))*1))/(COUNTA(OU14:OW14)),"")</f>
        <v>4</v>
      </c>
      <c r="OY14" s="109" t="str">
        <f t="shared" si="96"/>
        <v>A</v>
      </c>
      <c r="OZ14" s="81"/>
      <c r="PA14" s="82"/>
      <c r="PB14" s="83"/>
      <c r="PC14" s="108" t="str">
        <f>IFERROR((((COUNTIF('Elève (5ème6)'!OZ14:PB14,"A"))*4)+((COUNTIF('Elève (5ème6)'!OZ14:PB14,"B"))*3)+((COUNTIF('Elève (5ème6)'!OZ14:PB14,"C"))*2)+((COUNTIF('Elève (5ème6)'!OZ14:PB14,"D"))*1))/(COUNTA(OZ14:PB14)),"")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(5ème6)'!PE14:PG14,"A"))*4)+((COUNTIF('Elève (5ème6)'!PE14:PG14,"B"))*3)+((COUNTIF('Elève (5ème6)'!PE14:PG14,"C"))*2)+((COUNTIF('Elève (5ème6)'!PE14:PG14,"D"))*1))/(COUNTA(PE14:PG14)),"")</f>
        <v/>
      </c>
      <c r="PI14" s="139" t="str">
        <f t="shared" si="98"/>
        <v/>
      </c>
      <c r="PJ14" s="178">
        <f>IF(COUNT(OX14,PC14,PH14)=0,"",SUM(OX14,PC14,PH14)/COUNT(OX14,PC14,PH14))</f>
        <v>4</v>
      </c>
      <c r="PK14" s="131" t="str">
        <f t="shared" si="99"/>
        <v>A</v>
      </c>
      <c r="PL14" s="156" t="s">
        <v>27</v>
      </c>
      <c r="PM14" s="157"/>
      <c r="PN14" s="158"/>
      <c r="PO14" s="108">
        <f>IFERROR((((COUNTIF('Elève (5ème6)'!PL14:PN14,"A"))*4)+((COUNTIF('Elève (5ème6)'!PL14:PN14,"B"))*3)+((COUNTIF('Elève (5ème6)'!PL14:PN14,"C"))*2)+((COUNTIF('Elève (5ème6)'!PL14:PN14,"D"))*1))/(COUNTA(PL14:PN14)),"")</f>
        <v>4</v>
      </c>
      <c r="PP14" s="109" t="str">
        <f t="shared" si="100"/>
        <v>A</v>
      </c>
      <c r="PQ14" s="81"/>
      <c r="PR14" s="82"/>
      <c r="PS14" s="83"/>
      <c r="PT14" s="108" t="str">
        <f>IFERROR((((COUNTIF('Elève (5ème6)'!PQ14:PS14,"A"))*4)+((COUNTIF('Elève (5ème6)'!PQ14:PS14,"B"))*3)+((COUNTIF('Elève (5ème6)'!PQ14:PS14,"C"))*2)+((COUNTIF('Elève (5ème6)'!PQ14:PS14,"D"))*1))/(COUNTA(PQ14:PS14)),"")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(5ème6)'!PV14:PX14,"A"))*4)+((COUNTIF('Elève (5ème6)'!PV14:PX14,"B"))*3)+((COUNTIF('Elève (5ème6)'!PV14:PX14,"C"))*2)+((COUNTIF('Elève (5ème6)'!PV14:PX14,"D"))*1))/(COUNTA(PV14:PX14)),"")</f>
        <v/>
      </c>
      <c r="PZ14" s="139" t="str">
        <f t="shared" si="102"/>
        <v/>
      </c>
      <c r="QA14" s="178">
        <f>IF(COUNT(PO14,PT14,PY14)=0,"",SUM(PO14,PT14,PY14)/COUNT(PO14,PT14,PY14))</f>
        <v>4</v>
      </c>
      <c r="QB14" s="131" t="str">
        <f t="shared" si="103"/>
        <v>A</v>
      </c>
      <c r="QC14" s="156" t="s">
        <v>27</v>
      </c>
      <c r="QD14" s="157"/>
      <c r="QE14" s="158"/>
      <c r="QF14" s="108">
        <f>IFERROR((((COUNTIF('Elève (5ème6)'!QC14:QE14,"A"))*4)+((COUNTIF('Elève (5ème6)'!QC14:QE14,"B"))*3)+((COUNTIF('Elève (5ème6)'!QC14:QE14,"C"))*2)+((COUNTIF('Elève (5ème6)'!QC14:QE14,"D"))*1))/(COUNTA(QC14:QE14)),"")</f>
        <v>4</v>
      </c>
      <c r="QG14" s="109" t="str">
        <f t="shared" si="104"/>
        <v>A</v>
      </c>
      <c r="QH14" s="81"/>
      <c r="QI14" s="82"/>
      <c r="QJ14" s="83"/>
      <c r="QK14" s="108" t="str">
        <f>IFERROR((((COUNTIF('Elève (5ème6)'!QH14:QJ14,"A"))*4)+((COUNTIF('Elève (5ème6)'!QH14:QJ14,"B"))*3)+((COUNTIF('Elève (5ème6)'!QH14:QJ14,"C"))*2)+((COUNTIF('Elève (5ème6)'!QH14:QJ14,"D"))*1))/(COUNTA(QH14:QJ14)),"")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(5ème6)'!QM14:QO14,"A"))*4)+((COUNTIF('Elève (5ème6)'!QM14:QO14,"B"))*3)+((COUNTIF('Elève (5ème6)'!QM14:QO14,"C"))*2)+((COUNTIF('Elève (5ème6)'!QM14:QO14,"D"))*1))/(COUNTA(QM14:QO14)),"")</f>
        <v/>
      </c>
      <c r="QQ14" s="139" t="str">
        <f t="shared" si="106"/>
        <v/>
      </c>
      <c r="QR14" s="178">
        <f>IF(COUNT(QF14,QK14,QP14)=0,"",SUM(QF14,QK14,QP14)/COUNT(QF14,QK14,QP14))</f>
        <v>4</v>
      </c>
      <c r="QS14" s="131" t="str">
        <f t="shared" si="107"/>
        <v>A</v>
      </c>
      <c r="QT14" s="156" t="s">
        <v>27</v>
      </c>
      <c r="QU14" s="157"/>
      <c r="QV14" s="158"/>
      <c r="QW14" s="108">
        <f>IFERROR((((COUNTIF('Elève (5ème6)'!QT14:QV14,"A"))*4)+((COUNTIF('Elève (5ème6)'!QT14:QV14,"B"))*3)+((COUNTIF('Elève (5ème6)'!QT14:QV14,"C"))*2)+((COUNTIF('Elève (5ème6)'!QT14:QV14,"D"))*1))/(COUNTA(QT14:QV14)),"")</f>
        <v>4</v>
      </c>
      <c r="QX14" s="109" t="str">
        <f t="shared" si="108"/>
        <v>A</v>
      </c>
      <c r="QY14" s="81"/>
      <c r="QZ14" s="82"/>
      <c r="RA14" s="83"/>
      <c r="RB14" s="108" t="str">
        <f>IFERROR((((COUNTIF('Elève (5ème6)'!QY14:RA14,"A"))*4)+((COUNTIF('Elève (5ème6)'!QY14:RA14,"B"))*3)+((COUNTIF('Elève (5ème6)'!QY14:RA14,"C"))*2)+((COUNTIF('Elève (5ème6)'!QY14:RA14,"D"))*1))/(COUNTA(QY14:RA14)),"")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(5ème6)'!RD14:RF14,"A"))*4)+((COUNTIF('Elève (5ème6)'!RD14:RF14,"B"))*3)+((COUNTIF('Elève (5ème6)'!RD14:RF14,"C"))*2)+((COUNTIF('Elève (5ème6)'!RD14:RF14,"D"))*1))/(COUNTA(RD14:RF14)),"")</f>
        <v/>
      </c>
      <c r="RH14" s="139" t="str">
        <f t="shared" si="110"/>
        <v/>
      </c>
      <c r="RI14" s="178">
        <f>IF(COUNT(QW14,RB14,RG14)=0,"",SUM(QW14,RB14,RG14)/COUNT(QW14,RB14,RG14))</f>
        <v>4</v>
      </c>
      <c r="RJ14" s="131" t="str">
        <f t="shared" si="111"/>
        <v>A</v>
      </c>
      <c r="RK14" s="156" t="s">
        <v>28</v>
      </c>
      <c r="RL14" s="157"/>
      <c r="RM14" s="158"/>
      <c r="RN14" s="108">
        <f>IFERROR((((COUNTIF('Elève (5ème6)'!RK14:RM14,"A"))*4)+((COUNTIF('Elève (5ème6)'!RK14:RM14,"B"))*3)+((COUNTIF('Elève (5ème6)'!RK14:RM14,"C"))*2)+((COUNTIF('Elève (5ème6)'!RK14:RM14,"D"))*1))/(COUNTA(RK14:RM14)),"")</f>
        <v>3</v>
      </c>
      <c r="RO14" s="109" t="str">
        <f t="shared" si="112"/>
        <v>B</v>
      </c>
      <c r="RP14" s="81"/>
      <c r="RQ14" s="82"/>
      <c r="RR14" s="83"/>
      <c r="RS14" s="108" t="str">
        <f>IFERROR((((COUNTIF('Elève (5ème6)'!RP14:RR14,"A"))*4)+((COUNTIF('Elève (5ème6)'!RP14:RR14,"B"))*3)+((COUNTIF('Elève (5ème6)'!RP14:RR14,"C"))*2)+((COUNTIF('Elève (5ème6)'!RP14:RR14,"D"))*1))/(COUNTA(RP14:RR14)),"")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(5ème6)'!RU14:RW14,"A"))*4)+((COUNTIF('Elève (5ème6)'!RU14:RW14,"B"))*3)+((COUNTIF('Elève (5ème6)'!RU14:RW14,"C"))*2)+((COUNTIF('Elève (5ème6)'!RU14:RW14,"D"))*1))/(COUNTA(RU14:RW14)),"")</f>
        <v/>
      </c>
      <c r="RY14" s="139" t="str">
        <f t="shared" si="114"/>
        <v/>
      </c>
      <c r="RZ14" s="178">
        <f>IF(COUNT(RN14,RS14,RX14)=0,"",SUM(RN14,RS14,RX14)/COUNT(RN14,RS14,RX14))</f>
        <v>3</v>
      </c>
      <c r="SA14" s="131" t="str">
        <f t="shared" si="115"/>
        <v>B</v>
      </c>
      <c r="SB14" s="156"/>
      <c r="SC14" s="157"/>
      <c r="SD14" s="158"/>
      <c r="SE14" s="108" t="str">
        <f>IFERROR((((COUNTIF('Elève (5ème6)'!SB14:SD14,"A"))*4)+((COUNTIF('Elève (5ème6)'!SB14:SD14,"B"))*3)+((COUNTIF('Elève (5ème6)'!SB14:SD14,"C"))*2)+((COUNTIF('Elève (5ème6)'!SB14:SD14,"D"))*1))/(COUNTA(SB14:SD14)),"")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(5ème6)'!SG14:SI14,"A"))*4)+((COUNTIF('Elève (5ème6)'!SG14:SI14,"B"))*3)+((COUNTIF('Elève (5ème6)'!SG14:SI14,"C"))*2)+((COUNTIF('Elève (5ème6)'!SG14:SI14,"D"))*1))/(COUNTA(SG14:SI14)),"")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(5ème6)'!SL14:SN14,"A"))*4)+((COUNTIF('Elève (5ème6)'!SL14:SN14,"B"))*3)+((COUNTIF('Elève (5ème6)'!SL14:SN14,"C"))*2)+((COUNTIF('Elève (5ème6)'!SL14:SN14,"D"))*1))/(COUNTA(SL14:SN14)),"")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25" t="s">
        <v>37</v>
      </c>
      <c r="B15" s="226"/>
      <c r="C15" s="159"/>
      <c r="D15" s="160"/>
      <c r="E15" s="161"/>
      <c r="F15" s="112" t="str">
        <f>IFERROR((((COUNTIF('Elève (5ème6)'!C15:E15,"A"))*4)+((COUNTIF('Elève (5ème6)'!C15:E15,"B"))*3)+((COUNTIF('Elève (5ème6)'!C15:E15,"C"))*2)+((COUNTIF('Elève (5ème6)'!C15:E15,"D"))*1))/(COUNTA(C15:E15)),"")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(5ème6)'!H15:J15,"A"))*4)+((COUNTIF('Elève (5ème6)'!H15:J15,"B"))*3)+((COUNTIF('Elève (5ème6)'!H15:J15,"C"))*2)+((COUNTIF('Elève (5ème6)'!H15:J15,"D"))*1))/(COUNTA(H15:J15)),"")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(5ème6)'!M15:O15,"A"))*4)+((COUNTIF('Elève (5ème6)'!M15:O15,"B"))*3)+((COUNTIF('Elève (5ème6)'!M15:O15,"C"))*2)+((COUNTIF('Elève (5ème6)'!M15:O15,"D"))*1))/(COUNTA(M15:O15)),"")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(5ème6)'!T15:V15,"A"))*4)+((COUNTIF('Elève (5ème6)'!T15:V15,"B"))*3)+((COUNTIF('Elève (5ème6)'!T15:V15,"C"))*2)+((COUNTIF('Elève (5ème6)'!T15:V15,"D"))*1))/(COUNTA(T15:V15)),"")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(5ème6)'!Y15:AA15,"A"))*4)+((COUNTIF('Elève (5ème6)'!Y15:AA15,"B"))*3)+((COUNTIF('Elève (5ème6)'!Y15:AA15,"C"))*2)+((COUNTIF('Elève (5ème6)'!Y15:AA15,"D"))*1))/(COUNTA(Y15:AA15)),"")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(5ème6)'!AD15:AF15,"A"))*4)+((COUNTIF('Elève (5ème6)'!AD15:AF15,"B"))*3)+((COUNTIF('Elève (5ème6)'!AD15:AF15,"C"))*2)+((COUNTIF('Elève (5ème6)'!AD15:AF15,"D"))*1))/(COUNTA(AD15:AF15)),"")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(5ème6)'!AK15:AM15,"A"))*4)+((COUNTIF('Elève (5ème6)'!AK15:AM15,"B"))*3)+((COUNTIF('Elève (5ème6)'!AK15:AM15,"C"))*2)+((COUNTIF('Elève (5ème6)'!AK15:AM15,"D"))*1))/(COUNTA(AK15:AM15)),"")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(5ème6)'!AP15:AR15,"A"))*4)+((COUNTIF('Elève (5ème6)'!AP15:AR15,"B"))*3)+((COUNTIF('Elève (5ème6)'!AP15:AR15,"C"))*2)+((COUNTIF('Elève (5ème6)'!AP15:AR15,"D"))*1))/(COUNTA(AP15:AR15)),"")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(5ème6)'!AU15:AW15,"A"))*4)+((COUNTIF('Elève (5ème6)'!AU15:AW15,"B"))*3)+((COUNTIF('Elève (5ème6)'!AU15:AW15,"C"))*2)+((COUNTIF('Elève (5ème6)'!AU15:AW15,"D"))*1))/(COUNTA(AU15:AW15)),"")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(5ème6)'!BB15:BD15,"A"))*4)+((COUNTIF('Elève (5ème6)'!BB15:BD15,"B"))*3)+((COUNTIF('Elève (5ème6)'!BB15:BD15,"C"))*2)+((COUNTIF('Elève (5ème6)'!BB15:BD15,"D"))*1))/(COUNTA(BB15:BD15)),"")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(5ème6)'!BG15:BI15,"A"))*4)+((COUNTIF('Elève (5ème6)'!BG15:BI15,"B"))*3)+((COUNTIF('Elève (5ème6)'!BG15:BI15,"C"))*2)+((COUNTIF('Elève (5ème6)'!BG15:BI15,"D"))*1))/(COUNTA(BG15:BI15)),"")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(5ème6)'!BL15:BN15,"A"))*4)+((COUNTIF('Elève (5ème6)'!BL15:BN15,"B"))*3)+((COUNTIF('Elève (5ème6)'!BL15:BN15,"C"))*2)+((COUNTIF('Elève (5ème6)'!BL15:BN15,"D"))*1))/(COUNTA(BL15:BN15)),"")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(5ème6)'!BS15:BU15,"A"))*4)+((COUNTIF('Elève (5ème6)'!BS15:BU15,"B"))*3)+((COUNTIF('Elève (5ème6)'!BS15:BU15,"C"))*2)+((COUNTIF('Elève (5ème6)'!BS15:BU15,"D"))*1))/(COUNTA(BS15:BU15)),"")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(5ème6)'!BX15:BZ15,"A"))*4)+((COUNTIF('Elève (5ème6)'!BX15:BZ15,"B"))*3)+((COUNTIF('Elève (5ème6)'!BX15:BZ15,"C"))*2)+((COUNTIF('Elève (5ème6)'!BX15:BZ15,"D"))*1))/(COUNTA(BX15:BZ15)),"")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(5ème6)'!CC15:CE15,"A"))*4)+((COUNTIF('Elève (5ème6)'!CC15:CE15,"B"))*3)+((COUNTIF('Elève (5ème6)'!CC15:CE15,"C"))*2)+((COUNTIF('Elève (5ème6)'!CC15:CE15,"D"))*1))/(COUNTA(CC15:CE15)),"")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(5ème6)'!CJ15:CL15,"A"))*4)+((COUNTIF('Elève (5ème6)'!CJ15:CL15,"B"))*3)+((COUNTIF('Elève (5ème6)'!CJ15:CL15,"C"))*2)+((COUNTIF('Elève (5ème6)'!CJ15:CL15,"D"))*1))/(COUNTA(CJ15:CL15)),"")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(5ème6)'!CO15:CQ15,"A"))*4)+((COUNTIF('Elève (5ème6)'!CO15:CQ15,"B"))*3)+((COUNTIF('Elève (5ème6)'!CO15:CQ15,"C"))*2)+((COUNTIF('Elève (5ème6)'!CO15:CQ15,"D"))*1))/(COUNTA(CO15:CQ15)),"")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(5ème6)'!CT15:CV15,"A"))*4)+((COUNTIF('Elève (5ème6)'!CT15:CV15,"B"))*3)+((COUNTIF('Elève (5ème6)'!CT15:CV15,"C"))*2)+((COUNTIF('Elève (5ème6)'!CT15:CV15,"D"))*1))/(COUNTA(CT15:CV15)),"")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(5ème6)'!DA15:DC15,"A"))*4)+((COUNTIF('Elève (5ème6)'!DA15:DC15,"B"))*3)+((COUNTIF('Elève (5ème6)'!DA15:DC15,"C"))*2)+((COUNTIF('Elève (5ème6)'!DA15:DC15,"D"))*1))/(COUNTA(DA15:DC15)),"")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(5ème6)'!DF15:DH15,"A"))*4)+((COUNTIF('Elève (5ème6)'!DF15:DH15,"B"))*3)+((COUNTIF('Elève (5ème6)'!DF15:DH15,"C"))*2)+((COUNTIF('Elève (5ème6)'!DF15:DH15,"D"))*1))/(COUNTA(DF15:DH15)),"")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(5ème6)'!DK15:DM15,"A"))*4)+((COUNTIF('Elève (5ème6)'!DK15:DM15,"B"))*3)+((COUNTIF('Elève (5ème6)'!DK15:DM15,"C"))*2)+((COUNTIF('Elève (5ème6)'!DK15:DM15,"D"))*1))/(COUNTA(DK15:DM15)),"")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(5ème6)'!DR15:DT15,"A"))*4)+((COUNTIF('Elève (5ème6)'!DR15:DT15,"B"))*3)+((COUNTIF('Elève (5ème6)'!DR15:DT15,"C"))*2)+((COUNTIF('Elève (5ème6)'!DR15:DT15,"D"))*1))/(COUNTA(DR15:DT15)),"")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(5ème6)'!DW15:DY15,"A"))*4)+((COUNTIF('Elève (5ème6)'!DW15:DY15,"B"))*3)+((COUNTIF('Elève (5ème6)'!DW15:DY15,"C"))*2)+((COUNTIF('Elève (5ème6)'!DW15:DY15,"D"))*1))/(COUNTA(DW15:DY15)),"")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(5ème6)'!EB15:ED15,"A"))*4)+((COUNTIF('Elève (5ème6)'!EB15:ED15,"B"))*3)+((COUNTIF('Elève (5ème6)'!EB15:ED15,"C"))*2)+((COUNTIF('Elève (5ème6)'!EB15:ED15,"D"))*1))/(COUNTA(EB15:ED15)),"")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(5ème6)'!EI15:EK15,"A"))*4)+((COUNTIF('Elève (5ème6)'!EI15:EK15,"B"))*3)+((COUNTIF('Elève (5ème6)'!EI15:EK15,"C"))*2)+((COUNTIF('Elève (5ème6)'!EI15:EK15,"D"))*1))/(COUNTA(EI15:EK15)),"")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(5ème6)'!EN15:EP15,"A"))*4)+((COUNTIF('Elève (5ème6)'!EN15:EP15,"B"))*3)+((COUNTIF('Elève (5ème6)'!EN15:EP15,"C"))*2)+((COUNTIF('Elève (5ème6)'!EN15:EP15,"D"))*1))/(COUNTA(EN15:EP15)),"")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(5ème6)'!ES15:EU15,"A"))*4)+((COUNTIF('Elève (5ème6)'!ES15:EU15,"B"))*3)+((COUNTIF('Elève (5ème6)'!ES15:EU15,"C"))*2)+((COUNTIF('Elève (5ème6)'!ES15:EU15,"D"))*1))/(COUNTA(ES15:EU15)),"")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(5ème6)'!EZ15:FB15,"A"))*4)+((COUNTIF('Elève (5ème6)'!EZ15:FB15,"B"))*3)+((COUNTIF('Elève (5ème6)'!EZ15:FB15,"C"))*2)+((COUNTIF('Elève (5ème6)'!EZ15:FB15,"D"))*1))/(COUNTA(EZ15:FB15)),"")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(5ème6)'!FE15:FG15,"A"))*4)+((COUNTIF('Elève (5ème6)'!FE15:FG15,"B"))*3)+((COUNTIF('Elève (5ème6)'!FE15:FG15,"C"))*2)+((COUNTIF('Elève (5ème6)'!FE15:FG15,"D"))*1))/(COUNTA(FE15:FG15)),"")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(5ème6)'!FJ15:FL15,"A"))*4)+((COUNTIF('Elève (5ème6)'!FJ15:FL15,"B"))*3)+((COUNTIF('Elève (5ème6)'!FJ15:FL15,"C"))*2)+((COUNTIF('Elève (5ème6)'!FJ15:FL15,"D"))*1))/(COUNTA(FJ15:FL15)),"")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(5ème6)'!FQ15:FS15,"A"))*4)+((COUNTIF('Elève (5ème6)'!FQ15:FS15,"B"))*3)+((COUNTIF('Elève (5ème6)'!FQ15:FS15,"C"))*2)+((COUNTIF('Elève (5ème6)'!FQ15:FS15,"D"))*1))/(COUNTA(FQ15:FS15)),"")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(5ème6)'!FV15:FX15,"A"))*4)+((COUNTIF('Elève (5ème6)'!FV15:FX15,"B"))*3)+((COUNTIF('Elève (5ème6)'!FV15:FX15,"C"))*2)+((COUNTIF('Elève (5ème6)'!FV15:FX15,"D"))*1))/(COUNTA(FV15:FX15)),"")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(5ème6)'!GA15:GC15,"A"))*4)+((COUNTIF('Elève (5ème6)'!GA15:GC15,"B"))*3)+((COUNTIF('Elève (5ème6)'!GA15:GC15,"C"))*2)+((COUNTIF('Elève (5ème6)'!GA15:GC15,"D"))*1))/(COUNTA(GA15:GC15)),"")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(5ème6)'!GH15:GJ15,"A"))*4)+((COUNTIF('Elève (5ème6)'!GH15:GJ15,"B"))*3)+((COUNTIF('Elève (5ème6)'!GH15:GJ15,"C"))*2)+((COUNTIF('Elève (5ème6)'!GH15:GJ15,"D"))*1))/(COUNTA(GH15:GJ15)),"")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(5ème6)'!GM15:GO15,"A"))*4)+((COUNTIF('Elève (5ème6)'!GM15:GO15,"B"))*3)+((COUNTIF('Elève (5ème6)'!GM15:GO15,"C"))*2)+((COUNTIF('Elève (5ème6)'!GM15:GO15,"D"))*1))/(COUNTA(GM15:GO15)),"")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(5ème6)'!GR15:GT15,"A"))*4)+((COUNTIF('Elève (5ème6)'!GR15:GT15,"B"))*3)+((COUNTIF('Elève (5ème6)'!GR15:GT15,"C"))*2)+((COUNTIF('Elève (5ème6)'!GR15:GT15,"D"))*1))/(COUNTA(GR15:GT15)),"")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(5ème6)'!GY15:HA15,"A"))*4)+((COUNTIF('Elève (5ème6)'!GY15:HA15,"B"))*3)+((COUNTIF('Elève (5ème6)'!GY15:HA15,"C"))*2)+((COUNTIF('Elève (5ème6)'!GY15:HA15,"D"))*1))/(COUNTA(GY15:HA15)),"")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(5ème6)'!HD15:HF15,"A"))*4)+((COUNTIF('Elève (5ème6)'!HD15:HF15,"B"))*3)+((COUNTIF('Elève (5ème6)'!HD15:HF15,"C"))*2)+((COUNTIF('Elève (5ème6)'!HD15:HF15,"D"))*1))/(COUNTA(HD15:HF15)),"")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(5ème6)'!HI15:HK15,"A"))*4)+((COUNTIF('Elève (5ème6)'!HI15:HK15,"B"))*3)+((COUNTIF('Elève (5ème6)'!HI15:HK15,"C"))*2)+((COUNTIF('Elève (5ème6)'!HI15:HK15,"D"))*1))/(COUNTA(HI15:HK15)),"")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(5ème6)'!HP15:HR15,"A"))*4)+((COUNTIF('Elève (5ème6)'!HP15:HR15,"B"))*3)+((COUNTIF('Elève (5ème6)'!HP15:HR15,"C"))*2)+((COUNTIF('Elève (5ème6)'!HP15:HR15,"D"))*1))/(COUNTA(HP15:HR15)),"")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(5ème6)'!HU15:HW15,"A"))*4)+((COUNTIF('Elève (5ème6)'!HU15:HW15,"B"))*3)+((COUNTIF('Elève (5ème6)'!HU15:HW15,"C"))*2)+((COUNTIF('Elève (5ème6)'!HU15:HW15,"D"))*1))/(COUNTA(HU15:HW15)),"")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(5ème6)'!HZ15:IB15,"A"))*4)+((COUNTIF('Elève (5ème6)'!HZ15:IB15,"B"))*3)+((COUNTIF('Elève (5ème6)'!HZ15:IB15,"C"))*2)+((COUNTIF('Elève (5ème6)'!HZ15:IB15,"D"))*1))/(COUNTA(HZ15:IB15)),"")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(5ème6)'!IG15:II15,"A"))*4)+((COUNTIF('Elève (5ème6)'!IG15:II15,"B"))*3)+((COUNTIF('Elève (5ème6)'!IG15:II15,"C"))*2)+((COUNTIF('Elève (5ème6)'!IG15:II15,"D"))*1))/(COUNTA(IG15:II15)),"")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(5ème6)'!IL15:IN15,"A"))*4)+((COUNTIF('Elève (5ème6)'!IL15:IN15,"B"))*3)+((COUNTIF('Elève (5ème6)'!IL15:IN15,"C"))*2)+((COUNTIF('Elève (5ème6)'!IL15:IN15,"D"))*1))/(COUNTA(IL15:IN15)),"")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(5ème6)'!IQ15:IS15,"A"))*4)+((COUNTIF('Elève (5ème6)'!IQ15:IS15,"B"))*3)+((COUNTIF('Elève (5ème6)'!IQ15:IS15,"C"))*2)+((COUNTIF('Elève (5ème6)'!IQ15:IS15,"D"))*1))/(COUNTA(IQ15:IS15)),"")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(5ème6)'!IX15:IZ15,"A"))*4)+((COUNTIF('Elève (5ème6)'!IX15:IZ15,"B"))*3)+((COUNTIF('Elève (5ème6)'!IX15:IZ15,"C"))*2)+((COUNTIF('Elève (5ème6)'!IX15:IZ15,"D"))*1))/(COUNTA(IX15:IZ15)),"")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(5ème6)'!JC15:JE15,"A"))*4)+((COUNTIF('Elève (5ème6)'!JC15:JE15,"B"))*3)+((COUNTIF('Elève (5ème6)'!JC15:JE15,"C"))*2)+((COUNTIF('Elève (5ème6)'!JC15:JE15,"D"))*1))/(COUNTA(JC15:JE15)),"")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(5ème6)'!JH15:JJ15,"A"))*4)+((COUNTIF('Elève (5ème6)'!JH15:JJ15,"B"))*3)+((COUNTIF('Elève (5ème6)'!JH15:JJ15,"C"))*2)+((COUNTIF('Elève (5ème6)'!JH15:JJ15,"D"))*1))/(COUNTA(JH15:JJ15)),"")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(5ème6)'!JO15:JQ15,"A"))*4)+((COUNTIF('Elève (5ème6)'!JO15:JQ15,"B"))*3)+((COUNTIF('Elève (5ème6)'!JO15:JQ15,"C"))*2)+((COUNTIF('Elève (5ème6)'!JO15:JQ15,"D"))*1))/(COUNTA(JO15:JQ15)),"")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(5ème6)'!JT15:JV15,"A"))*4)+((COUNTIF('Elève (5ème6)'!JT15:JV15,"B"))*3)+((COUNTIF('Elève (5ème6)'!JT15:JV15,"C"))*2)+((COUNTIF('Elève (5ème6)'!JT15:JV15,"D"))*1))/(COUNTA(JT15:JV15)),"")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(5ème6)'!JY15:KA15,"A"))*4)+((COUNTIF('Elève (5ème6)'!JY15:KA15,"B"))*3)+((COUNTIF('Elève (5ème6)'!JY15:KA15,"C"))*2)+((COUNTIF('Elève (5ème6)'!JY15:KA15,"D"))*1))/(COUNTA(JY15:KA15)),"")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(5ème6)'!KF15:KH15,"A"))*4)+((COUNTIF('Elève (5ème6)'!KF15:KH15,"B"))*3)+((COUNTIF('Elève (5ème6)'!KF15:KH15,"C"))*2)+((COUNTIF('Elève (5ème6)'!KF15:KH15,"D"))*1))/(COUNTA(KF15:KH15)),"")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(5ème6)'!KK15:KM15,"A"))*4)+((COUNTIF('Elève (5ème6)'!KK15:KM15,"B"))*3)+((COUNTIF('Elève (5ème6)'!KK15:KM15,"C"))*2)+((COUNTIF('Elève (5ème6)'!KK15:KM15,"D"))*1))/(COUNTA(KK15:KM15)),"")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(5ème6)'!KP15:KR15,"A"))*4)+((COUNTIF('Elève (5ème6)'!KP15:KR15,"B"))*3)+((COUNTIF('Elève (5ème6)'!KP15:KR15,"C"))*2)+((COUNTIF('Elève (5ème6)'!KP15:KR15,"D"))*1))/(COUNTA(KP15:KR15)),"")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(5ème6)'!KW15:KY15,"A"))*4)+((COUNTIF('Elève (5ème6)'!KW15:KY15,"B"))*3)+((COUNTIF('Elève (5ème6)'!KW15:KY15,"C"))*2)+((COUNTIF('Elève (5ème6)'!KW15:KY15,"D"))*1))/(COUNTA(KW15:KY15)),"")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(5ème6)'!LB15:LD15,"A"))*4)+((COUNTIF('Elève (5ème6)'!LB15:LD15,"B"))*3)+((COUNTIF('Elève (5ème6)'!LB15:LD15,"C"))*2)+((COUNTIF('Elève (5ème6)'!LB15:LD15,"D"))*1))/(COUNTA(LB15:LD15)),"")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(5ème6)'!LG15:LI15,"A"))*4)+((COUNTIF('Elève (5ème6)'!LG15:LI15,"B"))*3)+((COUNTIF('Elève (5ème6)'!LG15:LI15,"C"))*2)+((COUNTIF('Elève (5ème6)'!LG15:LI15,"D"))*1))/(COUNTA(LG15:LI15)),"")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(5ème6)'!LN15:LP15,"A"))*4)+((COUNTIF('Elève (5ème6)'!LN15:LP15,"B"))*3)+((COUNTIF('Elève (5ème6)'!LN15:LP15,"C"))*2)+((COUNTIF('Elève (5ème6)'!LN15:LP15,"D"))*1))/(COUNTA(LN15:LP15)),"")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(5ème6)'!LS15:LU15,"A"))*4)+((COUNTIF('Elève (5ème6)'!LS15:LU15,"B"))*3)+((COUNTIF('Elève (5ème6)'!LS15:LU15,"C"))*2)+((COUNTIF('Elève (5ème6)'!LS15:LU15,"D"))*1))/(COUNTA(LS15:LU15)),"")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(5ème6)'!LX15:LZ15,"A"))*4)+((COUNTIF('Elève (5ème6)'!LX15:LZ15,"B"))*3)+((COUNTIF('Elève (5ème6)'!LX15:LZ15,"C"))*2)+((COUNTIF('Elève (5ème6)'!LX15:LZ15,"D"))*1))/(COUNTA(LX15:LZ15)),"")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(5ème6)'!ME15:MG15,"A"))*4)+((COUNTIF('Elève (5ème6)'!ME15:MG15,"B"))*3)+((COUNTIF('Elève (5ème6)'!ME15:MG15,"C"))*2)+((COUNTIF('Elève (5ème6)'!ME15:MG15,"D"))*1))/(COUNTA(ME15:MG15)),"")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(5ème6)'!MJ15:ML15,"A"))*4)+((COUNTIF('Elève (5ème6)'!MJ15:ML15,"B"))*3)+((COUNTIF('Elève (5ème6)'!MJ15:ML15,"C"))*2)+((COUNTIF('Elève (5ème6)'!MJ15:ML15,"D"))*1))/(COUNTA(MJ15:ML15)),"")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(5ème6)'!MO15:MQ15,"A"))*4)+((COUNTIF('Elève (5ème6)'!MO15:MQ15,"B"))*3)+((COUNTIF('Elève (5ème6)'!MO15:MQ15,"C"))*2)+((COUNTIF('Elève (5ème6)'!MO15:MQ15,"D"))*1))/(COUNTA(MO15:MQ15)),"")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(5ème6)'!MV15:MX15,"A"))*4)+((COUNTIF('Elève (5ème6)'!MV15:MX15,"B"))*3)+((COUNTIF('Elève (5ème6)'!MV15:MX15,"C"))*2)+((COUNTIF('Elève (5ème6)'!MV15:MX15,"D"))*1))/(COUNTA(MV15:MX15)),"")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(5ème6)'!NA15:NC15,"A"))*4)+((COUNTIF('Elève (5ème6)'!NA15:NC15,"B"))*3)+((COUNTIF('Elève (5ème6)'!NA15:NC15,"C"))*2)+((COUNTIF('Elève (5ème6)'!NA15:NC15,"D"))*1))/(COUNTA(NA15:NC15)),"")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(5ème6)'!NF15:NH15,"A"))*4)+((COUNTIF('Elève (5ème6)'!NF15:NH15,"B"))*3)+((COUNTIF('Elève (5ème6)'!NF15:NH15,"C"))*2)+((COUNTIF('Elève (5ème6)'!NF15:NH15,"D"))*1))/(COUNTA(NF15:NH15)),"")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(5ème6)'!NM15:NO15,"A"))*4)+((COUNTIF('Elève (5ème6)'!NM15:NO15,"B"))*3)+((COUNTIF('Elève (5ème6)'!NM15:NO15,"C"))*2)+((COUNTIF('Elève (5ème6)'!NM15:NO15,"D"))*1))/(COUNTA(NM15:NO15)),"")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(5ème6)'!NR15:NT15,"A"))*4)+((COUNTIF('Elève (5ème6)'!NR15:NT15,"B"))*3)+((COUNTIF('Elève (5ème6)'!NR15:NT15,"C"))*2)+((COUNTIF('Elève (5ème6)'!NR15:NT15,"D"))*1))/(COUNTA(NR15:NT15)),"")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(5ème6)'!NW15:NY15,"A"))*4)+((COUNTIF('Elève (5ème6)'!NW15:NY15,"B"))*3)+((COUNTIF('Elève (5ème6)'!NW15:NY15,"C"))*2)+((COUNTIF('Elève (5ème6)'!NW15:NY15,"D"))*1))/(COUNTA(NW15:NY15)),"")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(5ème6)'!OD15:OF15,"A"))*4)+((COUNTIF('Elève (5ème6)'!OD15:OF15,"B"))*3)+((COUNTIF('Elève (5ème6)'!OD15:OF15,"C"))*2)+((COUNTIF('Elève (5ème6)'!OD15:OF15,"D"))*1))/(COUNTA(OD15:OF15)),"")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(5ème6)'!OI15:OK15,"A"))*4)+((COUNTIF('Elève (5ème6)'!OI15:OK15,"B"))*3)+((COUNTIF('Elève (5ème6)'!OI15:OK15,"C"))*2)+((COUNTIF('Elève (5ème6)'!OI15:OK15,"D"))*1))/(COUNTA(OI15:OK15)),"")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(5ème6)'!ON15:OP15,"A"))*4)+((COUNTIF('Elève (5ème6)'!ON15:OP15,"B"))*3)+((COUNTIF('Elève (5ème6)'!ON15:OP15,"C"))*2)+((COUNTIF('Elève (5ème6)'!ON15:OP15,"D"))*1))/(COUNTA(ON15:OP15)),"")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(5ème6)'!OU15:OW15,"A"))*4)+((COUNTIF('Elève (5ème6)'!OU15:OW15,"B"))*3)+((COUNTIF('Elève (5ème6)'!OU15:OW15,"C"))*2)+((COUNTIF('Elève (5ème6)'!OU15:OW15,"D"))*1))/(COUNTA(OU15:OW15)),"")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(5ème6)'!OZ15:PB15,"A"))*4)+((COUNTIF('Elève (5ème6)'!OZ15:PB15,"B"))*3)+((COUNTIF('Elève (5ème6)'!OZ15:PB15,"C"))*2)+((COUNTIF('Elève (5ème6)'!OZ15:PB15,"D"))*1))/(COUNTA(OZ15:PB15)),"")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(5ème6)'!PE15:PG15,"A"))*4)+((COUNTIF('Elève (5ème6)'!PE15:PG15,"B"))*3)+((COUNTIF('Elève (5ème6)'!PE15:PG15,"C"))*2)+((COUNTIF('Elève (5ème6)'!PE15:PG15,"D"))*1))/(COUNTA(PE15:PG15)),"")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(5ème6)'!PL15:PN15,"A"))*4)+((COUNTIF('Elève (5ème6)'!PL15:PN15,"B"))*3)+((COUNTIF('Elève (5ème6)'!PL15:PN15,"C"))*2)+((COUNTIF('Elève (5ème6)'!PL15:PN15,"D"))*1))/(COUNTA(PL15:PN15)),"")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(5ème6)'!PQ15:PS15,"A"))*4)+((COUNTIF('Elève (5ème6)'!PQ15:PS15,"B"))*3)+((COUNTIF('Elève (5ème6)'!PQ15:PS15,"C"))*2)+((COUNTIF('Elève (5ème6)'!PQ15:PS15,"D"))*1))/(COUNTA(PQ15:PS15)),"")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(5ème6)'!PV15:PX15,"A"))*4)+((COUNTIF('Elève (5ème6)'!PV15:PX15,"B"))*3)+((COUNTIF('Elève (5ème6)'!PV15:PX15,"C"))*2)+((COUNTIF('Elève (5ème6)'!PV15:PX15,"D"))*1))/(COUNTA(PV15:PX15)),"")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(5ème6)'!QC15:QE15,"A"))*4)+((COUNTIF('Elève (5ème6)'!QC15:QE15,"B"))*3)+((COUNTIF('Elève (5ème6)'!QC15:QE15,"C"))*2)+((COUNTIF('Elève (5ème6)'!QC15:QE15,"D"))*1))/(COUNTA(QC15:QE15)),"")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(5ème6)'!QH15:QJ15,"A"))*4)+((COUNTIF('Elève (5ème6)'!QH15:QJ15,"B"))*3)+((COUNTIF('Elève (5ème6)'!QH15:QJ15,"C"))*2)+((COUNTIF('Elève (5ème6)'!QH15:QJ15,"D"))*1))/(COUNTA(QH15:QJ15)),"")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(5ème6)'!QM15:QO15,"A"))*4)+((COUNTIF('Elève (5ème6)'!QM15:QO15,"B"))*3)+((COUNTIF('Elève (5ème6)'!QM15:QO15,"C"))*2)+((COUNTIF('Elève (5ème6)'!QM15:QO15,"D"))*1))/(COUNTA(QM15:QO15)),"")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(5ème6)'!QT15:QV15,"A"))*4)+((COUNTIF('Elève (5ème6)'!QT15:QV15,"B"))*3)+((COUNTIF('Elève (5ème6)'!QT15:QV15,"C"))*2)+((COUNTIF('Elève (5ème6)'!QT15:QV15,"D"))*1))/(COUNTA(QT15:QV15)),"")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(5ème6)'!QY15:RA15,"A"))*4)+((COUNTIF('Elève (5ème6)'!QY15:RA15,"B"))*3)+((COUNTIF('Elève (5ème6)'!QY15:RA15,"C"))*2)+((COUNTIF('Elève (5ème6)'!QY15:RA15,"D"))*1))/(COUNTA(QY15:RA15)),"")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(5ème6)'!RD15:RF15,"A"))*4)+((COUNTIF('Elève (5ème6)'!RD15:RF15,"B"))*3)+((COUNTIF('Elève (5ème6)'!RD15:RF15,"C"))*2)+((COUNTIF('Elève (5ème6)'!RD15:RF15,"D"))*1))/(COUNTA(RD15:RF15)),"")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(5ème6)'!RK15:RM15,"A"))*4)+((COUNTIF('Elève (5ème6)'!RK15:RM15,"B"))*3)+((COUNTIF('Elève (5ème6)'!RK15:RM15,"C"))*2)+((COUNTIF('Elève (5ème6)'!RK15:RM15,"D"))*1))/(COUNTA(RK15:RM15)),"")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(5ème6)'!RP15:RR15,"A"))*4)+((COUNTIF('Elève (5ème6)'!RP15:RR15,"B"))*3)+((COUNTIF('Elève (5ème6)'!RP15:RR15,"C"))*2)+((COUNTIF('Elève (5ème6)'!RP15:RR15,"D"))*1))/(COUNTA(RP15:RR15)),"")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(5ème6)'!RU15:RW15,"A"))*4)+((COUNTIF('Elève (5ème6)'!RU15:RW15,"B"))*3)+((COUNTIF('Elève (5ème6)'!RU15:RW15,"C"))*2)+((COUNTIF('Elève (5ème6)'!RU15:RW15,"D"))*1))/(COUNTA(RU15:RW15)),"")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(5ème6)'!SB15:SD15,"A"))*4)+((COUNTIF('Elève (5ème6)'!SB15:SD15,"B"))*3)+((COUNTIF('Elève (5ème6)'!SB15:SD15,"C"))*2)+((COUNTIF('Elève (5ème6)'!SB15:SD15,"D"))*1))/(COUNTA(SB15:SD15)),"")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(5ème6)'!SG15:SI15,"A"))*4)+((COUNTIF('Elève (5ème6)'!SG15:SI15,"B"))*3)+((COUNTIF('Elève (5ème6)'!SG15:SI15,"C"))*2)+((COUNTIF('Elève (5ème6)'!SG15:SI15,"D"))*1))/(COUNTA(SG15:SI15)),"")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(5ème6)'!SL15:SN15,"A"))*4)+((COUNTIF('Elève (5ème6)'!SL15:SN15,"B"))*3)+((COUNTIF('Elève (5ème6)'!SL15:SN15,"C"))*2)+((COUNTIF('Elève (5ème6)'!SL15:SN15,"D"))*1))/(COUNTA(SL15:SN15)),"")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3</v>
      </c>
      <c r="C16" s="152"/>
      <c r="D16" s="185"/>
      <c r="E16" s="185"/>
      <c r="F16" s="106">
        <f>IFERROR((((COUNTIF('Elève (5ème6)'!C17:E19,"A"))*4)+((COUNTIF('Elève (5ème6)'!C17:E19,"B"))*3)+((COUNTIF('Elève (5ème6)'!C17:E19,"C"))*2)+((COUNTIF('Elève (5ème6)'!C17:E19,"D"))*1))/(COUNTA(C17:E19)),"")</f>
        <v>4</v>
      </c>
      <c r="G16" s="107" t="str">
        <f t="shared" si="0"/>
        <v>A</v>
      </c>
      <c r="H16" s="204"/>
      <c r="I16" s="186"/>
      <c r="J16" s="205"/>
      <c r="K16" s="106" t="str">
        <f>IFERROR((((COUNTIF('Elève (5ème6)'!H17:J19,"A"))*4)+((COUNTIF('Elève (5ème6)'!H17:J19,"B"))*3)+((COUNTIF('Elève (5ème6)'!H17:J19,"C"))*2)+((COUNTIF('Elève (5ème6)'!H17:J19,"D"))*1))/(COUNTA(H17:J19)),"")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(5ème6)'!M17:O19,"A"))*4)+((COUNTIF('Elève (5ème6)'!M17:O19,"B"))*3)+((COUNTIF('Elève (5ème6)'!M17:O19,"C"))*2)+((COUNTIF('Elève (5ème6)'!M17:O19,"D"))*1))/(COUNTA(M17:O19)),"")</f>
        <v/>
      </c>
      <c r="Q16" s="128" t="str">
        <f t="shared" si="2"/>
        <v/>
      </c>
      <c r="R16" s="177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>4</v>
      </c>
      <c r="S16" s="130" t="str">
        <f t="shared" si="3"/>
        <v>A</v>
      </c>
      <c r="T16" s="152"/>
      <c r="U16" s="185"/>
      <c r="V16" s="185"/>
      <c r="W16" s="106">
        <f>IFERROR((((COUNTIF('Elève (5ème6)'!T17:V19,"A"))*4)+((COUNTIF('Elève (5ème6)'!T17:V19,"B"))*3)+((COUNTIF('Elève (5ème6)'!T17:V19,"C"))*2)+((COUNTIF('Elève (5ème6)'!T17:V19,"D"))*1))/(COUNTA(T17:V19)),"")</f>
        <v>4</v>
      </c>
      <c r="X16" s="107" t="str">
        <f t="shared" si="4"/>
        <v>A</v>
      </c>
      <c r="Y16" s="204"/>
      <c r="Z16" s="186"/>
      <c r="AA16" s="205"/>
      <c r="AB16" s="106" t="str">
        <f>IFERROR((((COUNTIF('Elève (5ème6)'!Y17:AA19,"A"))*4)+((COUNTIF('Elève (5ème6)'!Y17:AA19,"B"))*3)+((COUNTIF('Elève (5ème6)'!Y17:AA19,"C"))*2)+((COUNTIF('Elève (5ème6)'!Y17:AA19,"D"))*1))/(COUNTA(Y17:AA19)),"")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(5ème6)'!AD17:AF19,"A"))*4)+((COUNTIF('Elève (5ème6)'!AD17:AF19,"B"))*3)+((COUNTIF('Elève (5ème6)'!AD17:AF19,"C"))*2)+((COUNTIF('Elève (5ème6)'!AD17:AF19,"D"))*1))/(COUNTA(AD17:AF19)),"")</f>
        <v/>
      </c>
      <c r="AH16" s="128" t="str">
        <f t="shared" si="6"/>
        <v/>
      </c>
      <c r="AI16" s="177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>4</v>
      </c>
      <c r="AJ16" s="130" t="str">
        <f t="shared" si="7"/>
        <v>A</v>
      </c>
      <c r="AK16" s="152"/>
      <c r="AL16" s="185"/>
      <c r="AM16" s="185"/>
      <c r="AN16" s="106">
        <f>IFERROR((((COUNTIF('Elève (5ème6)'!AK17:AM19,"A"))*4)+((COUNTIF('Elève (5ème6)'!AK17:AM19,"B"))*3)+((COUNTIF('Elève (5ème6)'!AK17:AM19,"C"))*2)+((COUNTIF('Elève (5ème6)'!AK17:AM19,"D"))*1))/(COUNTA(AK17:AM19)),"")</f>
        <v>3</v>
      </c>
      <c r="AO16" s="107" t="str">
        <f t="shared" si="8"/>
        <v>B</v>
      </c>
      <c r="AP16" s="204"/>
      <c r="AQ16" s="186"/>
      <c r="AR16" s="205"/>
      <c r="AS16" s="106" t="str">
        <f>IFERROR((((COUNTIF('Elève (5ème6)'!AP17:AR19,"A"))*4)+((COUNTIF('Elève (5ème6)'!AP17:AR19,"B"))*3)+((COUNTIF('Elève (5ème6)'!AP17:AR19,"C"))*2)+((COUNTIF('Elève (5ème6)'!AP17:AR19,"D"))*1))/(COUNTA(AP17:AR19)),"")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(5ème6)'!AU17:AW19,"A"))*4)+((COUNTIF('Elève (5ème6)'!AU17:AW19,"B"))*3)+((COUNTIF('Elève (5ème6)'!AU17:AW19,"C"))*2)+((COUNTIF('Elève (5ème6)'!AU17:AW19,"D"))*1))/(COUNTA(AU17:AW19)),"")</f>
        <v/>
      </c>
      <c r="AY16" s="128" t="str">
        <f t="shared" si="10"/>
        <v/>
      </c>
      <c r="AZ16" s="177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>3</v>
      </c>
      <c r="BA16" s="130" t="str">
        <f t="shared" si="11"/>
        <v>B</v>
      </c>
      <c r="BB16" s="152"/>
      <c r="BC16" s="185"/>
      <c r="BD16" s="185"/>
      <c r="BE16" s="106">
        <f>IFERROR((((COUNTIF('Elève (5ème6)'!BB17:BD19,"A"))*4)+((COUNTIF('Elève (5ème6)'!BB17:BD19,"B"))*3)+((COUNTIF('Elève (5ème6)'!BB17:BD19,"C"))*2)+((COUNTIF('Elève (5ème6)'!BB17:BD19,"D"))*1))/(COUNTA(BB17:BD19)),"")</f>
        <v>4</v>
      </c>
      <c r="BF16" s="107" t="str">
        <f t="shared" si="12"/>
        <v>A</v>
      </c>
      <c r="BG16" s="204"/>
      <c r="BH16" s="186"/>
      <c r="BI16" s="205"/>
      <c r="BJ16" s="106" t="str">
        <f>IFERROR((((COUNTIF('Elève (5ème6)'!BG17:BI19,"A"))*4)+((COUNTIF('Elève (5ème6)'!BG17:BI19,"B"))*3)+((COUNTIF('Elève (5ème6)'!BG17:BI19,"C"))*2)+((COUNTIF('Elève (5ème6)'!BG17:BI19,"D"))*1))/(COUNTA(BG17:BI19)),"")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(5ème6)'!BL17:BN19,"A"))*4)+((COUNTIF('Elève (5ème6)'!BL17:BN19,"B"))*3)+((COUNTIF('Elève (5ème6)'!BL17:BN19,"C"))*2)+((COUNTIF('Elève (5ème6)'!BL17:BN19,"D"))*1))/(COUNTA(BL17:BN19)),"")</f>
        <v/>
      </c>
      <c r="BP16" s="128" t="str">
        <f t="shared" si="14"/>
        <v/>
      </c>
      <c r="BQ16" s="177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>4</v>
      </c>
      <c r="BR16" s="130" t="str">
        <f t="shared" si="15"/>
        <v>A</v>
      </c>
      <c r="BS16" s="152"/>
      <c r="BT16" s="185"/>
      <c r="BU16" s="185"/>
      <c r="BV16" s="106">
        <f>IFERROR((((COUNTIF('Elève (5ème6)'!BS17:BU19,"A"))*4)+((COUNTIF('Elève (5ème6)'!BS17:BU19,"B"))*3)+((COUNTIF('Elève (5ème6)'!BS17:BU19,"C"))*2)+((COUNTIF('Elève (5ème6)'!BS17:BU19,"D"))*1))/(COUNTA(BS17:BU19)),"")</f>
        <v>4</v>
      </c>
      <c r="BW16" s="107" t="str">
        <f t="shared" si="16"/>
        <v>A</v>
      </c>
      <c r="BX16" s="204"/>
      <c r="BY16" s="186"/>
      <c r="BZ16" s="205"/>
      <c r="CA16" s="106" t="str">
        <f>IFERROR((((COUNTIF('Elève (5ème6)'!BX17:BZ19,"A"))*4)+((COUNTIF('Elève (5ème6)'!BX17:BZ19,"B"))*3)+((COUNTIF('Elève (5ème6)'!BX17:BZ19,"C"))*2)+((COUNTIF('Elève (5ème6)'!BX17:BZ19,"D"))*1))/(COUNTA(BX17:BZ19)),"")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(5ème6)'!CC17:CE19,"A"))*4)+((COUNTIF('Elève (5ème6)'!CC17:CE19,"B"))*3)+((COUNTIF('Elève (5ème6)'!CC17:CE19,"C"))*2)+((COUNTIF('Elève (5ème6)'!CC17:CE19,"D"))*1))/(COUNTA(CC17:CE19)),"")</f>
        <v/>
      </c>
      <c r="CG16" s="128" t="str">
        <f t="shared" si="18"/>
        <v/>
      </c>
      <c r="CH16" s="177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>4</v>
      </c>
      <c r="CI16" s="130" t="str">
        <f t="shared" si="19"/>
        <v>A</v>
      </c>
      <c r="CJ16" s="152"/>
      <c r="CK16" s="185"/>
      <c r="CL16" s="185"/>
      <c r="CM16" s="106">
        <f>IFERROR((((COUNTIF('Elève (5ème6)'!CJ17:CL19,"A"))*4)+((COUNTIF('Elève (5ème6)'!CJ17:CL19,"B"))*3)+((COUNTIF('Elève (5ème6)'!CJ17:CL19,"C"))*2)+((COUNTIF('Elève (5ème6)'!CJ17:CL19,"D"))*1))/(COUNTA(CJ17:CL19)),"")</f>
        <v>3</v>
      </c>
      <c r="CN16" s="107" t="str">
        <f t="shared" si="20"/>
        <v>B</v>
      </c>
      <c r="CO16" s="204"/>
      <c r="CP16" s="186"/>
      <c r="CQ16" s="205"/>
      <c r="CR16" s="106" t="str">
        <f>IFERROR((((COUNTIF('Elève (5ème6)'!CO17:CQ19,"A"))*4)+((COUNTIF('Elève (5ème6)'!CO17:CQ19,"B"))*3)+((COUNTIF('Elève (5ème6)'!CO17:CQ19,"C"))*2)+((COUNTIF('Elève (5ème6)'!CO17:CQ19,"D"))*1))/(COUNTA(CO17:CQ19)),"")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(5ème6)'!CT17:CV19,"A"))*4)+((COUNTIF('Elève (5ème6)'!CT17:CV19,"B"))*3)+((COUNTIF('Elève (5ème6)'!CT17:CV19,"C"))*2)+((COUNTIF('Elève (5ème6)'!CT17:CV19,"D"))*1))/(COUNTA(CT17:CV19)),"")</f>
        <v/>
      </c>
      <c r="CX16" s="128" t="str">
        <f t="shared" si="22"/>
        <v/>
      </c>
      <c r="CY16" s="177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>3</v>
      </c>
      <c r="CZ16" s="130" t="str">
        <f t="shared" si="23"/>
        <v>B</v>
      </c>
      <c r="DA16" s="152"/>
      <c r="DB16" s="185"/>
      <c r="DC16" s="185"/>
      <c r="DD16" s="106">
        <f>IFERROR((((COUNTIF('Elève (5ème6)'!DA17:DC19,"A"))*4)+((COUNTIF('Elève (5ème6)'!DA17:DC19,"B"))*3)+((COUNTIF('Elève (5ème6)'!DA17:DC19,"C"))*2)+((COUNTIF('Elève (5ème6)'!DA17:DC19,"D"))*1))/(COUNTA(DA17:DC19)),"")</f>
        <v>4</v>
      </c>
      <c r="DE16" s="107" t="str">
        <f t="shared" si="24"/>
        <v>A</v>
      </c>
      <c r="DF16" s="204"/>
      <c r="DG16" s="186"/>
      <c r="DH16" s="205"/>
      <c r="DI16" s="106" t="str">
        <f>IFERROR((((COUNTIF('Elève (5ème6)'!DF17:DH19,"A"))*4)+((COUNTIF('Elève (5ème6)'!DF17:DH19,"B"))*3)+((COUNTIF('Elève (5ème6)'!DF17:DH19,"C"))*2)+((COUNTIF('Elève (5ème6)'!DF17:DH19,"D"))*1))/(COUNTA(DF17:DH19)),"")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(5ème6)'!DK17:DM19,"A"))*4)+((COUNTIF('Elève (5ème6)'!DK17:DM19,"B"))*3)+((COUNTIF('Elève (5ème6)'!DK17:DM19,"C"))*2)+((COUNTIF('Elève (5ème6)'!DK17:DM19,"D"))*1))/(COUNTA(DK17:DM19)),"")</f>
        <v/>
      </c>
      <c r="DO16" s="128" t="str">
        <f t="shared" si="26"/>
        <v/>
      </c>
      <c r="DP16" s="177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>4</v>
      </c>
      <c r="DQ16" s="130" t="str">
        <f t="shared" si="27"/>
        <v>A</v>
      </c>
      <c r="DR16" s="152"/>
      <c r="DS16" s="185"/>
      <c r="DT16" s="185"/>
      <c r="DU16" s="106">
        <f>IFERROR((((COUNTIF('Elève (5ème6)'!DR17:DT19,"A"))*4)+((COUNTIF('Elève (5ème6)'!DR17:DT19,"B"))*3)+((COUNTIF('Elève (5ème6)'!DR17:DT19,"C"))*2)+((COUNTIF('Elève (5ème6)'!DR17:DT19,"D"))*1))/(COUNTA(DR17:DT19)),"")</f>
        <v>4</v>
      </c>
      <c r="DV16" s="107" t="str">
        <f t="shared" si="28"/>
        <v>A</v>
      </c>
      <c r="DW16" s="204"/>
      <c r="DX16" s="186"/>
      <c r="DY16" s="205"/>
      <c r="DZ16" s="106" t="str">
        <f>IFERROR((((COUNTIF('Elève (5ème6)'!DW17:DY19,"A"))*4)+((COUNTIF('Elève (5ème6)'!DW17:DY19,"B"))*3)+((COUNTIF('Elève (5ème6)'!DW17:DY19,"C"))*2)+((COUNTIF('Elève (5ème6)'!DW17:DY19,"D"))*1))/(COUNTA(DW17:DY19)),"")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(5ème6)'!EB17:ED19,"A"))*4)+((COUNTIF('Elève (5ème6)'!EB17:ED19,"B"))*3)+((COUNTIF('Elève (5ème6)'!EB17:ED19,"C"))*2)+((COUNTIF('Elève (5ème6)'!EB17:ED19,"D"))*1))/(COUNTA(EB17:ED19)),"")</f>
        <v/>
      </c>
      <c r="EF16" s="128" t="str">
        <f t="shared" si="30"/>
        <v/>
      </c>
      <c r="EG16" s="177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>4</v>
      </c>
      <c r="EH16" s="130" t="str">
        <f t="shared" si="31"/>
        <v>A</v>
      </c>
      <c r="EI16" s="152"/>
      <c r="EJ16" s="185"/>
      <c r="EK16" s="185"/>
      <c r="EL16" s="106">
        <f>IFERROR((((COUNTIF('Elève (5ème6)'!EI17:EK19,"A"))*4)+((COUNTIF('Elève (5ème6)'!EI17:EK19,"B"))*3)+((COUNTIF('Elève (5ème6)'!EI17:EK19,"C"))*2)+((COUNTIF('Elève (5ème6)'!EI17:EK19,"D"))*1))/(COUNTA(EI17:EK19)),"")</f>
        <v>4</v>
      </c>
      <c r="EM16" s="107" t="str">
        <f t="shared" si="32"/>
        <v>A</v>
      </c>
      <c r="EN16" s="204"/>
      <c r="EO16" s="186"/>
      <c r="EP16" s="205"/>
      <c r="EQ16" s="106" t="str">
        <f>IFERROR((((COUNTIF('Elève (5ème6)'!EN17:EP19,"A"))*4)+((COUNTIF('Elève (5ème6)'!EN17:EP19,"B"))*3)+((COUNTIF('Elève (5ème6)'!EN17:EP19,"C"))*2)+((COUNTIF('Elève (5ème6)'!EN17:EP19,"D"))*1))/(COUNTA(EN17:EP19)),"")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(5ème6)'!ES17:EU19,"A"))*4)+((COUNTIF('Elève (5ème6)'!ES17:EU19,"B"))*3)+((COUNTIF('Elève (5ème6)'!ES17:EU19,"C"))*2)+((COUNTIF('Elève (5ème6)'!ES17:EU19,"D"))*1))/(COUNTA(ES17:EU19)),"")</f>
        <v/>
      </c>
      <c r="EW16" s="128" t="str">
        <f t="shared" si="34"/>
        <v/>
      </c>
      <c r="EX16" s="177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>4</v>
      </c>
      <c r="EY16" s="130" t="str">
        <f t="shared" si="35"/>
        <v>A</v>
      </c>
      <c r="EZ16" s="152"/>
      <c r="FA16" s="185"/>
      <c r="FB16" s="185"/>
      <c r="FC16" s="106">
        <f>IFERROR((((COUNTIF('Elève (5ème6)'!EZ17:FB19,"A"))*4)+((COUNTIF('Elève (5ème6)'!EZ17:FB19,"B"))*3)+((COUNTIF('Elève (5ème6)'!EZ17:FB19,"C"))*2)+((COUNTIF('Elève (5ème6)'!EZ17:FB19,"D"))*1))/(COUNTA(EZ17:FB19)),"")</f>
        <v>4</v>
      </c>
      <c r="FD16" s="107" t="str">
        <f t="shared" si="36"/>
        <v>A</v>
      </c>
      <c r="FE16" s="204"/>
      <c r="FF16" s="186"/>
      <c r="FG16" s="205"/>
      <c r="FH16" s="106" t="str">
        <f>IFERROR((((COUNTIF('Elève (5ème6)'!FE17:FG19,"A"))*4)+((COUNTIF('Elève (5ème6)'!FE17:FG19,"B"))*3)+((COUNTIF('Elève (5ème6)'!FE17:FG19,"C"))*2)+((COUNTIF('Elève (5ème6)'!FE17:FG19,"D"))*1))/(COUNTA(FE17:FG19)),"")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(5ème6)'!FJ17:FL19,"A"))*4)+((COUNTIF('Elève (5ème6)'!FJ17:FL19,"B"))*3)+((COUNTIF('Elève (5ème6)'!FJ17:FL19,"C"))*2)+((COUNTIF('Elève (5ème6)'!FJ17:FL19,"D"))*1))/(COUNTA(FJ17:FL19)),"")</f>
        <v/>
      </c>
      <c r="FN16" s="128" t="str">
        <f t="shared" si="38"/>
        <v/>
      </c>
      <c r="FO16" s="177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>4</v>
      </c>
      <c r="FP16" s="130" t="str">
        <f t="shared" si="39"/>
        <v>A</v>
      </c>
      <c r="FQ16" s="152"/>
      <c r="FR16" s="185"/>
      <c r="FS16" s="185"/>
      <c r="FT16" s="106">
        <f>IFERROR((((COUNTIF('Elève (5ème6)'!FQ17:FS19,"A"))*4)+((COUNTIF('Elève (5ème6)'!FQ17:FS19,"B"))*3)+((COUNTIF('Elève (5ème6)'!FQ17:FS19,"C"))*2)+((COUNTIF('Elève (5ème6)'!FQ17:FS19,"D"))*1))/(COUNTA(FQ17:FS19)),"")</f>
        <v>4</v>
      </c>
      <c r="FU16" s="107" t="str">
        <f t="shared" si="40"/>
        <v>A</v>
      </c>
      <c r="FV16" s="204"/>
      <c r="FW16" s="186"/>
      <c r="FX16" s="205"/>
      <c r="FY16" s="106" t="str">
        <f>IFERROR((((COUNTIF('Elève (5ème6)'!FV17:FX19,"A"))*4)+((COUNTIF('Elève (5ème6)'!FV17:FX19,"B"))*3)+((COUNTIF('Elève (5ème6)'!FV17:FX19,"C"))*2)+((COUNTIF('Elève (5ème6)'!FV17:FX19,"D"))*1))/(COUNTA(FV17:FX19)),"")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(5ème6)'!GA17:GC19,"A"))*4)+((COUNTIF('Elève (5ème6)'!GA17:GC19,"B"))*3)+((COUNTIF('Elève (5ème6)'!GA17:GC19,"C"))*2)+((COUNTIF('Elève (5ème6)'!GA17:GC19,"D"))*1))/(COUNTA(GA17:GC19)),"")</f>
        <v/>
      </c>
      <c r="GE16" s="128" t="str">
        <f t="shared" si="42"/>
        <v/>
      </c>
      <c r="GF16" s="177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>4</v>
      </c>
      <c r="GG16" s="130" t="str">
        <f t="shared" si="43"/>
        <v>A</v>
      </c>
      <c r="GH16" s="152"/>
      <c r="GI16" s="185"/>
      <c r="GJ16" s="185"/>
      <c r="GK16" s="106">
        <f>IFERROR((((COUNTIF('Elève (5ème6)'!GH17:GJ19,"A"))*4)+((COUNTIF('Elève (5ème6)'!GH17:GJ19,"B"))*3)+((COUNTIF('Elève (5ème6)'!GH17:GJ19,"C"))*2)+((COUNTIF('Elève (5ème6)'!GH17:GJ19,"D"))*1))/(COUNTA(GH17:GJ19)),"")</f>
        <v>4</v>
      </c>
      <c r="GL16" s="107" t="str">
        <f t="shared" si="44"/>
        <v>A</v>
      </c>
      <c r="GM16" s="204"/>
      <c r="GN16" s="186"/>
      <c r="GO16" s="205"/>
      <c r="GP16" s="106" t="str">
        <f>IFERROR((((COUNTIF('Elève (5ème6)'!GM17:GO19,"A"))*4)+((COUNTIF('Elève (5ème6)'!GM17:GO19,"B"))*3)+((COUNTIF('Elève (5ème6)'!GM17:GO19,"C"))*2)+((COUNTIF('Elève (5ème6)'!GM17:GO19,"D"))*1))/(COUNTA(GM17:GO19)),"")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(5ème6)'!GR17:GT19,"A"))*4)+((COUNTIF('Elève (5ème6)'!GR17:GT19,"B"))*3)+((COUNTIF('Elève (5ème6)'!GR17:GT19,"C"))*2)+((COUNTIF('Elève (5ème6)'!GR17:GT19,"D"))*1))/(COUNTA(GR17:GT19)),"")</f>
        <v/>
      </c>
      <c r="GV16" s="128" t="str">
        <f t="shared" si="46"/>
        <v/>
      </c>
      <c r="GW16" s="177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>4</v>
      </c>
      <c r="GX16" s="130" t="str">
        <f t="shared" si="47"/>
        <v>A</v>
      </c>
      <c r="GY16" s="152"/>
      <c r="GZ16" s="185"/>
      <c r="HA16" s="185"/>
      <c r="HB16" s="106">
        <f>IFERROR((((COUNTIF('Elève (5ème6)'!GY17:HA19,"A"))*4)+((COUNTIF('Elève (5ème6)'!GY17:HA19,"B"))*3)+((COUNTIF('Elève (5ème6)'!GY17:HA19,"C"))*2)+((COUNTIF('Elève (5ème6)'!GY17:HA19,"D"))*1))/(COUNTA(GY17:HA19)),"")</f>
        <v>4</v>
      </c>
      <c r="HC16" s="107" t="str">
        <f t="shared" si="48"/>
        <v>A</v>
      </c>
      <c r="HD16" s="204"/>
      <c r="HE16" s="186"/>
      <c r="HF16" s="205"/>
      <c r="HG16" s="106" t="str">
        <f>IFERROR((((COUNTIF('Elève (5ème6)'!HD17:HF19,"A"))*4)+((COUNTIF('Elève (5ème6)'!HD17:HF19,"B"))*3)+((COUNTIF('Elève (5ème6)'!HD17:HF19,"C"))*2)+((COUNTIF('Elève (5ème6)'!HD17:HF19,"D"))*1))/(COUNTA(HD17:HF19)),"")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(5ème6)'!HI17:HK19,"A"))*4)+((COUNTIF('Elève (5ème6)'!HI17:HK19,"B"))*3)+((COUNTIF('Elève (5ème6)'!HI17:HK19,"C"))*2)+((COUNTIF('Elève (5ème6)'!HI17:HK19,"D"))*1))/(COUNTA(HI17:HK19)),"")</f>
        <v/>
      </c>
      <c r="HM16" s="128" t="str">
        <f t="shared" si="50"/>
        <v/>
      </c>
      <c r="HN16" s="177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>4</v>
      </c>
      <c r="HO16" s="130" t="str">
        <f t="shared" si="51"/>
        <v>A</v>
      </c>
      <c r="HP16" s="152"/>
      <c r="HQ16" s="185"/>
      <c r="HR16" s="185"/>
      <c r="HS16" s="106">
        <f>IFERROR((((COUNTIF('Elève (5ème6)'!HP17:HR19,"A"))*4)+((COUNTIF('Elève (5ème6)'!HP17:HR19,"B"))*3)+((COUNTIF('Elève (5ème6)'!HP17:HR19,"C"))*2)+((COUNTIF('Elève (5ème6)'!HP17:HR19,"D"))*1))/(COUNTA(HP17:HR19)),"")</f>
        <v>4</v>
      </c>
      <c r="HT16" s="107" t="str">
        <f t="shared" si="52"/>
        <v>A</v>
      </c>
      <c r="HU16" s="204"/>
      <c r="HV16" s="186"/>
      <c r="HW16" s="205"/>
      <c r="HX16" s="106" t="str">
        <f>IFERROR((((COUNTIF('Elève (5ème6)'!HU17:HW19,"A"))*4)+((COUNTIF('Elève (5ème6)'!HU17:HW19,"B"))*3)+((COUNTIF('Elève (5ème6)'!HU17:HW19,"C"))*2)+((COUNTIF('Elève (5ème6)'!HU17:HW19,"D"))*1))/(COUNTA(HU17:HW19)),"")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(5ème6)'!HZ17:IB19,"A"))*4)+((COUNTIF('Elève (5ème6)'!HZ17:IB19,"B"))*3)+((COUNTIF('Elève (5ème6)'!HZ17:IB19,"C"))*2)+((COUNTIF('Elève (5ème6)'!HZ17:IB19,"D"))*1))/(COUNTA(HZ17:IB19)),"")</f>
        <v/>
      </c>
      <c r="ID16" s="128" t="str">
        <f t="shared" si="54"/>
        <v/>
      </c>
      <c r="IE16" s="177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>4</v>
      </c>
      <c r="IF16" s="130" t="str">
        <f t="shared" si="55"/>
        <v>A</v>
      </c>
      <c r="IG16" s="152"/>
      <c r="IH16" s="185"/>
      <c r="II16" s="185"/>
      <c r="IJ16" s="106">
        <f>IFERROR((((COUNTIF('Elève (5ème6)'!IG17:II19,"A"))*4)+((COUNTIF('Elève (5ème6)'!IG17:II19,"B"))*3)+((COUNTIF('Elève (5ème6)'!IG17:II19,"C"))*2)+((COUNTIF('Elève (5ème6)'!IG17:II19,"D"))*1))/(COUNTA(IG17:II19)),"")</f>
        <v>4</v>
      </c>
      <c r="IK16" s="107" t="str">
        <f t="shared" si="56"/>
        <v>A</v>
      </c>
      <c r="IL16" s="204"/>
      <c r="IM16" s="186"/>
      <c r="IN16" s="205"/>
      <c r="IO16" s="106" t="str">
        <f>IFERROR((((COUNTIF('Elève (5ème6)'!IL17:IN19,"A"))*4)+((COUNTIF('Elève (5ème6)'!IL17:IN19,"B"))*3)+((COUNTIF('Elève (5ème6)'!IL17:IN19,"C"))*2)+((COUNTIF('Elève (5ème6)'!IL17:IN19,"D"))*1))/(COUNTA(IL17:IN19)),"")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(5ème6)'!IQ17:IS19,"A"))*4)+((COUNTIF('Elève (5ème6)'!IQ17:IS19,"B"))*3)+((COUNTIF('Elève (5ème6)'!IQ17:IS19,"C"))*2)+((COUNTIF('Elève (5ème6)'!IQ17:IS19,"D"))*1))/(COUNTA(IQ17:IS19)),"")</f>
        <v/>
      </c>
      <c r="IU16" s="128" t="str">
        <f t="shared" si="58"/>
        <v/>
      </c>
      <c r="IV16" s="177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>4</v>
      </c>
      <c r="IW16" s="130" t="str">
        <f t="shared" si="59"/>
        <v>A</v>
      </c>
      <c r="IX16" s="152"/>
      <c r="IY16" s="185"/>
      <c r="IZ16" s="185"/>
      <c r="JA16" s="106">
        <f>IFERROR((((COUNTIF('Elève (5ème6)'!IX17:IZ19,"A"))*4)+((COUNTIF('Elève (5ème6)'!IX17:IZ19,"B"))*3)+((COUNTIF('Elève (5ème6)'!IX17:IZ19,"C"))*2)+((COUNTIF('Elève (5ème6)'!IX17:IZ19,"D"))*1))/(COUNTA(IX17:IZ19)),"")</f>
        <v>4</v>
      </c>
      <c r="JB16" s="107" t="str">
        <f t="shared" si="60"/>
        <v>A</v>
      </c>
      <c r="JC16" s="204"/>
      <c r="JD16" s="186"/>
      <c r="JE16" s="205"/>
      <c r="JF16" s="106" t="str">
        <f>IFERROR((((COUNTIF('Elève (5ème6)'!JC17:JE19,"A"))*4)+((COUNTIF('Elève (5ème6)'!JC17:JE19,"B"))*3)+((COUNTIF('Elève (5ème6)'!JC17:JE19,"C"))*2)+((COUNTIF('Elève (5ème6)'!JC17:JE19,"D"))*1))/(COUNTA(JC17:JE19)),"")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(5ème6)'!JH17:JJ19,"A"))*4)+((COUNTIF('Elève (5ème6)'!JH17:JJ19,"B"))*3)+((COUNTIF('Elève (5ème6)'!JH17:JJ19,"C"))*2)+((COUNTIF('Elève (5ème6)'!JH17:JJ19,"D"))*1))/(COUNTA(JH17:JJ19)),"")</f>
        <v/>
      </c>
      <c r="JL16" s="128" t="str">
        <f t="shared" si="62"/>
        <v/>
      </c>
      <c r="JM16" s="177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>4</v>
      </c>
      <c r="JN16" s="130" t="str">
        <f t="shared" si="63"/>
        <v>A</v>
      </c>
      <c r="JO16" s="152"/>
      <c r="JP16" s="185"/>
      <c r="JQ16" s="185"/>
      <c r="JR16" s="106">
        <f>IFERROR((((COUNTIF('Elève (5ème6)'!JO17:JQ19,"A"))*4)+((COUNTIF('Elève (5ème6)'!JO17:JQ19,"B"))*3)+((COUNTIF('Elève (5ème6)'!JO17:JQ19,"C"))*2)+((COUNTIF('Elève (5ème6)'!JO17:JQ19,"D"))*1))/(COUNTA(JO17:JQ19)),"")</f>
        <v>4</v>
      </c>
      <c r="JS16" s="107" t="str">
        <f t="shared" si="64"/>
        <v>A</v>
      </c>
      <c r="JT16" s="204"/>
      <c r="JU16" s="186"/>
      <c r="JV16" s="205"/>
      <c r="JW16" s="106" t="str">
        <f>IFERROR((((COUNTIF('Elève (5ème6)'!JT17:JV19,"A"))*4)+((COUNTIF('Elève (5ème6)'!JT17:JV19,"B"))*3)+((COUNTIF('Elève (5ème6)'!JT17:JV19,"C"))*2)+((COUNTIF('Elève (5ème6)'!JT17:JV19,"D"))*1))/(COUNTA(JT17:JV19)),"")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(5ème6)'!JY17:KA19,"A"))*4)+((COUNTIF('Elève (5ème6)'!JY17:KA19,"B"))*3)+((COUNTIF('Elève (5ème6)'!JY17:KA19,"C"))*2)+((COUNTIF('Elève (5ème6)'!JY17:KA19,"D"))*1))/(COUNTA(JY17:KA19)),"")</f>
        <v/>
      </c>
      <c r="KC16" s="128" t="str">
        <f t="shared" si="66"/>
        <v/>
      </c>
      <c r="KD16" s="177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>4</v>
      </c>
      <c r="KE16" s="130" t="str">
        <f t="shared" si="67"/>
        <v>A</v>
      </c>
      <c r="KF16" s="152"/>
      <c r="KG16" s="185"/>
      <c r="KH16" s="185"/>
      <c r="KI16" s="106">
        <f>IFERROR((((COUNTIF('Elève (5ème6)'!KF17:KH19,"A"))*4)+((COUNTIF('Elève (5ème6)'!KF17:KH19,"B"))*3)+((COUNTIF('Elève (5ème6)'!KF17:KH19,"C"))*2)+((COUNTIF('Elève (5ème6)'!KF17:KH19,"D"))*1))/(COUNTA(KF17:KH19)),"")</f>
        <v>4</v>
      </c>
      <c r="KJ16" s="107" t="str">
        <f t="shared" si="68"/>
        <v>A</v>
      </c>
      <c r="KK16" s="204"/>
      <c r="KL16" s="186"/>
      <c r="KM16" s="205"/>
      <c r="KN16" s="106" t="str">
        <f>IFERROR((((COUNTIF('Elève (5ème6)'!KK17:KM19,"A"))*4)+((COUNTIF('Elève (5ème6)'!KK17:KM19,"B"))*3)+((COUNTIF('Elève (5ème6)'!KK17:KM19,"C"))*2)+((COUNTIF('Elève (5ème6)'!KK17:KM19,"D"))*1))/(COUNTA(KK17:KM19)),"")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(5ème6)'!KP17:KR19,"A"))*4)+((COUNTIF('Elève (5ème6)'!KP17:KR19,"B"))*3)+((COUNTIF('Elève (5ème6)'!KP17:KR19,"C"))*2)+((COUNTIF('Elève (5ème6)'!KP17:KR19,"D"))*1))/(COUNTA(KP17:KR19)),"")</f>
        <v/>
      </c>
      <c r="KT16" s="128" t="str">
        <f t="shared" si="70"/>
        <v/>
      </c>
      <c r="KU16" s="177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>4</v>
      </c>
      <c r="KV16" s="130" t="str">
        <f t="shared" si="71"/>
        <v>A</v>
      </c>
      <c r="KW16" s="152"/>
      <c r="KX16" s="185"/>
      <c r="KY16" s="185"/>
      <c r="KZ16" s="106">
        <f>IFERROR((((COUNTIF('Elève (5ème6)'!KW17:KY19,"A"))*4)+((COUNTIF('Elève (5ème6)'!KW17:KY19,"B"))*3)+((COUNTIF('Elève (5ème6)'!KW17:KY19,"C"))*2)+((COUNTIF('Elève (5ème6)'!KW17:KY19,"D"))*1))/(COUNTA(KW17:KY19)),"")</f>
        <v>4</v>
      </c>
      <c r="LA16" s="107" t="str">
        <f t="shared" si="72"/>
        <v>A</v>
      </c>
      <c r="LB16" s="204"/>
      <c r="LC16" s="186"/>
      <c r="LD16" s="205"/>
      <c r="LE16" s="106" t="str">
        <f>IFERROR((((COUNTIF('Elève (5ème6)'!LB17:LD19,"A"))*4)+((COUNTIF('Elève (5ème6)'!LB17:LD19,"B"))*3)+((COUNTIF('Elève (5ème6)'!LB17:LD19,"C"))*2)+((COUNTIF('Elève (5ème6)'!LB17:LD19,"D"))*1))/(COUNTA(LB17:LD19)),"")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(5ème6)'!LG17:LI19,"A"))*4)+((COUNTIF('Elève (5ème6)'!LG17:LI19,"B"))*3)+((COUNTIF('Elève (5ème6)'!LG17:LI19,"C"))*2)+((COUNTIF('Elève (5ème6)'!LG17:LI19,"D"))*1))/(COUNTA(LG17:LI19)),"")</f>
        <v/>
      </c>
      <c r="LK16" s="128" t="str">
        <f t="shared" si="74"/>
        <v/>
      </c>
      <c r="LL16" s="177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>4</v>
      </c>
      <c r="LM16" s="130" t="str">
        <f t="shared" si="75"/>
        <v>A</v>
      </c>
      <c r="LN16" s="152"/>
      <c r="LO16" s="185"/>
      <c r="LP16" s="185"/>
      <c r="LQ16" s="106">
        <f>IFERROR((((COUNTIF('Elève (5ème6)'!LN17:LP19,"A"))*4)+((COUNTIF('Elève (5ème6)'!LN17:LP19,"B"))*3)+((COUNTIF('Elève (5ème6)'!LN17:LP19,"C"))*2)+((COUNTIF('Elève (5ème6)'!LN17:LP19,"D"))*1))/(COUNTA(LN17:LP19)),"")</f>
        <v>2</v>
      </c>
      <c r="LR16" s="107" t="str">
        <f t="shared" si="76"/>
        <v>C</v>
      </c>
      <c r="LS16" s="204"/>
      <c r="LT16" s="186"/>
      <c r="LU16" s="205"/>
      <c r="LV16" s="106" t="str">
        <f>IFERROR((((COUNTIF('Elève (5ème6)'!LS17:LU19,"A"))*4)+((COUNTIF('Elève (5ème6)'!LS17:LU19,"B"))*3)+((COUNTIF('Elève (5ème6)'!LS17:LU19,"C"))*2)+((COUNTIF('Elève (5ème6)'!LS17:LU19,"D"))*1))/(COUNTA(LS17:LU19)),"")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(5ème6)'!LX17:LZ19,"A"))*4)+((COUNTIF('Elève (5ème6)'!LX17:LZ19,"B"))*3)+((COUNTIF('Elève (5ème6)'!LX17:LZ19,"C"))*2)+((COUNTIF('Elève (5ème6)'!LX17:LZ19,"D"))*1))/(COUNTA(LX17:LZ19)),"")</f>
        <v/>
      </c>
      <c r="MB16" s="128" t="str">
        <f t="shared" si="78"/>
        <v/>
      </c>
      <c r="MC16" s="177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>2</v>
      </c>
      <c r="MD16" s="130" t="str">
        <f t="shared" si="79"/>
        <v>C</v>
      </c>
      <c r="ME16" s="152"/>
      <c r="MF16" s="185"/>
      <c r="MG16" s="185"/>
      <c r="MH16" s="106">
        <f>IFERROR((((COUNTIF('Elève (5ème6)'!ME17:MG19,"A"))*4)+((COUNTIF('Elève (5ème6)'!ME17:MG19,"B"))*3)+((COUNTIF('Elève (5ème6)'!ME17:MG19,"C"))*2)+((COUNTIF('Elève (5ème6)'!ME17:MG19,"D"))*1))/(COUNTA(ME17:MG19)),"")</f>
        <v>4</v>
      </c>
      <c r="MI16" s="107" t="str">
        <f t="shared" si="80"/>
        <v>A</v>
      </c>
      <c r="MJ16" s="204"/>
      <c r="MK16" s="186"/>
      <c r="ML16" s="205"/>
      <c r="MM16" s="106" t="str">
        <f>IFERROR((((COUNTIF('Elève (5ème6)'!MJ17:ML19,"A"))*4)+((COUNTIF('Elève (5ème6)'!MJ17:ML19,"B"))*3)+((COUNTIF('Elève (5ème6)'!MJ17:ML19,"C"))*2)+((COUNTIF('Elève (5ème6)'!MJ17:ML19,"D"))*1))/(COUNTA(MJ17:ML19)),"")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(5ème6)'!MO17:MQ19,"A"))*4)+((COUNTIF('Elève (5ème6)'!MO17:MQ19,"B"))*3)+((COUNTIF('Elève (5ème6)'!MO17:MQ19,"C"))*2)+((COUNTIF('Elève (5ème6)'!MO17:MQ19,"D"))*1))/(COUNTA(MO17:MQ19)),"")</f>
        <v/>
      </c>
      <c r="MS16" s="128" t="str">
        <f t="shared" si="82"/>
        <v/>
      </c>
      <c r="MT16" s="177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>4</v>
      </c>
      <c r="MU16" s="130" t="str">
        <f t="shared" si="83"/>
        <v>A</v>
      </c>
      <c r="MV16" s="152"/>
      <c r="MW16" s="185"/>
      <c r="MX16" s="185"/>
      <c r="MY16" s="106">
        <f>IFERROR((((COUNTIF('Elève (5ème6)'!MV17:MX19,"A"))*4)+((COUNTIF('Elève (5ème6)'!MV17:MX19,"B"))*3)+((COUNTIF('Elève (5ème6)'!MV17:MX19,"C"))*2)+((COUNTIF('Elève (5ème6)'!MV17:MX19,"D"))*1))/(COUNTA(MV17:MX19)),"")</f>
        <v>4</v>
      </c>
      <c r="MZ16" s="107" t="str">
        <f t="shared" si="84"/>
        <v>A</v>
      </c>
      <c r="NA16" s="204"/>
      <c r="NB16" s="186"/>
      <c r="NC16" s="205"/>
      <c r="ND16" s="106" t="str">
        <f>IFERROR((((COUNTIF('Elève (5ème6)'!NA17:NC19,"A"))*4)+((COUNTIF('Elève (5ème6)'!NA17:NC19,"B"))*3)+((COUNTIF('Elève (5ème6)'!NA17:NC19,"C"))*2)+((COUNTIF('Elève (5ème6)'!NA17:NC19,"D"))*1))/(COUNTA(NA17:NC19)),"")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(5ème6)'!NF17:NH19,"A"))*4)+((COUNTIF('Elève (5ème6)'!NF17:NH19,"B"))*3)+((COUNTIF('Elève (5ème6)'!NF17:NH19,"C"))*2)+((COUNTIF('Elève (5ème6)'!NF17:NH19,"D"))*1))/(COUNTA(NF17:NH19)),"")</f>
        <v/>
      </c>
      <c r="NJ16" s="128" t="str">
        <f t="shared" si="86"/>
        <v/>
      </c>
      <c r="NK16" s="177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>4</v>
      </c>
      <c r="NL16" s="130" t="str">
        <f t="shared" si="87"/>
        <v>A</v>
      </c>
      <c r="NM16" s="152"/>
      <c r="NN16" s="185"/>
      <c r="NO16" s="185"/>
      <c r="NP16" s="106">
        <f>IFERROR((((COUNTIF('Elève (5ème6)'!NM17:NO19,"A"))*4)+((COUNTIF('Elève (5ème6)'!NM17:NO19,"B"))*3)+((COUNTIF('Elève (5ème6)'!NM17:NO19,"C"))*2)+((COUNTIF('Elève (5ème6)'!NM17:NO19,"D"))*1))/(COUNTA(NM17:NO19)),"")</f>
        <v>4</v>
      </c>
      <c r="NQ16" s="107" t="str">
        <f t="shared" si="88"/>
        <v>A</v>
      </c>
      <c r="NR16" s="204"/>
      <c r="NS16" s="186"/>
      <c r="NT16" s="205"/>
      <c r="NU16" s="106" t="str">
        <f>IFERROR((((COUNTIF('Elève (5ème6)'!NR17:NT19,"A"))*4)+((COUNTIF('Elève (5ème6)'!NR17:NT19,"B"))*3)+((COUNTIF('Elève (5ème6)'!NR17:NT19,"C"))*2)+((COUNTIF('Elève (5ème6)'!NR17:NT19,"D"))*1))/(COUNTA(NR17:NT19)),"")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(5ème6)'!NW17:NY19,"A"))*4)+((COUNTIF('Elève (5ème6)'!NW17:NY19,"B"))*3)+((COUNTIF('Elève (5ème6)'!NW17:NY19,"C"))*2)+((COUNTIF('Elève (5ème6)'!NW17:NY19,"D"))*1))/(COUNTA(NW17:NY19)),"")</f>
        <v/>
      </c>
      <c r="OA16" s="128" t="str">
        <f t="shared" si="90"/>
        <v/>
      </c>
      <c r="OB16" s="177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>4</v>
      </c>
      <c r="OC16" s="130" t="str">
        <f t="shared" si="91"/>
        <v>A</v>
      </c>
      <c r="OD16" s="152"/>
      <c r="OE16" s="185"/>
      <c r="OF16" s="185"/>
      <c r="OG16" s="106">
        <f>IFERROR((((COUNTIF('Elève (5ème6)'!OD17:OF19,"A"))*4)+((COUNTIF('Elève (5ème6)'!OD17:OF19,"B"))*3)+((COUNTIF('Elève (5ème6)'!OD17:OF19,"C"))*2)+((COUNTIF('Elève (5ème6)'!OD17:OF19,"D"))*1))/(COUNTA(OD17:OF19)),"")</f>
        <v>4</v>
      </c>
      <c r="OH16" s="107" t="str">
        <f t="shared" si="92"/>
        <v>A</v>
      </c>
      <c r="OI16" s="204"/>
      <c r="OJ16" s="186"/>
      <c r="OK16" s="205"/>
      <c r="OL16" s="106" t="str">
        <f>IFERROR((((COUNTIF('Elève (5ème6)'!OI17:OK19,"A"))*4)+((COUNTIF('Elève (5ème6)'!OI17:OK19,"B"))*3)+((COUNTIF('Elève (5ème6)'!OI17:OK19,"C"))*2)+((COUNTIF('Elève (5ème6)'!OI17:OK19,"D"))*1))/(COUNTA(OI17:OK19)),"")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(5ème6)'!ON17:OP19,"A"))*4)+((COUNTIF('Elève (5ème6)'!ON17:OP19,"B"))*3)+((COUNTIF('Elève (5ème6)'!ON17:OP19,"C"))*2)+((COUNTIF('Elève (5ème6)'!ON17:OP19,"D"))*1))/(COUNTA(ON17:OP19)),"")</f>
        <v/>
      </c>
      <c r="OR16" s="128" t="str">
        <f t="shared" si="94"/>
        <v/>
      </c>
      <c r="OS16" s="177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>4</v>
      </c>
      <c r="OT16" s="130" t="str">
        <f t="shared" si="95"/>
        <v>A</v>
      </c>
      <c r="OU16" s="152"/>
      <c r="OV16" s="185"/>
      <c r="OW16" s="185"/>
      <c r="OX16" s="106">
        <f>IFERROR((((COUNTIF('Elève (5ème6)'!OU17:OW19,"A"))*4)+((COUNTIF('Elève (5ème6)'!OU17:OW19,"B"))*3)+((COUNTIF('Elève (5ème6)'!OU17:OW19,"C"))*2)+((COUNTIF('Elève (5ème6)'!OU17:OW19,"D"))*1))/(COUNTA(OU17:OW19)),"")</f>
        <v>4</v>
      </c>
      <c r="OY16" s="107" t="str">
        <f t="shared" si="96"/>
        <v>A</v>
      </c>
      <c r="OZ16" s="204"/>
      <c r="PA16" s="186"/>
      <c r="PB16" s="205"/>
      <c r="PC16" s="106" t="str">
        <f>IFERROR((((COUNTIF('Elève (5ème6)'!OZ17:PB19,"A"))*4)+((COUNTIF('Elève (5ème6)'!OZ17:PB19,"B"))*3)+((COUNTIF('Elève (5ème6)'!OZ17:PB19,"C"))*2)+((COUNTIF('Elève (5ème6)'!OZ17:PB19,"D"))*1))/(COUNTA(OZ17:PB19)),"")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(5ème6)'!PE17:PG19,"A"))*4)+((COUNTIF('Elève (5ème6)'!PE17:PG19,"B"))*3)+((COUNTIF('Elève (5ème6)'!PE17:PG19,"C"))*2)+((COUNTIF('Elève (5ème6)'!PE17:PG19,"D"))*1))/(COUNTA(PE17:PG19)),"")</f>
        <v/>
      </c>
      <c r="PI16" s="128" t="str">
        <f t="shared" si="98"/>
        <v/>
      </c>
      <c r="PJ16" s="177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>4</v>
      </c>
      <c r="PK16" s="130" t="str">
        <f t="shared" si="99"/>
        <v>A</v>
      </c>
      <c r="PL16" s="152"/>
      <c r="PM16" s="185"/>
      <c r="PN16" s="185"/>
      <c r="PO16" s="106">
        <f>IFERROR((((COUNTIF('Elève (5ème6)'!PL17:PN19,"A"))*4)+((COUNTIF('Elève (5ème6)'!PL17:PN19,"B"))*3)+((COUNTIF('Elève (5ème6)'!PL17:PN19,"C"))*2)+((COUNTIF('Elève (5ème6)'!PL17:PN19,"D"))*1))/(COUNTA(PL17:PN19)),"")</f>
        <v>4</v>
      </c>
      <c r="PP16" s="107" t="str">
        <f t="shared" si="100"/>
        <v>A</v>
      </c>
      <c r="PQ16" s="204"/>
      <c r="PR16" s="186"/>
      <c r="PS16" s="205"/>
      <c r="PT16" s="106" t="str">
        <f>IFERROR((((COUNTIF('Elève (5ème6)'!PQ17:PS19,"A"))*4)+((COUNTIF('Elève (5ème6)'!PQ17:PS19,"B"))*3)+((COUNTIF('Elève (5ème6)'!PQ17:PS19,"C"))*2)+((COUNTIF('Elève (5ème6)'!PQ17:PS19,"D"))*1))/(COUNTA(PQ17:PS19)),"")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(5ème6)'!PV17:PX19,"A"))*4)+((COUNTIF('Elève (5ème6)'!PV17:PX19,"B"))*3)+((COUNTIF('Elève (5ème6)'!PV17:PX19,"C"))*2)+((COUNTIF('Elève (5ème6)'!PV17:PX19,"D"))*1))/(COUNTA(PV17:PX19)),"")</f>
        <v/>
      </c>
      <c r="PZ16" s="128" t="str">
        <f t="shared" si="102"/>
        <v/>
      </c>
      <c r="QA16" s="177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>4</v>
      </c>
      <c r="QB16" s="130" t="str">
        <f t="shared" si="103"/>
        <v>A</v>
      </c>
      <c r="QC16" s="152"/>
      <c r="QD16" s="185"/>
      <c r="QE16" s="185"/>
      <c r="QF16" s="106">
        <f>IFERROR((((COUNTIF('Elève (5ème6)'!QC17:QE19,"A"))*4)+((COUNTIF('Elève (5ème6)'!QC17:QE19,"B"))*3)+((COUNTIF('Elève (5ème6)'!QC17:QE19,"C"))*2)+((COUNTIF('Elève (5ème6)'!QC17:QE19,"D"))*1))/(COUNTA(QC17:QE19)),"")</f>
        <v>4</v>
      </c>
      <c r="QG16" s="107" t="str">
        <f t="shared" si="104"/>
        <v>A</v>
      </c>
      <c r="QH16" s="204"/>
      <c r="QI16" s="186"/>
      <c r="QJ16" s="205"/>
      <c r="QK16" s="106" t="str">
        <f>IFERROR((((COUNTIF('Elève (5ème6)'!QH17:QJ19,"A"))*4)+((COUNTIF('Elève (5ème6)'!QH17:QJ19,"B"))*3)+((COUNTIF('Elève (5ème6)'!QH17:QJ19,"C"))*2)+((COUNTIF('Elève (5ème6)'!QH17:QJ19,"D"))*1))/(COUNTA(QH17:QJ19)),"")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(5ème6)'!QM17:QO19,"A"))*4)+((COUNTIF('Elève (5ème6)'!QM17:QO19,"B"))*3)+((COUNTIF('Elève (5ème6)'!QM17:QO19,"C"))*2)+((COUNTIF('Elève (5ème6)'!QM17:QO19,"D"))*1))/(COUNTA(QM17:QO19)),"")</f>
        <v/>
      </c>
      <c r="QQ16" s="128" t="str">
        <f t="shared" si="106"/>
        <v/>
      </c>
      <c r="QR16" s="177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>4</v>
      </c>
      <c r="QS16" s="130" t="str">
        <f t="shared" si="107"/>
        <v>A</v>
      </c>
      <c r="QT16" s="152"/>
      <c r="QU16" s="185"/>
      <c r="QV16" s="185"/>
      <c r="QW16" s="106">
        <f>IFERROR((((COUNTIF('Elève (5ème6)'!QT17:QV19,"A"))*4)+((COUNTIF('Elève (5ème6)'!QT17:QV19,"B"))*3)+((COUNTIF('Elève (5ème6)'!QT17:QV19,"C"))*2)+((COUNTIF('Elève (5ème6)'!QT17:QV19,"D"))*1))/(COUNTA(QT17:QV19)),"")</f>
        <v>4</v>
      </c>
      <c r="QX16" s="107" t="str">
        <f t="shared" si="108"/>
        <v>A</v>
      </c>
      <c r="QY16" s="204"/>
      <c r="QZ16" s="186"/>
      <c r="RA16" s="205"/>
      <c r="RB16" s="106" t="str">
        <f>IFERROR((((COUNTIF('Elève (5ème6)'!QY17:RA19,"A"))*4)+((COUNTIF('Elève (5ème6)'!QY17:RA19,"B"))*3)+((COUNTIF('Elève (5ème6)'!QY17:RA19,"C"))*2)+((COUNTIF('Elève (5ème6)'!QY17:RA19,"D"))*1))/(COUNTA(QY17:RA19)),"")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(5ème6)'!RD17:RF19,"A"))*4)+((COUNTIF('Elève (5ème6)'!RD17:RF19,"B"))*3)+((COUNTIF('Elève (5ème6)'!RD17:RF19,"C"))*2)+((COUNTIF('Elève (5ème6)'!RD17:RF19,"D"))*1))/(COUNTA(RD17:RF19)),"")</f>
        <v/>
      </c>
      <c r="RH16" s="128" t="str">
        <f t="shared" si="110"/>
        <v/>
      </c>
      <c r="RI16" s="177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>4</v>
      </c>
      <c r="RJ16" s="130" t="str">
        <f t="shared" si="111"/>
        <v>A</v>
      </c>
      <c r="RK16" s="152"/>
      <c r="RL16" s="185"/>
      <c r="RM16" s="185"/>
      <c r="RN16" s="106">
        <f>IFERROR((((COUNTIF('Elève (5ème6)'!RK17:RM19,"A"))*4)+((COUNTIF('Elève (5ème6)'!RK17:RM19,"B"))*3)+((COUNTIF('Elève (5ème6)'!RK17:RM19,"C"))*2)+((COUNTIF('Elève (5ème6)'!RK17:RM19,"D"))*1))/(COUNTA(RK17:RM19)),"")</f>
        <v>4</v>
      </c>
      <c r="RO16" s="107" t="str">
        <f t="shared" si="112"/>
        <v>A</v>
      </c>
      <c r="RP16" s="204"/>
      <c r="RQ16" s="186"/>
      <c r="RR16" s="205"/>
      <c r="RS16" s="106" t="str">
        <f>IFERROR((((COUNTIF('Elève (5ème6)'!RP17:RR19,"A"))*4)+((COUNTIF('Elève (5ème6)'!RP17:RR19,"B"))*3)+((COUNTIF('Elève (5ème6)'!RP17:RR19,"C"))*2)+((COUNTIF('Elève (5ème6)'!RP17:RR19,"D"))*1))/(COUNTA(RP17:RR19)),"")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(5ème6)'!RU17:RW19,"A"))*4)+((COUNTIF('Elève (5ème6)'!RU17:RW19,"B"))*3)+((COUNTIF('Elève (5ème6)'!RU17:RW19,"C"))*2)+((COUNTIF('Elève (5ème6)'!RU17:RW19,"D"))*1))/(COUNTA(RU17:RW19)),"")</f>
        <v/>
      </c>
      <c r="RY16" s="128" t="str">
        <f t="shared" si="114"/>
        <v/>
      </c>
      <c r="RZ16" s="177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>4</v>
      </c>
      <c r="SA16" s="130" t="str">
        <f t="shared" si="115"/>
        <v>A</v>
      </c>
      <c r="SB16" s="152"/>
      <c r="SC16" s="185"/>
      <c r="SD16" s="185"/>
      <c r="SE16" s="106" t="str">
        <f>IFERROR((((COUNTIF('Elève (5ème6)'!SB17:SD19,"A"))*4)+((COUNTIF('Elève (5ème6)'!SB17:SD19,"B"))*3)+((COUNTIF('Elève (5ème6)'!SB17:SD19,"C"))*2)+((COUNTIF('Elève (5ème6)'!SB17:SD19,"D"))*1))/(COUNTA(SB17:SD19)),"")</f>
        <v/>
      </c>
      <c r="SF16" s="107" t="str">
        <f t="shared" si="116"/>
        <v/>
      </c>
      <c r="SG16" s="204"/>
      <c r="SH16" s="186"/>
      <c r="SI16" s="205"/>
      <c r="SJ16" s="106" t="str">
        <f>IFERROR((((COUNTIF('Elève (5ème6)'!SG17:SI19,"A"))*4)+((COUNTIF('Elève (5ème6)'!SG17:SI19,"B"))*3)+((COUNTIF('Elève (5ème6)'!SG17:SI19,"C"))*2)+((COUNTIF('Elève (5ème6)'!SG17:SI19,"D"))*1))/(COUNTA(SG17:SI19)),"")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(5ème6)'!SL17:SN19,"A"))*4)+((COUNTIF('Elève (5ème6)'!SL17:SN19,"B"))*3)+((COUNTIF('Elève (5ème6)'!SL17:SN19,"C"))*2)+((COUNTIF('Elève (5ème6)'!SL17:SN19,"D"))*1))/(COUNTA(SL17:SN19)),"")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1" t="s">
        <v>21</v>
      </c>
      <c r="B17" s="222"/>
      <c r="C17" s="156" t="s">
        <v>27</v>
      </c>
      <c r="D17" s="157"/>
      <c r="E17" s="158"/>
      <c r="F17" s="108">
        <f>IFERROR((((COUNTIF('Elève (5ème6)'!C17:E17,"A"))*4)+((COUNTIF('Elève (5ème6)'!C17:E17,"B"))*3)+((COUNTIF('Elève (5ème6)'!C17:E17,"C"))*2)+((COUNTIF('Elève (5ème6)'!C17:E17,"D"))*1))/(COUNTA(C17:E17)),"")</f>
        <v>4</v>
      </c>
      <c r="G17" s="109" t="str">
        <f t="shared" si="0"/>
        <v>A</v>
      </c>
      <c r="H17" s="81"/>
      <c r="I17" s="82"/>
      <c r="J17" s="83"/>
      <c r="K17" s="108" t="str">
        <f>IFERROR((((COUNTIF('Elève (5ème6)'!H17:J17,"A"))*4)+((COUNTIF('Elève (5ème6)'!H17:J17,"B"))*3)+((COUNTIF('Elève (5ème6)'!H17:J17,"C"))*2)+((COUNTIF('Elève (5ème6)'!H17:J17,"D"))*1))/(COUNTA(H17:J17)),"")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(5ème6)'!M17:O17,"A"))*4)+((COUNTIF('Elève (5ème6)'!M17:O17,"B"))*3)+((COUNTIF('Elève (5ème6)'!M17:O17,"C"))*2)+((COUNTIF('Elève (5ème6)'!M17:O17,"D"))*1))/(COUNTA(M17:O17)),"")</f>
        <v/>
      </c>
      <c r="Q17" s="109" t="str">
        <f t="shared" si="2"/>
        <v/>
      </c>
      <c r="R17" s="178">
        <f>IF(COUNT(F17,K17,P17)=0,"",SUM(F17,K17,P17)/COUNT(F17,K17,P17))</f>
        <v>4</v>
      </c>
      <c r="S17" s="134" t="str">
        <f t="shared" si="3"/>
        <v>A</v>
      </c>
      <c r="T17" s="156" t="s">
        <v>27</v>
      </c>
      <c r="U17" s="157"/>
      <c r="V17" s="158"/>
      <c r="W17" s="108">
        <f>IFERROR((((COUNTIF('Elève (5ème6)'!T17:V17,"A"))*4)+((COUNTIF('Elève (5ème6)'!T17:V17,"B"))*3)+((COUNTIF('Elève (5ème6)'!T17:V17,"C"))*2)+((COUNTIF('Elève (5ème6)'!T17:V17,"D"))*1))/(COUNTA(T17:V17)),"")</f>
        <v>4</v>
      </c>
      <c r="X17" s="109" t="str">
        <f t="shared" si="4"/>
        <v>A</v>
      </c>
      <c r="Y17" s="81"/>
      <c r="Z17" s="82"/>
      <c r="AA17" s="83"/>
      <c r="AB17" s="108" t="str">
        <f>IFERROR((((COUNTIF('Elève (5ème6)'!Y17:AA17,"A"))*4)+((COUNTIF('Elève (5ème6)'!Y17:AA17,"B"))*3)+((COUNTIF('Elève (5ème6)'!Y17:AA17,"C"))*2)+((COUNTIF('Elève (5ème6)'!Y17:AA17,"D"))*1))/(COUNTA(Y17:AA17)),"")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(5ème6)'!AD17:AF17,"A"))*4)+((COUNTIF('Elève (5ème6)'!AD17:AF17,"B"))*3)+((COUNTIF('Elève (5ème6)'!AD17:AF17,"C"))*2)+((COUNTIF('Elève (5ème6)'!AD17:AF17,"D"))*1))/(COUNTA(AD17:AF17)),"")</f>
        <v/>
      </c>
      <c r="AH17" s="109" t="str">
        <f t="shared" si="6"/>
        <v/>
      </c>
      <c r="AI17" s="178">
        <f>IF(COUNT(W17,AB17,AG17)=0,"",SUM(W17,AB17,AG17)/COUNT(W17,AB17,AG17))</f>
        <v>4</v>
      </c>
      <c r="AJ17" s="134" t="str">
        <f t="shared" si="7"/>
        <v>A</v>
      </c>
      <c r="AK17" s="156" t="s">
        <v>28</v>
      </c>
      <c r="AL17" s="157"/>
      <c r="AM17" s="158"/>
      <c r="AN17" s="108">
        <f>IFERROR((((COUNTIF('Elève (5ème6)'!AK17:AM17,"A"))*4)+((COUNTIF('Elève (5ème6)'!AK17:AM17,"B"))*3)+((COUNTIF('Elève (5ème6)'!AK17:AM17,"C"))*2)+((COUNTIF('Elève (5ème6)'!AK17:AM17,"D"))*1))/(COUNTA(AK17:AM17)),"")</f>
        <v>3</v>
      </c>
      <c r="AO17" s="109" t="str">
        <f t="shared" si="8"/>
        <v>B</v>
      </c>
      <c r="AP17" s="81"/>
      <c r="AQ17" s="82"/>
      <c r="AR17" s="83"/>
      <c r="AS17" s="108" t="str">
        <f>IFERROR((((COUNTIF('Elève (5ème6)'!AP17:AR17,"A"))*4)+((COUNTIF('Elève (5ème6)'!AP17:AR17,"B"))*3)+((COUNTIF('Elève (5ème6)'!AP17:AR17,"C"))*2)+((COUNTIF('Elève (5ème6)'!AP17:AR17,"D"))*1))/(COUNTA(AP17:AR17)),"")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(5ème6)'!AU17:AW17,"A"))*4)+((COUNTIF('Elève (5ème6)'!AU17:AW17,"B"))*3)+((COUNTIF('Elève (5ème6)'!AU17:AW17,"C"))*2)+((COUNTIF('Elève (5ème6)'!AU17:AW17,"D"))*1))/(COUNTA(AU17:AW17)),"")</f>
        <v/>
      </c>
      <c r="AY17" s="109" t="str">
        <f t="shared" si="10"/>
        <v/>
      </c>
      <c r="AZ17" s="178">
        <f>IF(COUNT(AN17,AS17,AX17)=0,"",SUM(AN17,AS17,AX17)/COUNT(AN17,AS17,AX17))</f>
        <v>3</v>
      </c>
      <c r="BA17" s="134" t="str">
        <f t="shared" si="11"/>
        <v>B</v>
      </c>
      <c r="BB17" s="156" t="s">
        <v>27</v>
      </c>
      <c r="BC17" s="157"/>
      <c r="BD17" s="158"/>
      <c r="BE17" s="108">
        <f>IFERROR((((COUNTIF('Elève (5ème6)'!BB17:BD17,"A"))*4)+((COUNTIF('Elève (5ème6)'!BB17:BD17,"B"))*3)+((COUNTIF('Elève (5ème6)'!BB17:BD17,"C"))*2)+((COUNTIF('Elève (5ème6)'!BB17:BD17,"D"))*1))/(COUNTA(BB17:BD17)),"")</f>
        <v>4</v>
      </c>
      <c r="BF17" s="109" t="str">
        <f t="shared" si="12"/>
        <v>A</v>
      </c>
      <c r="BG17" s="81"/>
      <c r="BH17" s="82"/>
      <c r="BI17" s="83"/>
      <c r="BJ17" s="108" t="str">
        <f>IFERROR((((COUNTIF('Elève (5ème6)'!BG17:BI17,"A"))*4)+((COUNTIF('Elève (5ème6)'!BG17:BI17,"B"))*3)+((COUNTIF('Elève (5ème6)'!BG17:BI17,"C"))*2)+((COUNTIF('Elève (5ème6)'!BG17:BI17,"D"))*1))/(COUNTA(BG17:BI17)),"")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(5ème6)'!BL17:BN17,"A"))*4)+((COUNTIF('Elève (5ème6)'!BL17:BN17,"B"))*3)+((COUNTIF('Elève (5ème6)'!BL17:BN17,"C"))*2)+((COUNTIF('Elève (5ème6)'!BL17:BN17,"D"))*1))/(COUNTA(BL17:BN17)),"")</f>
        <v/>
      </c>
      <c r="BP17" s="109" t="str">
        <f t="shared" si="14"/>
        <v/>
      </c>
      <c r="BQ17" s="178">
        <f>IF(COUNT(BE17,BJ17,BO17)=0,"",SUM(BE17,BJ17,BO17)/COUNT(BE17,BJ17,BO17))</f>
        <v>4</v>
      </c>
      <c r="BR17" s="134" t="str">
        <f t="shared" si="15"/>
        <v>A</v>
      </c>
      <c r="BS17" s="156" t="s">
        <v>27</v>
      </c>
      <c r="BT17" s="157"/>
      <c r="BU17" s="158"/>
      <c r="BV17" s="108">
        <f>IFERROR((((COUNTIF('Elève (5ème6)'!BS17:BU17,"A"))*4)+((COUNTIF('Elève (5ème6)'!BS17:BU17,"B"))*3)+((COUNTIF('Elève (5ème6)'!BS17:BU17,"C"))*2)+((COUNTIF('Elève (5ème6)'!BS17:BU17,"D"))*1))/(COUNTA(BS17:BU17)),"")</f>
        <v>4</v>
      </c>
      <c r="BW17" s="109" t="str">
        <f t="shared" si="16"/>
        <v>A</v>
      </c>
      <c r="BX17" s="81"/>
      <c r="BY17" s="82"/>
      <c r="BZ17" s="83"/>
      <c r="CA17" s="108" t="str">
        <f>IFERROR((((COUNTIF('Elève (5ème6)'!BX17:BZ17,"A"))*4)+((COUNTIF('Elève (5ème6)'!BX17:BZ17,"B"))*3)+((COUNTIF('Elève (5ème6)'!BX17:BZ17,"C"))*2)+((COUNTIF('Elève (5ème6)'!BX17:BZ17,"D"))*1))/(COUNTA(BX17:BZ17)),"")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(5ème6)'!CC17:CE17,"A"))*4)+((COUNTIF('Elève (5ème6)'!CC17:CE17,"B"))*3)+((COUNTIF('Elève (5ème6)'!CC17:CE17,"C"))*2)+((COUNTIF('Elève (5ème6)'!CC17:CE17,"D"))*1))/(COUNTA(CC17:CE17)),"")</f>
        <v/>
      </c>
      <c r="CG17" s="109" t="str">
        <f t="shared" si="18"/>
        <v/>
      </c>
      <c r="CH17" s="178">
        <f>IF(COUNT(BV17,CA17,CF17)=0,"",SUM(BV17,CA17,CF17)/COUNT(BV17,CA17,CF17))</f>
        <v>4</v>
      </c>
      <c r="CI17" s="134" t="str">
        <f t="shared" si="19"/>
        <v>A</v>
      </c>
      <c r="CJ17" s="156" t="s">
        <v>28</v>
      </c>
      <c r="CK17" s="157"/>
      <c r="CL17" s="158"/>
      <c r="CM17" s="108">
        <f>IFERROR((((COUNTIF('Elève (5ème6)'!CJ17:CL17,"A"))*4)+((COUNTIF('Elève (5ème6)'!CJ17:CL17,"B"))*3)+((COUNTIF('Elève (5ème6)'!CJ17:CL17,"C"))*2)+((COUNTIF('Elève (5ème6)'!CJ17:CL17,"D"))*1))/(COUNTA(CJ17:CL17)),"")</f>
        <v>3</v>
      </c>
      <c r="CN17" s="109" t="str">
        <f t="shared" si="20"/>
        <v>B</v>
      </c>
      <c r="CO17" s="81"/>
      <c r="CP17" s="82"/>
      <c r="CQ17" s="83"/>
      <c r="CR17" s="108" t="str">
        <f>IFERROR((((COUNTIF('Elève (5ème6)'!CO17:CQ17,"A"))*4)+((COUNTIF('Elève (5ème6)'!CO17:CQ17,"B"))*3)+((COUNTIF('Elève (5ème6)'!CO17:CQ17,"C"))*2)+((COUNTIF('Elève (5ème6)'!CO17:CQ17,"D"))*1))/(COUNTA(CO17:CQ17)),"")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(5ème6)'!CT17:CV17,"A"))*4)+((COUNTIF('Elève (5ème6)'!CT17:CV17,"B"))*3)+((COUNTIF('Elève (5ème6)'!CT17:CV17,"C"))*2)+((COUNTIF('Elève (5ème6)'!CT17:CV17,"D"))*1))/(COUNTA(CT17:CV17)),"")</f>
        <v/>
      </c>
      <c r="CX17" s="109" t="str">
        <f t="shared" si="22"/>
        <v/>
      </c>
      <c r="CY17" s="178">
        <f>IF(COUNT(CM17,CR17,CW17)=0,"",SUM(CM17,CR17,CW17)/COUNT(CM17,CR17,CW17))</f>
        <v>3</v>
      </c>
      <c r="CZ17" s="134" t="str">
        <f t="shared" si="23"/>
        <v>B</v>
      </c>
      <c r="DA17" s="156" t="s">
        <v>27</v>
      </c>
      <c r="DB17" s="157"/>
      <c r="DC17" s="158"/>
      <c r="DD17" s="108">
        <f>IFERROR((((COUNTIF('Elève (5ème6)'!DA17:DC17,"A"))*4)+((COUNTIF('Elève (5ème6)'!DA17:DC17,"B"))*3)+((COUNTIF('Elève (5ème6)'!DA17:DC17,"C"))*2)+((COUNTIF('Elève (5ème6)'!DA17:DC17,"D"))*1))/(COUNTA(DA17:DC17)),"")</f>
        <v>4</v>
      </c>
      <c r="DE17" s="109" t="str">
        <f t="shared" si="24"/>
        <v>A</v>
      </c>
      <c r="DF17" s="81"/>
      <c r="DG17" s="82"/>
      <c r="DH17" s="83"/>
      <c r="DI17" s="108" t="str">
        <f>IFERROR((((COUNTIF('Elève (5ème6)'!DF17:DH17,"A"))*4)+((COUNTIF('Elève (5ème6)'!DF17:DH17,"B"))*3)+((COUNTIF('Elève (5ème6)'!DF17:DH17,"C"))*2)+((COUNTIF('Elève (5ème6)'!DF17:DH17,"D"))*1))/(COUNTA(DF17:DH17)),"")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(5ème6)'!DK17:DM17,"A"))*4)+((COUNTIF('Elève (5ème6)'!DK17:DM17,"B"))*3)+((COUNTIF('Elève (5ème6)'!DK17:DM17,"C"))*2)+((COUNTIF('Elève (5ème6)'!DK17:DM17,"D"))*1))/(COUNTA(DK17:DM17)),"")</f>
        <v/>
      </c>
      <c r="DO17" s="109" t="str">
        <f t="shared" si="26"/>
        <v/>
      </c>
      <c r="DP17" s="178">
        <f>IF(COUNT(DD17,DI17,DN17)=0,"",SUM(DD17,DI17,DN17)/COUNT(DD17,DI17,DN17))</f>
        <v>4</v>
      </c>
      <c r="DQ17" s="134" t="str">
        <f t="shared" si="27"/>
        <v>A</v>
      </c>
      <c r="DR17" s="156" t="s">
        <v>27</v>
      </c>
      <c r="DS17" s="157"/>
      <c r="DT17" s="158"/>
      <c r="DU17" s="108">
        <f>IFERROR((((COUNTIF('Elève (5ème6)'!DR17:DT17,"A"))*4)+((COUNTIF('Elève (5ème6)'!DR17:DT17,"B"))*3)+((COUNTIF('Elève (5ème6)'!DR17:DT17,"C"))*2)+((COUNTIF('Elève (5ème6)'!DR17:DT17,"D"))*1))/(COUNTA(DR17:DT17)),"")</f>
        <v>4</v>
      </c>
      <c r="DV17" s="109" t="str">
        <f t="shared" si="28"/>
        <v>A</v>
      </c>
      <c r="DW17" s="81"/>
      <c r="DX17" s="82"/>
      <c r="DY17" s="83"/>
      <c r="DZ17" s="108" t="str">
        <f>IFERROR((((COUNTIF('Elève (5ème6)'!DW17:DY17,"A"))*4)+((COUNTIF('Elève (5ème6)'!DW17:DY17,"B"))*3)+((COUNTIF('Elève (5ème6)'!DW17:DY17,"C"))*2)+((COUNTIF('Elève (5ème6)'!DW17:DY17,"D"))*1))/(COUNTA(DW17:DY17)),"")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(5ème6)'!EB17:ED17,"A"))*4)+((COUNTIF('Elève (5ème6)'!EB17:ED17,"B"))*3)+((COUNTIF('Elève (5ème6)'!EB17:ED17,"C"))*2)+((COUNTIF('Elève (5ème6)'!EB17:ED17,"D"))*1))/(COUNTA(EB17:ED17)),"")</f>
        <v/>
      </c>
      <c r="EF17" s="109" t="str">
        <f t="shared" si="30"/>
        <v/>
      </c>
      <c r="EG17" s="178">
        <f>IF(COUNT(DU17,DZ17,EE17)=0,"",SUM(DU17,DZ17,EE17)/COUNT(DU17,DZ17,EE17))</f>
        <v>4</v>
      </c>
      <c r="EH17" s="134" t="str">
        <f t="shared" si="31"/>
        <v>A</v>
      </c>
      <c r="EI17" s="156" t="s">
        <v>27</v>
      </c>
      <c r="EJ17" s="157"/>
      <c r="EK17" s="158"/>
      <c r="EL17" s="108">
        <f>IFERROR((((COUNTIF('Elève (5ème6)'!EI17:EK17,"A"))*4)+((COUNTIF('Elève (5ème6)'!EI17:EK17,"B"))*3)+((COUNTIF('Elève (5ème6)'!EI17:EK17,"C"))*2)+((COUNTIF('Elève (5ème6)'!EI17:EK17,"D"))*1))/(COUNTA(EI17:EK17)),"")</f>
        <v>4</v>
      </c>
      <c r="EM17" s="109" t="str">
        <f t="shared" si="32"/>
        <v>A</v>
      </c>
      <c r="EN17" s="81"/>
      <c r="EO17" s="82"/>
      <c r="EP17" s="83"/>
      <c r="EQ17" s="108" t="str">
        <f>IFERROR((((COUNTIF('Elève (5ème6)'!EN17:EP17,"A"))*4)+((COUNTIF('Elève (5ème6)'!EN17:EP17,"B"))*3)+((COUNTIF('Elève (5ème6)'!EN17:EP17,"C"))*2)+((COUNTIF('Elève (5ème6)'!EN17:EP17,"D"))*1))/(COUNTA(EN17:EP17)),"")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(5ème6)'!ES17:EU17,"A"))*4)+((COUNTIF('Elève (5ème6)'!ES17:EU17,"B"))*3)+((COUNTIF('Elève (5ème6)'!ES17:EU17,"C"))*2)+((COUNTIF('Elève (5ème6)'!ES17:EU17,"D"))*1))/(COUNTA(ES17:EU17)),"")</f>
        <v/>
      </c>
      <c r="EW17" s="109" t="str">
        <f t="shared" si="34"/>
        <v/>
      </c>
      <c r="EX17" s="178">
        <f>IF(COUNT(EL17,EQ17,EV17)=0,"",SUM(EL17,EQ17,EV17)/COUNT(EL17,EQ17,EV17))</f>
        <v>4</v>
      </c>
      <c r="EY17" s="134" t="str">
        <f t="shared" si="35"/>
        <v>A</v>
      </c>
      <c r="EZ17" s="156" t="s">
        <v>27</v>
      </c>
      <c r="FA17" s="157"/>
      <c r="FB17" s="158"/>
      <c r="FC17" s="108">
        <f>IFERROR((((COUNTIF('Elève (5ème6)'!EZ17:FB17,"A"))*4)+((COUNTIF('Elève (5ème6)'!EZ17:FB17,"B"))*3)+((COUNTIF('Elève (5ème6)'!EZ17:FB17,"C"))*2)+((COUNTIF('Elève (5ème6)'!EZ17:FB17,"D"))*1))/(COUNTA(EZ17:FB17)),"")</f>
        <v>4</v>
      </c>
      <c r="FD17" s="109" t="str">
        <f t="shared" si="36"/>
        <v>A</v>
      </c>
      <c r="FE17" s="81"/>
      <c r="FF17" s="82"/>
      <c r="FG17" s="83"/>
      <c r="FH17" s="108" t="str">
        <f>IFERROR((((COUNTIF('Elève (5ème6)'!FE17:FG17,"A"))*4)+((COUNTIF('Elève (5ème6)'!FE17:FG17,"B"))*3)+((COUNTIF('Elève (5ème6)'!FE17:FG17,"C"))*2)+((COUNTIF('Elève (5ème6)'!FE17:FG17,"D"))*1))/(COUNTA(FE17:FG17)),"")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(5ème6)'!FJ17:FL17,"A"))*4)+((COUNTIF('Elève (5ème6)'!FJ17:FL17,"B"))*3)+((COUNTIF('Elève (5ème6)'!FJ17:FL17,"C"))*2)+((COUNTIF('Elève (5ème6)'!FJ17:FL17,"D"))*1))/(COUNTA(FJ17:FL17)),"")</f>
        <v/>
      </c>
      <c r="FN17" s="109" t="str">
        <f t="shared" si="38"/>
        <v/>
      </c>
      <c r="FO17" s="178">
        <f>IF(COUNT(FC17,FH17,FM17)=0,"",SUM(FC17,FH17,FM17)/COUNT(FC17,FH17,FM17))</f>
        <v>4</v>
      </c>
      <c r="FP17" s="134" t="str">
        <f t="shared" si="39"/>
        <v>A</v>
      </c>
      <c r="FQ17" s="156" t="s">
        <v>27</v>
      </c>
      <c r="FR17" s="157"/>
      <c r="FS17" s="158"/>
      <c r="FT17" s="108">
        <f>IFERROR((((COUNTIF('Elève (5ème6)'!FQ17:FS17,"A"))*4)+((COUNTIF('Elève (5ème6)'!FQ17:FS17,"B"))*3)+((COUNTIF('Elève (5ème6)'!FQ17:FS17,"C"))*2)+((COUNTIF('Elève (5ème6)'!FQ17:FS17,"D"))*1))/(COUNTA(FQ17:FS17)),"")</f>
        <v>4</v>
      </c>
      <c r="FU17" s="109" t="str">
        <f t="shared" si="40"/>
        <v>A</v>
      </c>
      <c r="FV17" s="81"/>
      <c r="FW17" s="82"/>
      <c r="FX17" s="83"/>
      <c r="FY17" s="108" t="str">
        <f>IFERROR((((COUNTIF('Elève (5ème6)'!FV17:FX17,"A"))*4)+((COUNTIF('Elève (5ème6)'!FV17:FX17,"B"))*3)+((COUNTIF('Elève (5ème6)'!FV17:FX17,"C"))*2)+((COUNTIF('Elève (5ème6)'!FV17:FX17,"D"))*1))/(COUNTA(FV17:FX17)),"")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(5ème6)'!GA17:GC17,"A"))*4)+((COUNTIF('Elève (5ème6)'!GA17:GC17,"B"))*3)+((COUNTIF('Elève (5ème6)'!GA17:GC17,"C"))*2)+((COUNTIF('Elève (5ème6)'!GA17:GC17,"D"))*1))/(COUNTA(GA17:GC17)),"")</f>
        <v/>
      </c>
      <c r="GE17" s="109" t="str">
        <f t="shared" si="42"/>
        <v/>
      </c>
      <c r="GF17" s="178">
        <f>IF(COUNT(FT17,FY17,GD17)=0,"",SUM(FT17,FY17,GD17)/COUNT(FT17,FY17,GD17))</f>
        <v>4</v>
      </c>
      <c r="GG17" s="134" t="str">
        <f t="shared" si="43"/>
        <v>A</v>
      </c>
      <c r="GH17" s="156" t="s">
        <v>27</v>
      </c>
      <c r="GI17" s="157"/>
      <c r="GJ17" s="158"/>
      <c r="GK17" s="108">
        <f>IFERROR((((COUNTIF('Elève (5ème6)'!GH17:GJ17,"A"))*4)+((COUNTIF('Elève (5ème6)'!GH17:GJ17,"B"))*3)+((COUNTIF('Elève (5ème6)'!GH17:GJ17,"C"))*2)+((COUNTIF('Elève (5ème6)'!GH17:GJ17,"D"))*1))/(COUNTA(GH17:GJ17)),"")</f>
        <v>4</v>
      </c>
      <c r="GL17" s="109" t="str">
        <f t="shared" si="44"/>
        <v>A</v>
      </c>
      <c r="GM17" s="81"/>
      <c r="GN17" s="82"/>
      <c r="GO17" s="83"/>
      <c r="GP17" s="108" t="str">
        <f>IFERROR((((COUNTIF('Elève (5ème6)'!GM17:GO17,"A"))*4)+((COUNTIF('Elève (5ème6)'!GM17:GO17,"B"))*3)+((COUNTIF('Elève (5ème6)'!GM17:GO17,"C"))*2)+((COUNTIF('Elève (5ème6)'!GM17:GO17,"D"))*1))/(COUNTA(GM17:GO17)),"")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(5ème6)'!GR17:GT17,"A"))*4)+((COUNTIF('Elève (5ème6)'!GR17:GT17,"B"))*3)+((COUNTIF('Elève (5ème6)'!GR17:GT17,"C"))*2)+((COUNTIF('Elève (5ème6)'!GR17:GT17,"D"))*1))/(COUNTA(GR17:GT17)),"")</f>
        <v/>
      </c>
      <c r="GV17" s="109" t="str">
        <f t="shared" si="46"/>
        <v/>
      </c>
      <c r="GW17" s="178">
        <f>IF(COUNT(GK17,GP17,GU17)=0,"",SUM(GK17,GP17,GU17)/COUNT(GK17,GP17,GU17))</f>
        <v>4</v>
      </c>
      <c r="GX17" s="134" t="str">
        <f t="shared" si="47"/>
        <v>A</v>
      </c>
      <c r="GY17" s="156" t="s">
        <v>27</v>
      </c>
      <c r="GZ17" s="157"/>
      <c r="HA17" s="158"/>
      <c r="HB17" s="108">
        <f>IFERROR((((COUNTIF('Elève (5ème6)'!GY17:HA17,"A"))*4)+((COUNTIF('Elève (5ème6)'!GY17:HA17,"B"))*3)+((COUNTIF('Elève (5ème6)'!GY17:HA17,"C"))*2)+((COUNTIF('Elève (5ème6)'!GY17:HA17,"D"))*1))/(COUNTA(GY17:HA17)),"")</f>
        <v>4</v>
      </c>
      <c r="HC17" s="109" t="str">
        <f t="shared" si="48"/>
        <v>A</v>
      </c>
      <c r="HD17" s="81"/>
      <c r="HE17" s="82"/>
      <c r="HF17" s="83"/>
      <c r="HG17" s="108" t="str">
        <f>IFERROR((((COUNTIF('Elève (5ème6)'!HD17:HF17,"A"))*4)+((COUNTIF('Elève (5ème6)'!HD17:HF17,"B"))*3)+((COUNTIF('Elève (5ème6)'!HD17:HF17,"C"))*2)+((COUNTIF('Elève (5ème6)'!HD17:HF17,"D"))*1))/(COUNTA(HD17:HF17)),"")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(5ème6)'!HI17:HK17,"A"))*4)+((COUNTIF('Elève (5ème6)'!HI17:HK17,"B"))*3)+((COUNTIF('Elève (5ème6)'!HI17:HK17,"C"))*2)+((COUNTIF('Elève (5ème6)'!HI17:HK17,"D"))*1))/(COUNTA(HI17:HK17)),"")</f>
        <v/>
      </c>
      <c r="HM17" s="109" t="str">
        <f t="shared" si="50"/>
        <v/>
      </c>
      <c r="HN17" s="178">
        <f>IF(COUNT(HB17,HG17,HL17)=0,"",SUM(HB17,HG17,HL17)/COUNT(HB17,HG17,HL17))</f>
        <v>4</v>
      </c>
      <c r="HO17" s="134" t="str">
        <f t="shared" si="51"/>
        <v>A</v>
      </c>
      <c r="HP17" s="156" t="s">
        <v>27</v>
      </c>
      <c r="HQ17" s="157"/>
      <c r="HR17" s="158"/>
      <c r="HS17" s="108">
        <f>IFERROR((((COUNTIF('Elève (5ème6)'!HP17:HR17,"A"))*4)+((COUNTIF('Elève (5ème6)'!HP17:HR17,"B"))*3)+((COUNTIF('Elève (5ème6)'!HP17:HR17,"C"))*2)+((COUNTIF('Elève (5ème6)'!HP17:HR17,"D"))*1))/(COUNTA(HP17:HR17)),"")</f>
        <v>4</v>
      </c>
      <c r="HT17" s="109" t="str">
        <f t="shared" si="52"/>
        <v>A</v>
      </c>
      <c r="HU17" s="81"/>
      <c r="HV17" s="82"/>
      <c r="HW17" s="83"/>
      <c r="HX17" s="108" t="str">
        <f>IFERROR((((COUNTIF('Elève (5ème6)'!HU17:HW17,"A"))*4)+((COUNTIF('Elève (5ème6)'!HU17:HW17,"B"))*3)+((COUNTIF('Elève (5ème6)'!HU17:HW17,"C"))*2)+((COUNTIF('Elève (5ème6)'!HU17:HW17,"D"))*1))/(COUNTA(HU17:HW17)),"")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(5ème6)'!HZ17:IB17,"A"))*4)+((COUNTIF('Elève (5ème6)'!HZ17:IB17,"B"))*3)+((COUNTIF('Elève (5ème6)'!HZ17:IB17,"C"))*2)+((COUNTIF('Elève (5ème6)'!HZ17:IB17,"D"))*1))/(COUNTA(HZ17:IB17)),"")</f>
        <v/>
      </c>
      <c r="ID17" s="109" t="str">
        <f t="shared" si="54"/>
        <v/>
      </c>
      <c r="IE17" s="178">
        <f>IF(COUNT(HS17,HX17,IC17)=0,"",SUM(HS17,HX17,IC17)/COUNT(HS17,HX17,IC17))</f>
        <v>4</v>
      </c>
      <c r="IF17" s="134" t="str">
        <f t="shared" si="55"/>
        <v>A</v>
      </c>
      <c r="IG17" s="156" t="s">
        <v>27</v>
      </c>
      <c r="IH17" s="157"/>
      <c r="II17" s="158"/>
      <c r="IJ17" s="108">
        <f>IFERROR((((COUNTIF('Elève (5ème6)'!IG17:II17,"A"))*4)+((COUNTIF('Elève (5ème6)'!IG17:II17,"B"))*3)+((COUNTIF('Elève (5ème6)'!IG17:II17,"C"))*2)+((COUNTIF('Elève (5ème6)'!IG17:II17,"D"))*1))/(COUNTA(IG17:II17)),"")</f>
        <v>4</v>
      </c>
      <c r="IK17" s="109" t="str">
        <f t="shared" si="56"/>
        <v>A</v>
      </c>
      <c r="IL17" s="81"/>
      <c r="IM17" s="82"/>
      <c r="IN17" s="83"/>
      <c r="IO17" s="108" t="str">
        <f>IFERROR((((COUNTIF('Elève (5ème6)'!IL17:IN17,"A"))*4)+((COUNTIF('Elève (5ème6)'!IL17:IN17,"B"))*3)+((COUNTIF('Elève (5ème6)'!IL17:IN17,"C"))*2)+((COUNTIF('Elève (5ème6)'!IL17:IN17,"D"))*1))/(COUNTA(IL17:IN17)),"")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(5ème6)'!IQ17:IS17,"A"))*4)+((COUNTIF('Elève (5ème6)'!IQ17:IS17,"B"))*3)+((COUNTIF('Elève (5ème6)'!IQ17:IS17,"C"))*2)+((COUNTIF('Elève (5ème6)'!IQ17:IS17,"D"))*1))/(COUNTA(IQ17:IS17)),"")</f>
        <v/>
      </c>
      <c r="IU17" s="109" t="str">
        <f t="shared" si="58"/>
        <v/>
      </c>
      <c r="IV17" s="178">
        <f>IF(COUNT(IJ17,IO17,IT17)=0,"",SUM(IJ17,IO17,IT17)/COUNT(IJ17,IO17,IT17))</f>
        <v>4</v>
      </c>
      <c r="IW17" s="134" t="str">
        <f t="shared" si="59"/>
        <v>A</v>
      </c>
      <c r="IX17" s="156" t="s">
        <v>27</v>
      </c>
      <c r="IY17" s="157"/>
      <c r="IZ17" s="158"/>
      <c r="JA17" s="108">
        <f>IFERROR((((COUNTIF('Elève (5ème6)'!IX17:IZ17,"A"))*4)+((COUNTIF('Elève (5ème6)'!IX17:IZ17,"B"))*3)+((COUNTIF('Elève (5ème6)'!IX17:IZ17,"C"))*2)+((COUNTIF('Elève (5ème6)'!IX17:IZ17,"D"))*1))/(COUNTA(IX17:IZ17)),"")</f>
        <v>4</v>
      </c>
      <c r="JB17" s="109" t="str">
        <f t="shared" si="60"/>
        <v>A</v>
      </c>
      <c r="JC17" s="81"/>
      <c r="JD17" s="82"/>
      <c r="JE17" s="83"/>
      <c r="JF17" s="108" t="str">
        <f>IFERROR((((COUNTIF('Elève (5ème6)'!JC17:JE17,"A"))*4)+((COUNTIF('Elève (5ème6)'!JC17:JE17,"B"))*3)+((COUNTIF('Elève (5ème6)'!JC17:JE17,"C"))*2)+((COUNTIF('Elève (5ème6)'!JC17:JE17,"D"))*1))/(COUNTA(JC17:JE17)),"")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(5ème6)'!JH17:JJ17,"A"))*4)+((COUNTIF('Elève (5ème6)'!JH17:JJ17,"B"))*3)+((COUNTIF('Elève (5ème6)'!JH17:JJ17,"C"))*2)+((COUNTIF('Elève (5ème6)'!JH17:JJ17,"D"))*1))/(COUNTA(JH17:JJ17)),"")</f>
        <v/>
      </c>
      <c r="JL17" s="109" t="str">
        <f t="shared" si="62"/>
        <v/>
      </c>
      <c r="JM17" s="178">
        <f>IF(COUNT(JA17,JF17,JK17)=0,"",SUM(JA17,JF17,JK17)/COUNT(JA17,JF17,JK17))</f>
        <v>4</v>
      </c>
      <c r="JN17" s="134" t="str">
        <f t="shared" si="63"/>
        <v>A</v>
      </c>
      <c r="JO17" s="156" t="s">
        <v>27</v>
      </c>
      <c r="JP17" s="157"/>
      <c r="JQ17" s="158"/>
      <c r="JR17" s="108">
        <f>IFERROR((((COUNTIF('Elève (5ème6)'!JO17:JQ17,"A"))*4)+((COUNTIF('Elève (5ème6)'!JO17:JQ17,"B"))*3)+((COUNTIF('Elève (5ème6)'!JO17:JQ17,"C"))*2)+((COUNTIF('Elève (5ème6)'!JO17:JQ17,"D"))*1))/(COUNTA(JO17:JQ17)),"")</f>
        <v>4</v>
      </c>
      <c r="JS17" s="109" t="str">
        <f t="shared" si="64"/>
        <v>A</v>
      </c>
      <c r="JT17" s="81"/>
      <c r="JU17" s="82"/>
      <c r="JV17" s="83"/>
      <c r="JW17" s="108" t="str">
        <f>IFERROR((((COUNTIF('Elève (5ème6)'!JT17:JV17,"A"))*4)+((COUNTIF('Elève (5ème6)'!JT17:JV17,"B"))*3)+((COUNTIF('Elève (5ème6)'!JT17:JV17,"C"))*2)+((COUNTIF('Elève (5ème6)'!JT17:JV17,"D"))*1))/(COUNTA(JT17:JV17)),"")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(5ème6)'!JY17:KA17,"A"))*4)+((COUNTIF('Elève (5ème6)'!JY17:KA17,"B"))*3)+((COUNTIF('Elève (5ème6)'!JY17:KA17,"C"))*2)+((COUNTIF('Elève (5ème6)'!JY17:KA17,"D"))*1))/(COUNTA(JY17:KA17)),"")</f>
        <v/>
      </c>
      <c r="KC17" s="109" t="str">
        <f t="shared" si="66"/>
        <v/>
      </c>
      <c r="KD17" s="178">
        <f>IF(COUNT(JR17,JW17,KB17)=0,"",SUM(JR17,JW17,KB17)/COUNT(JR17,JW17,KB17))</f>
        <v>4</v>
      </c>
      <c r="KE17" s="134" t="str">
        <f t="shared" si="67"/>
        <v>A</v>
      </c>
      <c r="KF17" s="156" t="s">
        <v>27</v>
      </c>
      <c r="KG17" s="157"/>
      <c r="KH17" s="158"/>
      <c r="KI17" s="108">
        <f>IFERROR((((COUNTIF('Elève (5ème6)'!KF17:KH17,"A"))*4)+((COUNTIF('Elève (5ème6)'!KF17:KH17,"B"))*3)+((COUNTIF('Elève (5ème6)'!KF17:KH17,"C"))*2)+((COUNTIF('Elève (5ème6)'!KF17:KH17,"D"))*1))/(COUNTA(KF17:KH17)),"")</f>
        <v>4</v>
      </c>
      <c r="KJ17" s="109" t="str">
        <f t="shared" si="68"/>
        <v>A</v>
      </c>
      <c r="KK17" s="81"/>
      <c r="KL17" s="82"/>
      <c r="KM17" s="83"/>
      <c r="KN17" s="108" t="str">
        <f>IFERROR((((COUNTIF('Elève (5ème6)'!KK17:KM17,"A"))*4)+((COUNTIF('Elève (5ème6)'!KK17:KM17,"B"))*3)+((COUNTIF('Elève (5ème6)'!KK17:KM17,"C"))*2)+((COUNTIF('Elève (5ème6)'!KK17:KM17,"D"))*1))/(COUNTA(KK17:KM17)),"")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(5ème6)'!KP17:KR17,"A"))*4)+((COUNTIF('Elève (5ème6)'!KP17:KR17,"B"))*3)+((COUNTIF('Elève (5ème6)'!KP17:KR17,"C"))*2)+((COUNTIF('Elève (5ème6)'!KP17:KR17,"D"))*1))/(COUNTA(KP17:KR17)),"")</f>
        <v/>
      </c>
      <c r="KT17" s="109" t="str">
        <f t="shared" si="70"/>
        <v/>
      </c>
      <c r="KU17" s="178">
        <f>IF(COUNT(KI17,KN17,KS17)=0,"",SUM(KI17,KN17,KS17)/COUNT(KI17,KN17,KS17))</f>
        <v>4</v>
      </c>
      <c r="KV17" s="134" t="str">
        <f t="shared" si="71"/>
        <v>A</v>
      </c>
      <c r="KW17" s="156" t="s">
        <v>27</v>
      </c>
      <c r="KX17" s="157"/>
      <c r="KY17" s="158"/>
      <c r="KZ17" s="108">
        <f>IFERROR((((COUNTIF('Elève (5ème6)'!KW17:KY17,"A"))*4)+((COUNTIF('Elève (5ème6)'!KW17:KY17,"B"))*3)+((COUNTIF('Elève (5ème6)'!KW17:KY17,"C"))*2)+((COUNTIF('Elève (5ème6)'!KW17:KY17,"D"))*1))/(COUNTA(KW17:KY17)),"")</f>
        <v>4</v>
      </c>
      <c r="LA17" s="109" t="str">
        <f t="shared" si="72"/>
        <v>A</v>
      </c>
      <c r="LB17" s="81"/>
      <c r="LC17" s="82"/>
      <c r="LD17" s="83"/>
      <c r="LE17" s="108" t="str">
        <f>IFERROR((((COUNTIF('Elève (5ème6)'!LB17:LD17,"A"))*4)+((COUNTIF('Elève (5ème6)'!LB17:LD17,"B"))*3)+((COUNTIF('Elève (5ème6)'!LB17:LD17,"C"))*2)+((COUNTIF('Elève (5ème6)'!LB17:LD17,"D"))*1))/(COUNTA(LB17:LD17)),"")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(5ème6)'!LG17:LI17,"A"))*4)+((COUNTIF('Elève (5ème6)'!LG17:LI17,"B"))*3)+((COUNTIF('Elève (5ème6)'!LG17:LI17,"C"))*2)+((COUNTIF('Elève (5ème6)'!LG17:LI17,"D"))*1))/(COUNTA(LG17:LI17)),"")</f>
        <v/>
      </c>
      <c r="LK17" s="109" t="str">
        <f t="shared" si="74"/>
        <v/>
      </c>
      <c r="LL17" s="178">
        <f>IF(COUNT(KZ17,LE17,LJ17)=0,"",SUM(KZ17,LE17,LJ17)/COUNT(KZ17,LE17,LJ17))</f>
        <v>4</v>
      </c>
      <c r="LM17" s="134" t="str">
        <f t="shared" si="75"/>
        <v>A</v>
      </c>
      <c r="LN17" s="156" t="s">
        <v>29</v>
      </c>
      <c r="LO17" s="157"/>
      <c r="LP17" s="158"/>
      <c r="LQ17" s="108">
        <f>IFERROR((((COUNTIF('Elève (5ème6)'!LN17:LP17,"A"))*4)+((COUNTIF('Elève (5ème6)'!LN17:LP17,"B"))*3)+((COUNTIF('Elève (5ème6)'!LN17:LP17,"C"))*2)+((COUNTIF('Elève (5ème6)'!LN17:LP17,"D"))*1))/(COUNTA(LN17:LP17)),"")</f>
        <v>2</v>
      </c>
      <c r="LR17" s="109" t="str">
        <f t="shared" si="76"/>
        <v>C</v>
      </c>
      <c r="LS17" s="81"/>
      <c r="LT17" s="82"/>
      <c r="LU17" s="83"/>
      <c r="LV17" s="108" t="str">
        <f>IFERROR((((COUNTIF('Elève (5ème6)'!LS17:LU17,"A"))*4)+((COUNTIF('Elève (5ème6)'!LS17:LU17,"B"))*3)+((COUNTIF('Elève (5ème6)'!LS17:LU17,"C"))*2)+((COUNTIF('Elève (5ème6)'!LS17:LU17,"D"))*1))/(COUNTA(LS17:LU17)),"")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(5ème6)'!LX17:LZ17,"A"))*4)+((COUNTIF('Elève (5ème6)'!LX17:LZ17,"B"))*3)+((COUNTIF('Elève (5ème6)'!LX17:LZ17,"C"))*2)+((COUNTIF('Elève (5ème6)'!LX17:LZ17,"D"))*1))/(COUNTA(LX17:LZ17)),"")</f>
        <v/>
      </c>
      <c r="MB17" s="109" t="str">
        <f t="shared" si="78"/>
        <v/>
      </c>
      <c r="MC17" s="178">
        <f>IF(COUNT(LQ17,LV17,MA17)=0,"",SUM(LQ17,LV17,MA17)/COUNT(LQ17,LV17,MA17))</f>
        <v>2</v>
      </c>
      <c r="MD17" s="134" t="str">
        <f t="shared" si="79"/>
        <v>C</v>
      </c>
      <c r="ME17" s="156" t="s">
        <v>27</v>
      </c>
      <c r="MF17" s="157"/>
      <c r="MG17" s="158"/>
      <c r="MH17" s="108">
        <f>IFERROR((((COUNTIF('Elève (5ème6)'!ME17:MG17,"A"))*4)+((COUNTIF('Elève (5ème6)'!ME17:MG17,"B"))*3)+((COUNTIF('Elève (5ème6)'!ME17:MG17,"C"))*2)+((COUNTIF('Elève (5ème6)'!ME17:MG17,"D"))*1))/(COUNTA(ME17:MG17)),"")</f>
        <v>4</v>
      </c>
      <c r="MI17" s="109" t="str">
        <f t="shared" si="80"/>
        <v>A</v>
      </c>
      <c r="MJ17" s="81"/>
      <c r="MK17" s="82"/>
      <c r="ML17" s="83"/>
      <c r="MM17" s="108" t="str">
        <f>IFERROR((((COUNTIF('Elève (5ème6)'!MJ17:ML17,"A"))*4)+((COUNTIF('Elève (5ème6)'!MJ17:ML17,"B"))*3)+((COUNTIF('Elève (5ème6)'!MJ17:ML17,"C"))*2)+((COUNTIF('Elève (5ème6)'!MJ17:ML17,"D"))*1))/(COUNTA(MJ17:ML17)),"")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(5ème6)'!MO17:MQ17,"A"))*4)+((COUNTIF('Elève (5ème6)'!MO17:MQ17,"B"))*3)+((COUNTIF('Elève (5ème6)'!MO17:MQ17,"C"))*2)+((COUNTIF('Elève (5ème6)'!MO17:MQ17,"D"))*1))/(COUNTA(MO17:MQ17)),"")</f>
        <v/>
      </c>
      <c r="MS17" s="109" t="str">
        <f t="shared" si="82"/>
        <v/>
      </c>
      <c r="MT17" s="178">
        <f>IF(COUNT(MH17,MM17,MR17)=0,"",SUM(MH17,MM17,MR17)/COUNT(MH17,MM17,MR17))</f>
        <v>4</v>
      </c>
      <c r="MU17" s="134" t="str">
        <f t="shared" si="83"/>
        <v>A</v>
      </c>
      <c r="MV17" s="156" t="s">
        <v>27</v>
      </c>
      <c r="MW17" s="157"/>
      <c r="MX17" s="158"/>
      <c r="MY17" s="108">
        <f>IFERROR((((COUNTIF('Elève (5ème6)'!MV17:MX17,"A"))*4)+((COUNTIF('Elève (5ème6)'!MV17:MX17,"B"))*3)+((COUNTIF('Elève (5ème6)'!MV17:MX17,"C"))*2)+((COUNTIF('Elève (5ème6)'!MV17:MX17,"D"))*1))/(COUNTA(MV17:MX17)),"")</f>
        <v>4</v>
      </c>
      <c r="MZ17" s="109" t="str">
        <f t="shared" si="84"/>
        <v>A</v>
      </c>
      <c r="NA17" s="81"/>
      <c r="NB17" s="82"/>
      <c r="NC17" s="83"/>
      <c r="ND17" s="108" t="str">
        <f>IFERROR((((COUNTIF('Elève (5ème6)'!NA17:NC17,"A"))*4)+((COUNTIF('Elève (5ème6)'!NA17:NC17,"B"))*3)+((COUNTIF('Elève (5ème6)'!NA17:NC17,"C"))*2)+((COUNTIF('Elève (5ème6)'!NA17:NC17,"D"))*1))/(COUNTA(NA17:NC17)),"")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(5ème6)'!NF17:NH17,"A"))*4)+((COUNTIF('Elève (5ème6)'!NF17:NH17,"B"))*3)+((COUNTIF('Elève (5ème6)'!NF17:NH17,"C"))*2)+((COUNTIF('Elève (5ème6)'!NF17:NH17,"D"))*1))/(COUNTA(NF17:NH17)),"")</f>
        <v/>
      </c>
      <c r="NJ17" s="109" t="str">
        <f t="shared" si="86"/>
        <v/>
      </c>
      <c r="NK17" s="178">
        <f>IF(COUNT(MY17,ND17,NI17)=0,"",SUM(MY17,ND17,NI17)/COUNT(MY17,ND17,NI17))</f>
        <v>4</v>
      </c>
      <c r="NL17" s="134" t="str">
        <f t="shared" si="87"/>
        <v>A</v>
      </c>
      <c r="NM17" s="156" t="s">
        <v>27</v>
      </c>
      <c r="NN17" s="157"/>
      <c r="NO17" s="158"/>
      <c r="NP17" s="108">
        <f>IFERROR((((COUNTIF('Elève (5ème6)'!NM17:NO17,"A"))*4)+((COUNTIF('Elève (5ème6)'!NM17:NO17,"B"))*3)+((COUNTIF('Elève (5ème6)'!NM17:NO17,"C"))*2)+((COUNTIF('Elève (5ème6)'!NM17:NO17,"D"))*1))/(COUNTA(NM17:NO17)),"")</f>
        <v>4</v>
      </c>
      <c r="NQ17" s="109" t="str">
        <f t="shared" si="88"/>
        <v>A</v>
      </c>
      <c r="NR17" s="81"/>
      <c r="NS17" s="82"/>
      <c r="NT17" s="83"/>
      <c r="NU17" s="108" t="str">
        <f>IFERROR((((COUNTIF('Elève (5ème6)'!NR17:NT17,"A"))*4)+((COUNTIF('Elève (5ème6)'!NR17:NT17,"B"))*3)+((COUNTIF('Elève (5ème6)'!NR17:NT17,"C"))*2)+((COUNTIF('Elève (5ème6)'!NR17:NT17,"D"))*1))/(COUNTA(NR17:NT17)),"")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(5ème6)'!NW17:NY17,"A"))*4)+((COUNTIF('Elève (5ème6)'!NW17:NY17,"B"))*3)+((COUNTIF('Elève (5ème6)'!NW17:NY17,"C"))*2)+((COUNTIF('Elève (5ème6)'!NW17:NY17,"D"))*1))/(COUNTA(NW17:NY17)),"")</f>
        <v/>
      </c>
      <c r="OA17" s="109" t="str">
        <f t="shared" si="90"/>
        <v/>
      </c>
      <c r="OB17" s="178">
        <f>IF(COUNT(NP17,NU17,NZ17)=0,"",SUM(NP17,NU17,NZ17)/COUNT(NP17,NU17,NZ17))</f>
        <v>4</v>
      </c>
      <c r="OC17" s="134" t="str">
        <f t="shared" si="91"/>
        <v>A</v>
      </c>
      <c r="OD17" s="156" t="s">
        <v>27</v>
      </c>
      <c r="OE17" s="157"/>
      <c r="OF17" s="158"/>
      <c r="OG17" s="108">
        <f>IFERROR((((COUNTIF('Elève (5ème6)'!OD17:OF17,"A"))*4)+((COUNTIF('Elève (5ème6)'!OD17:OF17,"B"))*3)+((COUNTIF('Elève (5ème6)'!OD17:OF17,"C"))*2)+((COUNTIF('Elève (5ème6)'!OD17:OF17,"D"))*1))/(COUNTA(OD17:OF17)),"")</f>
        <v>4</v>
      </c>
      <c r="OH17" s="109" t="str">
        <f t="shared" si="92"/>
        <v>A</v>
      </c>
      <c r="OI17" s="81"/>
      <c r="OJ17" s="82"/>
      <c r="OK17" s="83"/>
      <c r="OL17" s="108" t="str">
        <f>IFERROR((((COUNTIF('Elève (5ème6)'!OI17:OK17,"A"))*4)+((COUNTIF('Elève (5ème6)'!OI17:OK17,"B"))*3)+((COUNTIF('Elève (5ème6)'!OI17:OK17,"C"))*2)+((COUNTIF('Elève (5ème6)'!OI17:OK17,"D"))*1))/(COUNTA(OI17:OK17)),"")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(5ème6)'!ON17:OP17,"A"))*4)+((COUNTIF('Elève (5ème6)'!ON17:OP17,"B"))*3)+((COUNTIF('Elève (5ème6)'!ON17:OP17,"C"))*2)+((COUNTIF('Elève (5ème6)'!ON17:OP17,"D"))*1))/(COUNTA(ON17:OP17)),"")</f>
        <v/>
      </c>
      <c r="OR17" s="109" t="str">
        <f t="shared" si="94"/>
        <v/>
      </c>
      <c r="OS17" s="178">
        <f>IF(COUNT(OG17,OL17,OQ17)=0,"",SUM(OG17,OL17,OQ17)/COUNT(OG17,OL17,OQ17))</f>
        <v>4</v>
      </c>
      <c r="OT17" s="134" t="str">
        <f t="shared" si="95"/>
        <v>A</v>
      </c>
      <c r="OU17" s="156" t="s">
        <v>27</v>
      </c>
      <c r="OV17" s="157"/>
      <c r="OW17" s="158"/>
      <c r="OX17" s="108">
        <f>IFERROR((((COUNTIF('Elève (5ème6)'!OU17:OW17,"A"))*4)+((COUNTIF('Elève (5ème6)'!OU17:OW17,"B"))*3)+((COUNTIF('Elève (5ème6)'!OU17:OW17,"C"))*2)+((COUNTIF('Elève (5ème6)'!OU17:OW17,"D"))*1))/(COUNTA(OU17:OW17)),"")</f>
        <v>4</v>
      </c>
      <c r="OY17" s="109" t="str">
        <f t="shared" si="96"/>
        <v>A</v>
      </c>
      <c r="OZ17" s="81"/>
      <c r="PA17" s="82"/>
      <c r="PB17" s="83"/>
      <c r="PC17" s="108" t="str">
        <f>IFERROR((((COUNTIF('Elève (5ème6)'!OZ17:PB17,"A"))*4)+((COUNTIF('Elève (5ème6)'!OZ17:PB17,"B"))*3)+((COUNTIF('Elève (5ème6)'!OZ17:PB17,"C"))*2)+((COUNTIF('Elève (5ème6)'!OZ17:PB17,"D"))*1))/(COUNTA(OZ17:PB17)),"")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(5ème6)'!PE17:PG17,"A"))*4)+((COUNTIF('Elève (5ème6)'!PE17:PG17,"B"))*3)+((COUNTIF('Elève (5ème6)'!PE17:PG17,"C"))*2)+((COUNTIF('Elève (5ème6)'!PE17:PG17,"D"))*1))/(COUNTA(PE17:PG17)),"")</f>
        <v/>
      </c>
      <c r="PI17" s="109" t="str">
        <f t="shared" si="98"/>
        <v/>
      </c>
      <c r="PJ17" s="178">
        <f>IF(COUNT(OX17,PC17,PH17)=0,"",SUM(OX17,PC17,PH17)/COUNT(OX17,PC17,PH17))</f>
        <v>4</v>
      </c>
      <c r="PK17" s="134" t="str">
        <f t="shared" si="99"/>
        <v>A</v>
      </c>
      <c r="PL17" s="156" t="s">
        <v>27</v>
      </c>
      <c r="PM17" s="157"/>
      <c r="PN17" s="158"/>
      <c r="PO17" s="108">
        <f>IFERROR((((COUNTIF('Elève (5ème6)'!PL17:PN17,"A"))*4)+((COUNTIF('Elève (5ème6)'!PL17:PN17,"B"))*3)+((COUNTIF('Elève (5ème6)'!PL17:PN17,"C"))*2)+((COUNTIF('Elève (5ème6)'!PL17:PN17,"D"))*1))/(COUNTA(PL17:PN17)),"")</f>
        <v>4</v>
      </c>
      <c r="PP17" s="109" t="str">
        <f t="shared" si="100"/>
        <v>A</v>
      </c>
      <c r="PQ17" s="81"/>
      <c r="PR17" s="82"/>
      <c r="PS17" s="83"/>
      <c r="PT17" s="108" t="str">
        <f>IFERROR((((COUNTIF('Elève (5ème6)'!PQ17:PS17,"A"))*4)+((COUNTIF('Elève (5ème6)'!PQ17:PS17,"B"))*3)+((COUNTIF('Elève (5ème6)'!PQ17:PS17,"C"))*2)+((COUNTIF('Elève (5ème6)'!PQ17:PS17,"D"))*1))/(COUNTA(PQ17:PS17)),"")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(5ème6)'!PV17:PX17,"A"))*4)+((COUNTIF('Elève (5ème6)'!PV17:PX17,"B"))*3)+((COUNTIF('Elève (5ème6)'!PV17:PX17,"C"))*2)+((COUNTIF('Elève (5ème6)'!PV17:PX17,"D"))*1))/(COUNTA(PV17:PX17)),"")</f>
        <v/>
      </c>
      <c r="PZ17" s="109" t="str">
        <f t="shared" si="102"/>
        <v/>
      </c>
      <c r="QA17" s="178">
        <f>IF(COUNT(PO17,PT17,PY17)=0,"",SUM(PO17,PT17,PY17)/COUNT(PO17,PT17,PY17))</f>
        <v>4</v>
      </c>
      <c r="QB17" s="134" t="str">
        <f t="shared" si="103"/>
        <v>A</v>
      </c>
      <c r="QC17" s="156" t="s">
        <v>27</v>
      </c>
      <c r="QD17" s="157"/>
      <c r="QE17" s="158"/>
      <c r="QF17" s="108">
        <f>IFERROR((((COUNTIF('Elève (5ème6)'!QC17:QE17,"A"))*4)+((COUNTIF('Elève (5ème6)'!QC17:QE17,"B"))*3)+((COUNTIF('Elève (5ème6)'!QC17:QE17,"C"))*2)+((COUNTIF('Elève (5ème6)'!QC17:QE17,"D"))*1))/(COUNTA(QC17:QE17)),"")</f>
        <v>4</v>
      </c>
      <c r="QG17" s="109" t="str">
        <f t="shared" si="104"/>
        <v>A</v>
      </c>
      <c r="QH17" s="81"/>
      <c r="QI17" s="82"/>
      <c r="QJ17" s="83"/>
      <c r="QK17" s="108" t="str">
        <f>IFERROR((((COUNTIF('Elève (5ème6)'!QH17:QJ17,"A"))*4)+((COUNTIF('Elève (5ème6)'!QH17:QJ17,"B"))*3)+((COUNTIF('Elève (5ème6)'!QH17:QJ17,"C"))*2)+((COUNTIF('Elève (5ème6)'!QH17:QJ17,"D"))*1))/(COUNTA(QH17:QJ17)),"")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(5ème6)'!QM17:QO17,"A"))*4)+((COUNTIF('Elève (5ème6)'!QM17:QO17,"B"))*3)+((COUNTIF('Elève (5ème6)'!QM17:QO17,"C"))*2)+((COUNTIF('Elève (5ème6)'!QM17:QO17,"D"))*1))/(COUNTA(QM17:QO17)),"")</f>
        <v/>
      </c>
      <c r="QQ17" s="109" t="str">
        <f t="shared" si="106"/>
        <v/>
      </c>
      <c r="QR17" s="178">
        <f>IF(COUNT(QF17,QK17,QP17)=0,"",SUM(QF17,QK17,QP17)/COUNT(QF17,QK17,QP17))</f>
        <v>4</v>
      </c>
      <c r="QS17" s="134" t="str">
        <f t="shared" si="107"/>
        <v>A</v>
      </c>
      <c r="QT17" s="156" t="s">
        <v>27</v>
      </c>
      <c r="QU17" s="157"/>
      <c r="QV17" s="158"/>
      <c r="QW17" s="108">
        <f>IFERROR((((COUNTIF('Elève (5ème6)'!QT17:QV17,"A"))*4)+((COUNTIF('Elève (5ème6)'!QT17:QV17,"B"))*3)+((COUNTIF('Elève (5ème6)'!QT17:QV17,"C"))*2)+((COUNTIF('Elève (5ème6)'!QT17:QV17,"D"))*1))/(COUNTA(QT17:QV17)),"")</f>
        <v>4</v>
      </c>
      <c r="QX17" s="109" t="str">
        <f t="shared" si="108"/>
        <v>A</v>
      </c>
      <c r="QY17" s="81"/>
      <c r="QZ17" s="82"/>
      <c r="RA17" s="83"/>
      <c r="RB17" s="108" t="str">
        <f>IFERROR((((COUNTIF('Elève (5ème6)'!QY17:RA17,"A"))*4)+((COUNTIF('Elève (5ème6)'!QY17:RA17,"B"))*3)+((COUNTIF('Elève (5ème6)'!QY17:RA17,"C"))*2)+((COUNTIF('Elève (5ème6)'!QY17:RA17,"D"))*1))/(COUNTA(QY17:RA17)),"")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(5ème6)'!RD17:RF17,"A"))*4)+((COUNTIF('Elève (5ème6)'!RD17:RF17,"B"))*3)+((COUNTIF('Elève (5ème6)'!RD17:RF17,"C"))*2)+((COUNTIF('Elève (5ème6)'!RD17:RF17,"D"))*1))/(COUNTA(RD17:RF17)),"")</f>
        <v/>
      </c>
      <c r="RH17" s="109" t="str">
        <f t="shared" si="110"/>
        <v/>
      </c>
      <c r="RI17" s="178">
        <f>IF(COUNT(QW17,RB17,RG17)=0,"",SUM(QW17,RB17,RG17)/COUNT(QW17,RB17,RG17))</f>
        <v>4</v>
      </c>
      <c r="RJ17" s="134" t="str">
        <f t="shared" si="111"/>
        <v>A</v>
      </c>
      <c r="RK17" s="156" t="s">
        <v>27</v>
      </c>
      <c r="RL17" s="157"/>
      <c r="RM17" s="158"/>
      <c r="RN17" s="108">
        <f>IFERROR((((COUNTIF('Elève (5ème6)'!RK17:RM17,"A"))*4)+((COUNTIF('Elève (5ème6)'!RK17:RM17,"B"))*3)+((COUNTIF('Elève (5ème6)'!RK17:RM17,"C"))*2)+((COUNTIF('Elève (5ème6)'!RK17:RM17,"D"))*1))/(COUNTA(RK17:RM17)),"")</f>
        <v>4</v>
      </c>
      <c r="RO17" s="109" t="str">
        <f t="shared" si="112"/>
        <v>A</v>
      </c>
      <c r="RP17" s="81"/>
      <c r="RQ17" s="82"/>
      <c r="RR17" s="83"/>
      <c r="RS17" s="108" t="str">
        <f>IFERROR((((COUNTIF('Elève (5ème6)'!RP17:RR17,"A"))*4)+((COUNTIF('Elève (5ème6)'!RP17:RR17,"B"))*3)+((COUNTIF('Elève (5ème6)'!RP17:RR17,"C"))*2)+((COUNTIF('Elève (5ème6)'!RP17:RR17,"D"))*1))/(COUNTA(RP17:RR17)),"")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(5ème6)'!RU17:RW17,"A"))*4)+((COUNTIF('Elève (5ème6)'!RU17:RW17,"B"))*3)+((COUNTIF('Elève (5ème6)'!RU17:RW17,"C"))*2)+((COUNTIF('Elève (5ème6)'!RU17:RW17,"D"))*1))/(COUNTA(RU17:RW17)),"")</f>
        <v/>
      </c>
      <c r="RY17" s="109" t="str">
        <f t="shared" si="114"/>
        <v/>
      </c>
      <c r="RZ17" s="178">
        <f>IF(COUNT(RN17,RS17,RX17)=0,"",SUM(RN17,RS17,RX17)/COUNT(RN17,RS17,RX17))</f>
        <v>4</v>
      </c>
      <c r="SA17" s="134" t="str">
        <f t="shared" si="115"/>
        <v>A</v>
      </c>
      <c r="SB17" s="156"/>
      <c r="SC17" s="157"/>
      <c r="SD17" s="158"/>
      <c r="SE17" s="108" t="str">
        <f>IFERROR((((COUNTIF('Elève (5ème6)'!SB17:SD17,"A"))*4)+((COUNTIF('Elève (5ème6)'!SB17:SD17,"B"))*3)+((COUNTIF('Elève (5ème6)'!SB17:SD17,"C"))*2)+((COUNTIF('Elève (5ème6)'!SB17:SD17,"D"))*1))/(COUNTA(SB17:SD17)),"")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(5ème6)'!SG17:SI17,"A"))*4)+((COUNTIF('Elève (5ème6)'!SG17:SI17,"B"))*3)+((COUNTIF('Elève (5ème6)'!SG17:SI17,"C"))*2)+((COUNTIF('Elève (5ème6)'!SG17:SI17,"D"))*1))/(COUNTA(SG17:SI17)),"")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(5ème6)'!SL17:SN17,"A"))*4)+((COUNTIF('Elève (5ème6)'!SL17:SN17,"B"))*3)+((COUNTIF('Elève (5ème6)'!SL17:SN17,"C"))*2)+((COUNTIF('Elève (5ème6)'!SL17:SN17,"D"))*1))/(COUNTA(SL17:SN17)),"")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7" t="s">
        <v>22</v>
      </c>
      <c r="B18" s="228"/>
      <c r="C18" s="156"/>
      <c r="D18" s="157"/>
      <c r="E18" s="158"/>
      <c r="F18" s="110" t="str">
        <f>IFERROR((((COUNTIF('Elève (5ème6)'!C18:E18,"A"))*4)+((COUNTIF('Elève (5ème6)'!C18:E18,"B"))*3)+((COUNTIF('Elève (5ème6)'!C18:E18,"C"))*2)+((COUNTIF('Elève (5ème6)'!C18:E18,"D"))*1))/(COUNTA(C18:E18)),"")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(5ème6)'!H18:J18,"A"))*4)+((COUNTIF('Elève (5ème6)'!H18:J18,"B"))*3)+((COUNTIF('Elève (5ème6)'!H18:J18,"C"))*2)+((COUNTIF('Elève (5ème6)'!H18:J18,"D"))*1))/(COUNTA(H18:J18)),"")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(5ème6)'!M18:O18,"A"))*4)+((COUNTIF('Elève (5ème6)'!M18:O18,"B"))*3)+((COUNTIF('Elève (5ème6)'!M18:O18,"C"))*2)+((COUNTIF('Elève (5ème6)'!M18:O18,"D"))*1))/(COUNTA(M18:O18)),"")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(5ème6)'!T18:V18,"A"))*4)+((COUNTIF('Elève (5ème6)'!T18:V18,"B"))*3)+((COUNTIF('Elève (5ème6)'!T18:V18,"C"))*2)+((COUNTIF('Elève (5ème6)'!T18:V18,"D"))*1))/(COUNTA(T18:V18)),"")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(5ème6)'!Y18:AA18,"A"))*4)+((COUNTIF('Elève (5ème6)'!Y18:AA18,"B"))*3)+((COUNTIF('Elève (5ème6)'!Y18:AA18,"C"))*2)+((COUNTIF('Elève (5ème6)'!Y18:AA18,"D"))*1))/(COUNTA(Y18:AA18)),"")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(5ème6)'!AD18:AF18,"A"))*4)+((COUNTIF('Elève (5ème6)'!AD18:AF18,"B"))*3)+((COUNTIF('Elève (5ème6)'!AD18:AF18,"C"))*2)+((COUNTIF('Elève (5ème6)'!AD18:AF18,"D"))*1))/(COUNTA(AD18:AF18)),"")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(5ème6)'!AK18:AM18,"A"))*4)+((COUNTIF('Elève (5ème6)'!AK18:AM18,"B"))*3)+((COUNTIF('Elève (5ème6)'!AK18:AM18,"C"))*2)+((COUNTIF('Elève (5ème6)'!AK18:AM18,"D"))*1))/(COUNTA(AK18:AM18)),"")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(5ème6)'!AP18:AR18,"A"))*4)+((COUNTIF('Elève (5ème6)'!AP18:AR18,"B"))*3)+((COUNTIF('Elève (5ème6)'!AP18:AR18,"C"))*2)+((COUNTIF('Elève (5ème6)'!AP18:AR18,"D"))*1))/(COUNTA(AP18:AR18)),"")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(5ème6)'!AU18:AW18,"A"))*4)+((COUNTIF('Elève (5ème6)'!AU18:AW18,"B"))*3)+((COUNTIF('Elève (5ème6)'!AU18:AW18,"C"))*2)+((COUNTIF('Elève (5ème6)'!AU18:AW18,"D"))*1))/(COUNTA(AU18:AW18)),"")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(5ème6)'!BB18:BD18,"A"))*4)+((COUNTIF('Elève (5ème6)'!BB18:BD18,"B"))*3)+((COUNTIF('Elève (5ème6)'!BB18:BD18,"C"))*2)+((COUNTIF('Elève (5ème6)'!BB18:BD18,"D"))*1))/(COUNTA(BB18:BD18)),"")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(5ème6)'!BG18:BI18,"A"))*4)+((COUNTIF('Elève (5ème6)'!BG18:BI18,"B"))*3)+((COUNTIF('Elève (5ème6)'!BG18:BI18,"C"))*2)+((COUNTIF('Elève (5ème6)'!BG18:BI18,"D"))*1))/(COUNTA(BG18:BI18)),"")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(5ème6)'!BL18:BN18,"A"))*4)+((COUNTIF('Elève (5ème6)'!BL18:BN18,"B"))*3)+((COUNTIF('Elève (5ème6)'!BL18:BN18,"C"))*2)+((COUNTIF('Elève (5ème6)'!BL18:BN18,"D"))*1))/(COUNTA(BL18:BN18)),"")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(5ème6)'!BS18:BU18,"A"))*4)+((COUNTIF('Elève (5ème6)'!BS18:BU18,"B"))*3)+((COUNTIF('Elève (5ème6)'!BS18:BU18,"C"))*2)+((COUNTIF('Elève (5ème6)'!BS18:BU18,"D"))*1))/(COUNTA(BS18:BU18)),"")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(5ème6)'!BX18:BZ18,"A"))*4)+((COUNTIF('Elève (5ème6)'!BX18:BZ18,"B"))*3)+((COUNTIF('Elève (5ème6)'!BX18:BZ18,"C"))*2)+((COUNTIF('Elève (5ème6)'!BX18:BZ18,"D"))*1))/(COUNTA(BX18:BZ18)),"")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(5ème6)'!CC18:CE18,"A"))*4)+((COUNTIF('Elève (5ème6)'!CC18:CE18,"B"))*3)+((COUNTIF('Elève (5ème6)'!CC18:CE18,"C"))*2)+((COUNTIF('Elève (5ème6)'!CC18:CE18,"D"))*1))/(COUNTA(CC18:CE18)),"")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(5ème6)'!CJ18:CL18,"A"))*4)+((COUNTIF('Elève (5ème6)'!CJ18:CL18,"B"))*3)+((COUNTIF('Elève (5ème6)'!CJ18:CL18,"C"))*2)+((COUNTIF('Elève (5ème6)'!CJ18:CL18,"D"))*1))/(COUNTA(CJ18:CL18)),"")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(5ème6)'!CO18:CQ18,"A"))*4)+((COUNTIF('Elève (5ème6)'!CO18:CQ18,"B"))*3)+((COUNTIF('Elève (5ème6)'!CO18:CQ18,"C"))*2)+((COUNTIF('Elève (5ème6)'!CO18:CQ18,"D"))*1))/(COUNTA(CO18:CQ18)),"")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(5ème6)'!CT18:CV18,"A"))*4)+((COUNTIF('Elève (5ème6)'!CT18:CV18,"B"))*3)+((COUNTIF('Elève (5ème6)'!CT18:CV18,"C"))*2)+((COUNTIF('Elève (5ème6)'!CT18:CV18,"D"))*1))/(COUNTA(CT18:CV18)),"")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(5ème6)'!DA18:DC18,"A"))*4)+((COUNTIF('Elève (5ème6)'!DA18:DC18,"B"))*3)+((COUNTIF('Elève (5ème6)'!DA18:DC18,"C"))*2)+((COUNTIF('Elève (5ème6)'!DA18:DC18,"D"))*1))/(COUNTA(DA18:DC18)),"")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(5ème6)'!DF18:DH18,"A"))*4)+((COUNTIF('Elève (5ème6)'!DF18:DH18,"B"))*3)+((COUNTIF('Elève (5ème6)'!DF18:DH18,"C"))*2)+((COUNTIF('Elève (5ème6)'!DF18:DH18,"D"))*1))/(COUNTA(DF18:DH18)),"")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(5ème6)'!DK18:DM18,"A"))*4)+((COUNTIF('Elève (5ème6)'!DK18:DM18,"B"))*3)+((COUNTIF('Elève (5ème6)'!DK18:DM18,"C"))*2)+((COUNTIF('Elève (5ème6)'!DK18:DM18,"D"))*1))/(COUNTA(DK18:DM18)),"")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(5ème6)'!DR18:DT18,"A"))*4)+((COUNTIF('Elève (5ème6)'!DR18:DT18,"B"))*3)+((COUNTIF('Elève (5ème6)'!DR18:DT18,"C"))*2)+((COUNTIF('Elève (5ème6)'!DR18:DT18,"D"))*1))/(COUNTA(DR18:DT18)),"")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(5ème6)'!DW18:DY18,"A"))*4)+((COUNTIF('Elève (5ème6)'!DW18:DY18,"B"))*3)+((COUNTIF('Elève (5ème6)'!DW18:DY18,"C"))*2)+((COUNTIF('Elève (5ème6)'!DW18:DY18,"D"))*1))/(COUNTA(DW18:DY18)),"")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(5ème6)'!EB18:ED18,"A"))*4)+((COUNTIF('Elève (5ème6)'!EB18:ED18,"B"))*3)+((COUNTIF('Elève (5ème6)'!EB18:ED18,"C"))*2)+((COUNTIF('Elève (5ème6)'!EB18:ED18,"D"))*1))/(COUNTA(EB18:ED18)),"")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(5ème6)'!EI18:EK18,"A"))*4)+((COUNTIF('Elève (5ème6)'!EI18:EK18,"B"))*3)+((COUNTIF('Elève (5ème6)'!EI18:EK18,"C"))*2)+((COUNTIF('Elève (5ème6)'!EI18:EK18,"D"))*1))/(COUNTA(EI18:EK18)),"")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(5ème6)'!EN18:EP18,"A"))*4)+((COUNTIF('Elève (5ème6)'!EN18:EP18,"B"))*3)+((COUNTIF('Elève (5ème6)'!EN18:EP18,"C"))*2)+((COUNTIF('Elève (5ème6)'!EN18:EP18,"D"))*1))/(COUNTA(EN18:EP18)),"")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(5ème6)'!ES18:EU18,"A"))*4)+((COUNTIF('Elève (5ème6)'!ES18:EU18,"B"))*3)+((COUNTIF('Elève (5ème6)'!ES18:EU18,"C"))*2)+((COUNTIF('Elève (5ème6)'!ES18:EU18,"D"))*1))/(COUNTA(ES18:EU18)),"")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(5ème6)'!EZ18:FB18,"A"))*4)+((COUNTIF('Elève (5ème6)'!EZ18:FB18,"B"))*3)+((COUNTIF('Elève (5ème6)'!EZ18:FB18,"C"))*2)+((COUNTIF('Elève (5ème6)'!EZ18:FB18,"D"))*1))/(COUNTA(EZ18:FB18)),"")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(5ème6)'!FE18:FG18,"A"))*4)+((COUNTIF('Elève (5ème6)'!FE18:FG18,"B"))*3)+((COUNTIF('Elève (5ème6)'!FE18:FG18,"C"))*2)+((COUNTIF('Elève (5ème6)'!FE18:FG18,"D"))*1))/(COUNTA(FE18:FG18)),"")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(5ème6)'!FJ18:FL18,"A"))*4)+((COUNTIF('Elève (5ème6)'!FJ18:FL18,"B"))*3)+((COUNTIF('Elève (5ème6)'!FJ18:FL18,"C"))*2)+((COUNTIF('Elève (5ème6)'!FJ18:FL18,"D"))*1))/(COUNTA(FJ18:FL18)),"")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(5ème6)'!FQ18:FS18,"A"))*4)+((COUNTIF('Elève (5ème6)'!FQ18:FS18,"B"))*3)+((COUNTIF('Elève (5ème6)'!FQ18:FS18,"C"))*2)+((COUNTIF('Elève (5ème6)'!FQ18:FS18,"D"))*1))/(COUNTA(FQ18:FS18)),"")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(5ème6)'!FV18:FX18,"A"))*4)+((COUNTIF('Elève (5ème6)'!FV18:FX18,"B"))*3)+((COUNTIF('Elève (5ème6)'!FV18:FX18,"C"))*2)+((COUNTIF('Elève (5ème6)'!FV18:FX18,"D"))*1))/(COUNTA(FV18:FX18)),"")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(5ème6)'!GA18:GC18,"A"))*4)+((COUNTIF('Elève (5ème6)'!GA18:GC18,"B"))*3)+((COUNTIF('Elève (5ème6)'!GA18:GC18,"C"))*2)+((COUNTIF('Elève (5ème6)'!GA18:GC18,"D"))*1))/(COUNTA(GA18:GC18)),"")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(5ème6)'!GH18:GJ18,"A"))*4)+((COUNTIF('Elève (5ème6)'!GH18:GJ18,"B"))*3)+((COUNTIF('Elève (5ème6)'!GH18:GJ18,"C"))*2)+((COUNTIF('Elève (5ème6)'!GH18:GJ18,"D"))*1))/(COUNTA(GH18:GJ18)),"")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(5ème6)'!GM18:GO18,"A"))*4)+((COUNTIF('Elève (5ème6)'!GM18:GO18,"B"))*3)+((COUNTIF('Elève (5ème6)'!GM18:GO18,"C"))*2)+((COUNTIF('Elève (5ème6)'!GM18:GO18,"D"))*1))/(COUNTA(GM18:GO18)),"")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(5ème6)'!GR18:GT18,"A"))*4)+((COUNTIF('Elève (5ème6)'!GR18:GT18,"B"))*3)+((COUNTIF('Elève (5ème6)'!GR18:GT18,"C"))*2)+((COUNTIF('Elève (5ème6)'!GR18:GT18,"D"))*1))/(COUNTA(GR18:GT18)),"")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(5ème6)'!GY18:HA18,"A"))*4)+((COUNTIF('Elève (5ème6)'!GY18:HA18,"B"))*3)+((COUNTIF('Elève (5ème6)'!GY18:HA18,"C"))*2)+((COUNTIF('Elève (5ème6)'!GY18:HA18,"D"))*1))/(COUNTA(GY18:HA18)),"")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(5ème6)'!HD18:HF18,"A"))*4)+((COUNTIF('Elève (5ème6)'!HD18:HF18,"B"))*3)+((COUNTIF('Elève (5ème6)'!HD18:HF18,"C"))*2)+((COUNTIF('Elève (5ème6)'!HD18:HF18,"D"))*1))/(COUNTA(HD18:HF18)),"")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(5ème6)'!HI18:HK18,"A"))*4)+((COUNTIF('Elève (5ème6)'!HI18:HK18,"B"))*3)+((COUNTIF('Elève (5ème6)'!HI18:HK18,"C"))*2)+((COUNTIF('Elève (5ème6)'!HI18:HK18,"D"))*1))/(COUNTA(HI18:HK18)),"")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(5ème6)'!HP18:HR18,"A"))*4)+((COUNTIF('Elève (5ème6)'!HP18:HR18,"B"))*3)+((COUNTIF('Elève (5ème6)'!HP18:HR18,"C"))*2)+((COUNTIF('Elève (5ème6)'!HP18:HR18,"D"))*1))/(COUNTA(HP18:HR18)),"")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(5ème6)'!HU18:HW18,"A"))*4)+((COUNTIF('Elève (5ème6)'!HU18:HW18,"B"))*3)+((COUNTIF('Elève (5ème6)'!HU18:HW18,"C"))*2)+((COUNTIF('Elève (5ème6)'!HU18:HW18,"D"))*1))/(COUNTA(HU18:HW18)),"")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(5ème6)'!HZ18:IB18,"A"))*4)+((COUNTIF('Elève (5ème6)'!HZ18:IB18,"B"))*3)+((COUNTIF('Elève (5ème6)'!HZ18:IB18,"C"))*2)+((COUNTIF('Elève (5ème6)'!HZ18:IB18,"D"))*1))/(COUNTA(HZ18:IB18)),"")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(5ème6)'!IG18:II18,"A"))*4)+((COUNTIF('Elève (5ème6)'!IG18:II18,"B"))*3)+((COUNTIF('Elève (5ème6)'!IG18:II18,"C"))*2)+((COUNTIF('Elève (5ème6)'!IG18:II18,"D"))*1))/(COUNTA(IG18:II18)),"")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(5ème6)'!IL18:IN18,"A"))*4)+((COUNTIF('Elève (5ème6)'!IL18:IN18,"B"))*3)+((COUNTIF('Elève (5ème6)'!IL18:IN18,"C"))*2)+((COUNTIF('Elève (5ème6)'!IL18:IN18,"D"))*1))/(COUNTA(IL18:IN18)),"")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(5ème6)'!IQ18:IS18,"A"))*4)+((COUNTIF('Elève (5ème6)'!IQ18:IS18,"B"))*3)+((COUNTIF('Elève (5ème6)'!IQ18:IS18,"C"))*2)+((COUNTIF('Elève (5ème6)'!IQ18:IS18,"D"))*1))/(COUNTA(IQ18:IS18)),"")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(5ème6)'!IX18:IZ18,"A"))*4)+((COUNTIF('Elève (5ème6)'!IX18:IZ18,"B"))*3)+((COUNTIF('Elève (5ème6)'!IX18:IZ18,"C"))*2)+((COUNTIF('Elève (5ème6)'!IX18:IZ18,"D"))*1))/(COUNTA(IX18:IZ18)),"")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(5ème6)'!JC18:JE18,"A"))*4)+((COUNTIF('Elève (5ème6)'!JC18:JE18,"B"))*3)+((COUNTIF('Elève (5ème6)'!JC18:JE18,"C"))*2)+((COUNTIF('Elève (5ème6)'!JC18:JE18,"D"))*1))/(COUNTA(JC18:JE18)),"")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(5ème6)'!JH18:JJ18,"A"))*4)+((COUNTIF('Elève (5ème6)'!JH18:JJ18,"B"))*3)+((COUNTIF('Elève (5ème6)'!JH18:JJ18,"C"))*2)+((COUNTIF('Elève (5ème6)'!JH18:JJ18,"D"))*1))/(COUNTA(JH18:JJ18)),"")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(5ème6)'!JO18:JQ18,"A"))*4)+((COUNTIF('Elève (5ème6)'!JO18:JQ18,"B"))*3)+((COUNTIF('Elève (5ème6)'!JO18:JQ18,"C"))*2)+((COUNTIF('Elève (5ème6)'!JO18:JQ18,"D"))*1))/(COUNTA(JO18:JQ18)),"")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(5ème6)'!JT18:JV18,"A"))*4)+((COUNTIF('Elève (5ème6)'!JT18:JV18,"B"))*3)+((COUNTIF('Elève (5ème6)'!JT18:JV18,"C"))*2)+((COUNTIF('Elève (5ème6)'!JT18:JV18,"D"))*1))/(COUNTA(JT18:JV18)),"")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(5ème6)'!JY18:KA18,"A"))*4)+((COUNTIF('Elève (5ème6)'!JY18:KA18,"B"))*3)+((COUNTIF('Elève (5ème6)'!JY18:KA18,"C"))*2)+((COUNTIF('Elève (5ème6)'!JY18:KA18,"D"))*1))/(COUNTA(JY18:KA18)),"")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(5ème6)'!KF18:KH18,"A"))*4)+((COUNTIF('Elève (5ème6)'!KF18:KH18,"B"))*3)+((COUNTIF('Elève (5ème6)'!KF18:KH18,"C"))*2)+((COUNTIF('Elève (5ème6)'!KF18:KH18,"D"))*1))/(COUNTA(KF18:KH18)),"")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(5ème6)'!KK18:KM18,"A"))*4)+((COUNTIF('Elève (5ème6)'!KK18:KM18,"B"))*3)+((COUNTIF('Elève (5ème6)'!KK18:KM18,"C"))*2)+((COUNTIF('Elève (5ème6)'!KK18:KM18,"D"))*1))/(COUNTA(KK18:KM18)),"")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(5ème6)'!KP18:KR18,"A"))*4)+((COUNTIF('Elève (5ème6)'!KP18:KR18,"B"))*3)+((COUNTIF('Elève (5ème6)'!KP18:KR18,"C"))*2)+((COUNTIF('Elève (5ème6)'!KP18:KR18,"D"))*1))/(COUNTA(KP18:KR18)),"")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(5ème6)'!KW18:KY18,"A"))*4)+((COUNTIF('Elève (5ème6)'!KW18:KY18,"B"))*3)+((COUNTIF('Elève (5ème6)'!KW18:KY18,"C"))*2)+((COUNTIF('Elève (5ème6)'!KW18:KY18,"D"))*1))/(COUNTA(KW18:KY18)),"")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(5ème6)'!LB18:LD18,"A"))*4)+((COUNTIF('Elève (5ème6)'!LB18:LD18,"B"))*3)+((COUNTIF('Elève (5ème6)'!LB18:LD18,"C"))*2)+((COUNTIF('Elève (5ème6)'!LB18:LD18,"D"))*1))/(COUNTA(LB18:LD18)),"")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(5ème6)'!LG18:LI18,"A"))*4)+((COUNTIF('Elève (5ème6)'!LG18:LI18,"B"))*3)+((COUNTIF('Elève (5ème6)'!LG18:LI18,"C"))*2)+((COUNTIF('Elève (5ème6)'!LG18:LI18,"D"))*1))/(COUNTA(LG18:LI18)),"")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(5ème6)'!LN18:LP18,"A"))*4)+((COUNTIF('Elève (5ème6)'!LN18:LP18,"B"))*3)+((COUNTIF('Elève (5ème6)'!LN18:LP18,"C"))*2)+((COUNTIF('Elève (5ème6)'!LN18:LP18,"D"))*1))/(COUNTA(LN18:LP18)),"")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(5ème6)'!LS18:LU18,"A"))*4)+((COUNTIF('Elève (5ème6)'!LS18:LU18,"B"))*3)+((COUNTIF('Elève (5ème6)'!LS18:LU18,"C"))*2)+((COUNTIF('Elève (5ème6)'!LS18:LU18,"D"))*1))/(COUNTA(LS18:LU18)),"")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(5ème6)'!LX18:LZ18,"A"))*4)+((COUNTIF('Elève (5ème6)'!LX18:LZ18,"B"))*3)+((COUNTIF('Elève (5ème6)'!LX18:LZ18,"C"))*2)+((COUNTIF('Elève (5ème6)'!LX18:LZ18,"D"))*1))/(COUNTA(LX18:LZ18)),"")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(5ème6)'!ME18:MG18,"A"))*4)+((COUNTIF('Elève (5ème6)'!ME18:MG18,"B"))*3)+((COUNTIF('Elève (5ème6)'!ME18:MG18,"C"))*2)+((COUNTIF('Elève (5ème6)'!ME18:MG18,"D"))*1))/(COUNTA(ME18:MG18)),"")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(5ème6)'!MJ18:ML18,"A"))*4)+((COUNTIF('Elève (5ème6)'!MJ18:ML18,"B"))*3)+((COUNTIF('Elève (5ème6)'!MJ18:ML18,"C"))*2)+((COUNTIF('Elève (5ème6)'!MJ18:ML18,"D"))*1))/(COUNTA(MJ18:ML18)),"")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(5ème6)'!MO18:MQ18,"A"))*4)+((COUNTIF('Elève (5ème6)'!MO18:MQ18,"B"))*3)+((COUNTIF('Elève (5ème6)'!MO18:MQ18,"C"))*2)+((COUNTIF('Elève (5ème6)'!MO18:MQ18,"D"))*1))/(COUNTA(MO18:MQ18)),"")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(5ème6)'!MV18:MX18,"A"))*4)+((COUNTIF('Elève (5ème6)'!MV18:MX18,"B"))*3)+((COUNTIF('Elève (5ème6)'!MV18:MX18,"C"))*2)+((COUNTIF('Elève (5ème6)'!MV18:MX18,"D"))*1))/(COUNTA(MV18:MX18)),"")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(5ème6)'!NA18:NC18,"A"))*4)+((COUNTIF('Elève (5ème6)'!NA18:NC18,"B"))*3)+((COUNTIF('Elève (5ème6)'!NA18:NC18,"C"))*2)+((COUNTIF('Elève (5ème6)'!NA18:NC18,"D"))*1))/(COUNTA(NA18:NC18)),"")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(5ème6)'!NF18:NH18,"A"))*4)+((COUNTIF('Elève (5ème6)'!NF18:NH18,"B"))*3)+((COUNTIF('Elève (5ème6)'!NF18:NH18,"C"))*2)+((COUNTIF('Elève (5ème6)'!NF18:NH18,"D"))*1))/(COUNTA(NF18:NH18)),"")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(5ème6)'!NM18:NO18,"A"))*4)+((COUNTIF('Elève (5ème6)'!NM18:NO18,"B"))*3)+((COUNTIF('Elève (5ème6)'!NM18:NO18,"C"))*2)+((COUNTIF('Elève (5ème6)'!NM18:NO18,"D"))*1))/(COUNTA(NM18:NO18)),"")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(5ème6)'!NR18:NT18,"A"))*4)+((COUNTIF('Elève (5ème6)'!NR18:NT18,"B"))*3)+((COUNTIF('Elève (5ème6)'!NR18:NT18,"C"))*2)+((COUNTIF('Elève (5ème6)'!NR18:NT18,"D"))*1))/(COUNTA(NR18:NT18)),"")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(5ème6)'!NW18:NY18,"A"))*4)+((COUNTIF('Elève (5ème6)'!NW18:NY18,"B"))*3)+((COUNTIF('Elève (5ème6)'!NW18:NY18,"C"))*2)+((COUNTIF('Elève (5ème6)'!NW18:NY18,"D"))*1))/(COUNTA(NW18:NY18)),"")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(5ème6)'!OD18:OF18,"A"))*4)+((COUNTIF('Elève (5ème6)'!OD18:OF18,"B"))*3)+((COUNTIF('Elève (5ème6)'!OD18:OF18,"C"))*2)+((COUNTIF('Elève (5ème6)'!OD18:OF18,"D"))*1))/(COUNTA(OD18:OF18)),"")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(5ème6)'!OI18:OK18,"A"))*4)+((COUNTIF('Elève (5ème6)'!OI18:OK18,"B"))*3)+((COUNTIF('Elève (5ème6)'!OI18:OK18,"C"))*2)+((COUNTIF('Elève (5ème6)'!OI18:OK18,"D"))*1))/(COUNTA(OI18:OK18)),"")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(5ème6)'!ON18:OP18,"A"))*4)+((COUNTIF('Elève (5ème6)'!ON18:OP18,"B"))*3)+((COUNTIF('Elève (5ème6)'!ON18:OP18,"C"))*2)+((COUNTIF('Elève (5ème6)'!ON18:OP18,"D"))*1))/(COUNTA(ON18:OP18)),"")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(5ème6)'!OU18:OW18,"A"))*4)+((COUNTIF('Elève (5ème6)'!OU18:OW18,"B"))*3)+((COUNTIF('Elève (5ème6)'!OU18:OW18,"C"))*2)+((COUNTIF('Elève (5ème6)'!OU18:OW18,"D"))*1))/(COUNTA(OU18:OW18)),"")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(5ème6)'!OZ18:PB18,"A"))*4)+((COUNTIF('Elève (5ème6)'!OZ18:PB18,"B"))*3)+((COUNTIF('Elève (5ème6)'!OZ18:PB18,"C"))*2)+((COUNTIF('Elève (5ème6)'!OZ18:PB18,"D"))*1))/(COUNTA(OZ18:PB18)),"")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(5ème6)'!PE18:PG18,"A"))*4)+((COUNTIF('Elève (5ème6)'!PE18:PG18,"B"))*3)+((COUNTIF('Elève (5ème6)'!PE18:PG18,"C"))*2)+((COUNTIF('Elève (5ème6)'!PE18:PG18,"D"))*1))/(COUNTA(PE18:PG18)),"")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(5ème6)'!PL18:PN18,"A"))*4)+((COUNTIF('Elève (5ème6)'!PL18:PN18,"B"))*3)+((COUNTIF('Elève (5ème6)'!PL18:PN18,"C"))*2)+((COUNTIF('Elève (5ème6)'!PL18:PN18,"D"))*1))/(COUNTA(PL18:PN18)),"")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(5ème6)'!PQ18:PS18,"A"))*4)+((COUNTIF('Elève (5ème6)'!PQ18:PS18,"B"))*3)+((COUNTIF('Elève (5ème6)'!PQ18:PS18,"C"))*2)+((COUNTIF('Elève (5ème6)'!PQ18:PS18,"D"))*1))/(COUNTA(PQ18:PS18)),"")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(5ème6)'!PV18:PX18,"A"))*4)+((COUNTIF('Elève (5ème6)'!PV18:PX18,"B"))*3)+((COUNTIF('Elève (5ème6)'!PV18:PX18,"C"))*2)+((COUNTIF('Elève (5ème6)'!PV18:PX18,"D"))*1))/(COUNTA(PV18:PX18)),"")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(5ème6)'!QC18:QE18,"A"))*4)+((COUNTIF('Elève (5ème6)'!QC18:QE18,"B"))*3)+((COUNTIF('Elève (5ème6)'!QC18:QE18,"C"))*2)+((COUNTIF('Elève (5ème6)'!QC18:QE18,"D"))*1))/(COUNTA(QC18:QE18)),"")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(5ème6)'!QH18:QJ18,"A"))*4)+((COUNTIF('Elève (5ème6)'!QH18:QJ18,"B"))*3)+((COUNTIF('Elève (5ème6)'!QH18:QJ18,"C"))*2)+((COUNTIF('Elève (5ème6)'!QH18:QJ18,"D"))*1))/(COUNTA(QH18:QJ18)),"")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(5ème6)'!QM18:QO18,"A"))*4)+((COUNTIF('Elève (5ème6)'!QM18:QO18,"B"))*3)+((COUNTIF('Elève (5ème6)'!QM18:QO18,"C"))*2)+((COUNTIF('Elève (5ème6)'!QM18:QO18,"D"))*1))/(COUNTA(QM18:QO18)),"")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(5ème6)'!QT18:QV18,"A"))*4)+((COUNTIF('Elève (5ème6)'!QT18:QV18,"B"))*3)+((COUNTIF('Elève (5ème6)'!QT18:QV18,"C"))*2)+((COUNTIF('Elève (5ème6)'!QT18:QV18,"D"))*1))/(COUNTA(QT18:QV18)),"")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(5ème6)'!QY18:RA18,"A"))*4)+((COUNTIF('Elève (5ème6)'!QY18:RA18,"B"))*3)+((COUNTIF('Elève (5ème6)'!QY18:RA18,"C"))*2)+((COUNTIF('Elève (5ème6)'!QY18:RA18,"D"))*1))/(COUNTA(QY18:RA18)),"")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(5ème6)'!RD18:RF18,"A"))*4)+((COUNTIF('Elève (5ème6)'!RD18:RF18,"B"))*3)+((COUNTIF('Elève (5ème6)'!RD18:RF18,"C"))*2)+((COUNTIF('Elève (5ème6)'!RD18:RF18,"D"))*1))/(COUNTA(RD18:RF18)),"")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(5ème6)'!RK18:RM18,"A"))*4)+((COUNTIF('Elève (5ème6)'!RK18:RM18,"B"))*3)+((COUNTIF('Elève (5ème6)'!RK18:RM18,"C"))*2)+((COUNTIF('Elève (5ème6)'!RK18:RM18,"D"))*1))/(COUNTA(RK18:RM18)),"")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(5ème6)'!RP18:RR18,"A"))*4)+((COUNTIF('Elève (5ème6)'!RP18:RR18,"B"))*3)+((COUNTIF('Elève (5ème6)'!RP18:RR18,"C"))*2)+((COUNTIF('Elève (5ème6)'!RP18:RR18,"D"))*1))/(COUNTA(RP18:RR18)),"")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(5ème6)'!RU18:RW18,"A"))*4)+((COUNTIF('Elève (5ème6)'!RU18:RW18,"B"))*3)+((COUNTIF('Elève (5ème6)'!RU18:RW18,"C"))*2)+((COUNTIF('Elève (5ème6)'!RU18:RW18,"D"))*1))/(COUNTA(RU18:RW18)),"")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(5ème6)'!SB18:SD18,"A"))*4)+((COUNTIF('Elève (5ème6)'!SB18:SD18,"B"))*3)+((COUNTIF('Elève (5ème6)'!SB18:SD18,"C"))*2)+((COUNTIF('Elève (5ème6)'!SB18:SD18,"D"))*1))/(COUNTA(SB18:SD18)),"")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(5ème6)'!SG18:SI18,"A"))*4)+((COUNTIF('Elève (5ème6)'!SG18:SI18,"B"))*3)+((COUNTIF('Elève (5ème6)'!SG18:SI18,"C"))*2)+((COUNTIF('Elève (5ème6)'!SG18:SI18,"D"))*1))/(COUNTA(SG18:SI18)),"")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(5ème6)'!SL18:SN18,"A"))*4)+((COUNTIF('Elève (5ème6)'!SL18:SN18,"B"))*3)+((COUNTIF('Elève (5ème6)'!SL18:SN18,"C"))*2)+((COUNTIF('Elève (5ème6)'!SL18:SN18,"D"))*1))/(COUNTA(SL18:SN18)),"")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25" t="s">
        <v>23</v>
      </c>
      <c r="B19" s="226"/>
      <c r="C19" s="159"/>
      <c r="D19" s="160"/>
      <c r="E19" s="161"/>
      <c r="F19" s="136" t="str">
        <f>IFERROR((((COUNTIF('Elève (5ème6)'!C19:E19,"A"))*4)+((COUNTIF('Elève (5ème6)'!C19:E19,"B"))*3)+((COUNTIF('Elève (5ème6)'!C19:E19,"C"))*2)+((COUNTIF('Elève (5ème6)'!C19:E19,"D"))*1))/(COUNTA(C19:E19)),"")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(5ème6)'!H19:J19,"A"))*4)+((COUNTIF('Elève (5ème6)'!H19:J19,"B"))*3)+((COUNTIF('Elève (5ème6)'!H19:J19,"C"))*2)+((COUNTIF('Elève (5ème6)'!H19:J19,"D"))*1))/(COUNTA(H19:J19)),"")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(5ème6)'!M19:O19,"A"))*4)+((COUNTIF('Elève (5ème6)'!M19:O19,"B"))*3)+((COUNTIF('Elève (5ème6)'!M19:O19,"C"))*2)+((COUNTIF('Elève (5ème6)'!M19:O19,"D"))*1))/(COUNTA(M19:O19)),"")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(5ème6)'!T19:V19,"A"))*4)+((COUNTIF('Elève (5ème6)'!T19:V19,"B"))*3)+((COUNTIF('Elève (5ème6)'!T19:V19,"C"))*2)+((COUNTIF('Elève (5ème6)'!T19:V19,"D"))*1))/(COUNTA(T19:V19)),"")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(5ème6)'!Y19:AA19,"A"))*4)+((COUNTIF('Elève (5ème6)'!Y19:AA19,"B"))*3)+((COUNTIF('Elève (5ème6)'!Y19:AA19,"C"))*2)+((COUNTIF('Elève (5ème6)'!Y19:AA19,"D"))*1))/(COUNTA(Y19:AA19)),"")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(5ème6)'!AD19:AF19,"A"))*4)+((COUNTIF('Elève (5ème6)'!AD19:AF19,"B"))*3)+((COUNTIF('Elève (5ème6)'!AD19:AF19,"C"))*2)+((COUNTIF('Elève (5ème6)'!AD19:AF19,"D"))*1))/(COUNTA(AD19:AF19)),"")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(5ème6)'!AK19:AM19,"A"))*4)+((COUNTIF('Elève (5ème6)'!AK19:AM19,"B"))*3)+((COUNTIF('Elève (5ème6)'!AK19:AM19,"C"))*2)+((COUNTIF('Elève (5ème6)'!AK19:AM19,"D"))*1))/(COUNTA(AK19:AM19)),"")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(5ème6)'!AP19:AR19,"A"))*4)+((COUNTIF('Elève (5ème6)'!AP19:AR19,"B"))*3)+((COUNTIF('Elève (5ème6)'!AP19:AR19,"C"))*2)+((COUNTIF('Elève (5ème6)'!AP19:AR19,"D"))*1))/(COUNTA(AP19:AR19)),"")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(5ème6)'!AU19:AW19,"A"))*4)+((COUNTIF('Elève (5ème6)'!AU19:AW19,"B"))*3)+((COUNTIF('Elève (5ème6)'!AU19:AW19,"C"))*2)+((COUNTIF('Elève (5ème6)'!AU19:AW19,"D"))*1))/(COUNTA(AU19:AW19)),"")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(5ème6)'!BB19:BD19,"A"))*4)+((COUNTIF('Elève (5ème6)'!BB19:BD19,"B"))*3)+((COUNTIF('Elève (5ème6)'!BB19:BD19,"C"))*2)+((COUNTIF('Elève (5ème6)'!BB19:BD19,"D"))*1))/(COUNTA(BB19:BD19)),"")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(5ème6)'!BG19:BI19,"A"))*4)+((COUNTIF('Elève (5ème6)'!BG19:BI19,"B"))*3)+((COUNTIF('Elève (5ème6)'!BG19:BI19,"C"))*2)+((COUNTIF('Elève (5ème6)'!BG19:BI19,"D"))*1))/(COUNTA(BG19:BI19)),"")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(5ème6)'!BL19:BN19,"A"))*4)+((COUNTIF('Elève (5ème6)'!BL19:BN19,"B"))*3)+((COUNTIF('Elève (5ème6)'!BL19:BN19,"C"))*2)+((COUNTIF('Elève (5ème6)'!BL19:BN19,"D"))*1))/(COUNTA(BL19:BN19)),"")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(5ème6)'!BS19:BU19,"A"))*4)+((COUNTIF('Elève (5ème6)'!BS19:BU19,"B"))*3)+((COUNTIF('Elève (5ème6)'!BS19:BU19,"C"))*2)+((COUNTIF('Elève (5ème6)'!BS19:BU19,"D"))*1))/(COUNTA(BS19:BU19)),"")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(5ème6)'!BX19:BZ19,"A"))*4)+((COUNTIF('Elève (5ème6)'!BX19:BZ19,"B"))*3)+((COUNTIF('Elève (5ème6)'!BX19:BZ19,"C"))*2)+((COUNTIF('Elève (5ème6)'!BX19:BZ19,"D"))*1))/(COUNTA(BX19:BZ19)),"")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(5ème6)'!CC19:CE19,"A"))*4)+((COUNTIF('Elève (5ème6)'!CC19:CE19,"B"))*3)+((COUNTIF('Elève (5ème6)'!CC19:CE19,"C"))*2)+((COUNTIF('Elève (5ème6)'!CC19:CE19,"D"))*1))/(COUNTA(CC19:CE19)),"")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(5ème6)'!CJ19:CL19,"A"))*4)+((COUNTIF('Elève (5ème6)'!CJ19:CL19,"B"))*3)+((COUNTIF('Elève (5ème6)'!CJ19:CL19,"C"))*2)+((COUNTIF('Elève (5ème6)'!CJ19:CL19,"D"))*1))/(COUNTA(CJ19:CL19)),"")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(5ème6)'!CO19:CQ19,"A"))*4)+((COUNTIF('Elève (5ème6)'!CO19:CQ19,"B"))*3)+((COUNTIF('Elève (5ème6)'!CO19:CQ19,"C"))*2)+((COUNTIF('Elève (5ème6)'!CO19:CQ19,"D"))*1))/(COUNTA(CO19:CQ19)),"")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(5ème6)'!CT19:CV19,"A"))*4)+((COUNTIF('Elève (5ème6)'!CT19:CV19,"B"))*3)+((COUNTIF('Elève (5ème6)'!CT19:CV19,"C"))*2)+((COUNTIF('Elève (5ème6)'!CT19:CV19,"D"))*1))/(COUNTA(CT19:CV19)),"")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(5ème6)'!DA19:DC19,"A"))*4)+((COUNTIF('Elève (5ème6)'!DA19:DC19,"B"))*3)+((COUNTIF('Elève (5ème6)'!DA19:DC19,"C"))*2)+((COUNTIF('Elève (5ème6)'!DA19:DC19,"D"))*1))/(COUNTA(DA19:DC19)),"")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(5ème6)'!DF19:DH19,"A"))*4)+((COUNTIF('Elève (5ème6)'!DF19:DH19,"B"))*3)+((COUNTIF('Elève (5ème6)'!DF19:DH19,"C"))*2)+((COUNTIF('Elève (5ème6)'!DF19:DH19,"D"))*1))/(COUNTA(DF19:DH19)),"")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(5ème6)'!DK19:DM19,"A"))*4)+((COUNTIF('Elève (5ème6)'!DK19:DM19,"B"))*3)+((COUNTIF('Elève (5ème6)'!DK19:DM19,"C"))*2)+((COUNTIF('Elève (5ème6)'!DK19:DM19,"D"))*1))/(COUNTA(DK19:DM19)),"")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(5ème6)'!DR19:DT19,"A"))*4)+((COUNTIF('Elève (5ème6)'!DR19:DT19,"B"))*3)+((COUNTIF('Elève (5ème6)'!DR19:DT19,"C"))*2)+((COUNTIF('Elève (5ème6)'!DR19:DT19,"D"))*1))/(COUNTA(DR19:DT19)),"")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(5ème6)'!DW19:DY19,"A"))*4)+((COUNTIF('Elève (5ème6)'!DW19:DY19,"B"))*3)+((COUNTIF('Elève (5ème6)'!DW19:DY19,"C"))*2)+((COUNTIF('Elève (5ème6)'!DW19:DY19,"D"))*1))/(COUNTA(DW19:DY19)),"")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(5ème6)'!EB19:ED19,"A"))*4)+((COUNTIF('Elève (5ème6)'!EB19:ED19,"B"))*3)+((COUNTIF('Elève (5ème6)'!EB19:ED19,"C"))*2)+((COUNTIF('Elève (5ème6)'!EB19:ED19,"D"))*1))/(COUNTA(EB19:ED19)),"")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(5ème6)'!EI19:EK19,"A"))*4)+((COUNTIF('Elève (5ème6)'!EI19:EK19,"B"))*3)+((COUNTIF('Elève (5ème6)'!EI19:EK19,"C"))*2)+((COUNTIF('Elève (5ème6)'!EI19:EK19,"D"))*1))/(COUNTA(EI19:EK19)),"")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(5ème6)'!EN19:EP19,"A"))*4)+((COUNTIF('Elève (5ème6)'!EN19:EP19,"B"))*3)+((COUNTIF('Elève (5ème6)'!EN19:EP19,"C"))*2)+((COUNTIF('Elève (5ème6)'!EN19:EP19,"D"))*1))/(COUNTA(EN19:EP19)),"")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(5ème6)'!ES19:EU19,"A"))*4)+((COUNTIF('Elève (5ème6)'!ES19:EU19,"B"))*3)+((COUNTIF('Elève (5ème6)'!ES19:EU19,"C"))*2)+((COUNTIF('Elève (5ème6)'!ES19:EU19,"D"))*1))/(COUNTA(ES19:EU19)),"")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(5ème6)'!EZ19:FB19,"A"))*4)+((COUNTIF('Elève (5ème6)'!EZ19:FB19,"B"))*3)+((COUNTIF('Elève (5ème6)'!EZ19:FB19,"C"))*2)+((COUNTIF('Elève (5ème6)'!EZ19:FB19,"D"))*1))/(COUNTA(EZ19:FB19)),"")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(5ème6)'!FE19:FG19,"A"))*4)+((COUNTIF('Elève (5ème6)'!FE19:FG19,"B"))*3)+((COUNTIF('Elève (5ème6)'!FE19:FG19,"C"))*2)+((COUNTIF('Elève (5ème6)'!FE19:FG19,"D"))*1))/(COUNTA(FE19:FG19)),"")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(5ème6)'!FJ19:FL19,"A"))*4)+((COUNTIF('Elève (5ème6)'!FJ19:FL19,"B"))*3)+((COUNTIF('Elève (5ème6)'!FJ19:FL19,"C"))*2)+((COUNTIF('Elève (5ème6)'!FJ19:FL19,"D"))*1))/(COUNTA(FJ19:FL19)),"")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(5ème6)'!FQ19:FS19,"A"))*4)+((COUNTIF('Elève (5ème6)'!FQ19:FS19,"B"))*3)+((COUNTIF('Elève (5ème6)'!FQ19:FS19,"C"))*2)+((COUNTIF('Elève (5ème6)'!FQ19:FS19,"D"))*1))/(COUNTA(FQ19:FS19)),"")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(5ème6)'!FV19:FX19,"A"))*4)+((COUNTIF('Elève (5ème6)'!FV19:FX19,"B"))*3)+((COUNTIF('Elève (5ème6)'!FV19:FX19,"C"))*2)+((COUNTIF('Elève (5ème6)'!FV19:FX19,"D"))*1))/(COUNTA(FV19:FX19)),"")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(5ème6)'!GA19:GC19,"A"))*4)+((COUNTIF('Elève (5ème6)'!GA19:GC19,"B"))*3)+((COUNTIF('Elève (5ème6)'!GA19:GC19,"C"))*2)+((COUNTIF('Elève (5ème6)'!GA19:GC19,"D"))*1))/(COUNTA(GA19:GC19)),"")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(5ème6)'!GH19:GJ19,"A"))*4)+((COUNTIF('Elève (5ème6)'!GH19:GJ19,"B"))*3)+((COUNTIF('Elève (5ème6)'!GH19:GJ19,"C"))*2)+((COUNTIF('Elève (5ème6)'!GH19:GJ19,"D"))*1))/(COUNTA(GH19:GJ19)),"")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(5ème6)'!GM19:GO19,"A"))*4)+((COUNTIF('Elève (5ème6)'!GM19:GO19,"B"))*3)+((COUNTIF('Elève (5ème6)'!GM19:GO19,"C"))*2)+((COUNTIF('Elève (5ème6)'!GM19:GO19,"D"))*1))/(COUNTA(GM19:GO19)),"")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(5ème6)'!GR19:GT19,"A"))*4)+((COUNTIF('Elève (5ème6)'!GR19:GT19,"B"))*3)+((COUNTIF('Elève (5ème6)'!GR19:GT19,"C"))*2)+((COUNTIF('Elève (5ème6)'!GR19:GT19,"D"))*1))/(COUNTA(GR19:GT19)),"")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(5ème6)'!GY19:HA19,"A"))*4)+((COUNTIF('Elève (5ème6)'!GY19:HA19,"B"))*3)+((COUNTIF('Elève (5ème6)'!GY19:HA19,"C"))*2)+((COUNTIF('Elève (5ème6)'!GY19:HA19,"D"))*1))/(COUNTA(GY19:HA19)),"")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(5ème6)'!HD19:HF19,"A"))*4)+((COUNTIF('Elève (5ème6)'!HD19:HF19,"B"))*3)+((COUNTIF('Elève (5ème6)'!HD19:HF19,"C"))*2)+((COUNTIF('Elève (5ème6)'!HD19:HF19,"D"))*1))/(COUNTA(HD19:HF19)),"")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(5ème6)'!HI19:HK19,"A"))*4)+((COUNTIF('Elève (5ème6)'!HI19:HK19,"B"))*3)+((COUNTIF('Elève (5ème6)'!HI19:HK19,"C"))*2)+((COUNTIF('Elève (5ème6)'!HI19:HK19,"D"))*1))/(COUNTA(HI19:HK19)),"")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(5ème6)'!HP19:HR19,"A"))*4)+((COUNTIF('Elève (5ème6)'!HP19:HR19,"B"))*3)+((COUNTIF('Elève (5ème6)'!HP19:HR19,"C"))*2)+((COUNTIF('Elève (5ème6)'!HP19:HR19,"D"))*1))/(COUNTA(HP19:HR19)),"")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(5ème6)'!HU19:HW19,"A"))*4)+((COUNTIF('Elève (5ème6)'!HU19:HW19,"B"))*3)+((COUNTIF('Elève (5ème6)'!HU19:HW19,"C"))*2)+((COUNTIF('Elève (5ème6)'!HU19:HW19,"D"))*1))/(COUNTA(HU19:HW19)),"")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(5ème6)'!HZ19:IB19,"A"))*4)+((COUNTIF('Elève (5ème6)'!HZ19:IB19,"B"))*3)+((COUNTIF('Elève (5ème6)'!HZ19:IB19,"C"))*2)+((COUNTIF('Elève (5ème6)'!HZ19:IB19,"D"))*1))/(COUNTA(HZ19:IB19)),"")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(5ème6)'!IG19:II19,"A"))*4)+((COUNTIF('Elève (5ème6)'!IG19:II19,"B"))*3)+((COUNTIF('Elève (5ème6)'!IG19:II19,"C"))*2)+((COUNTIF('Elève (5ème6)'!IG19:II19,"D"))*1))/(COUNTA(IG19:II19)),"")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(5ème6)'!IL19:IN19,"A"))*4)+((COUNTIF('Elève (5ème6)'!IL19:IN19,"B"))*3)+((COUNTIF('Elève (5ème6)'!IL19:IN19,"C"))*2)+((COUNTIF('Elève (5ème6)'!IL19:IN19,"D"))*1))/(COUNTA(IL19:IN19)),"")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(5ème6)'!IQ19:IS19,"A"))*4)+((COUNTIF('Elève (5ème6)'!IQ19:IS19,"B"))*3)+((COUNTIF('Elève (5ème6)'!IQ19:IS19,"C"))*2)+((COUNTIF('Elève (5ème6)'!IQ19:IS19,"D"))*1))/(COUNTA(IQ19:IS19)),"")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(5ème6)'!IX19:IZ19,"A"))*4)+((COUNTIF('Elève (5ème6)'!IX19:IZ19,"B"))*3)+((COUNTIF('Elève (5ème6)'!IX19:IZ19,"C"))*2)+((COUNTIF('Elève (5ème6)'!IX19:IZ19,"D"))*1))/(COUNTA(IX19:IZ19)),"")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(5ème6)'!JC19:JE19,"A"))*4)+((COUNTIF('Elève (5ème6)'!JC19:JE19,"B"))*3)+((COUNTIF('Elève (5ème6)'!JC19:JE19,"C"))*2)+((COUNTIF('Elève (5ème6)'!JC19:JE19,"D"))*1))/(COUNTA(JC19:JE19)),"")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(5ème6)'!JH19:JJ19,"A"))*4)+((COUNTIF('Elève (5ème6)'!JH19:JJ19,"B"))*3)+((COUNTIF('Elève (5ème6)'!JH19:JJ19,"C"))*2)+((COUNTIF('Elève (5ème6)'!JH19:JJ19,"D"))*1))/(COUNTA(JH19:JJ19)),"")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(5ème6)'!JO19:JQ19,"A"))*4)+((COUNTIF('Elève (5ème6)'!JO19:JQ19,"B"))*3)+((COUNTIF('Elève (5ème6)'!JO19:JQ19,"C"))*2)+((COUNTIF('Elève (5ème6)'!JO19:JQ19,"D"))*1))/(COUNTA(JO19:JQ19)),"")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(5ème6)'!JT19:JV19,"A"))*4)+((COUNTIF('Elève (5ème6)'!JT19:JV19,"B"))*3)+((COUNTIF('Elève (5ème6)'!JT19:JV19,"C"))*2)+((COUNTIF('Elève (5ème6)'!JT19:JV19,"D"))*1))/(COUNTA(JT19:JV19)),"")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(5ème6)'!JY19:KA19,"A"))*4)+((COUNTIF('Elève (5ème6)'!JY19:KA19,"B"))*3)+((COUNTIF('Elève (5ème6)'!JY19:KA19,"C"))*2)+((COUNTIF('Elève (5ème6)'!JY19:KA19,"D"))*1))/(COUNTA(JY19:KA19)),"")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(5ème6)'!KF19:KH19,"A"))*4)+((COUNTIF('Elève (5ème6)'!KF19:KH19,"B"))*3)+((COUNTIF('Elève (5ème6)'!KF19:KH19,"C"))*2)+((COUNTIF('Elève (5ème6)'!KF19:KH19,"D"))*1))/(COUNTA(KF19:KH19)),"")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(5ème6)'!KK19:KM19,"A"))*4)+((COUNTIF('Elève (5ème6)'!KK19:KM19,"B"))*3)+((COUNTIF('Elève (5ème6)'!KK19:KM19,"C"))*2)+((COUNTIF('Elève (5ème6)'!KK19:KM19,"D"))*1))/(COUNTA(KK19:KM19)),"")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(5ème6)'!KP19:KR19,"A"))*4)+((COUNTIF('Elève (5ème6)'!KP19:KR19,"B"))*3)+((COUNTIF('Elève (5ème6)'!KP19:KR19,"C"))*2)+((COUNTIF('Elève (5ème6)'!KP19:KR19,"D"))*1))/(COUNTA(KP19:KR19)),"")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(5ème6)'!KW19:KY19,"A"))*4)+((COUNTIF('Elève (5ème6)'!KW19:KY19,"B"))*3)+((COUNTIF('Elève (5ème6)'!KW19:KY19,"C"))*2)+((COUNTIF('Elève (5ème6)'!KW19:KY19,"D"))*1))/(COUNTA(KW19:KY19)),"")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(5ème6)'!LB19:LD19,"A"))*4)+((COUNTIF('Elève (5ème6)'!LB19:LD19,"B"))*3)+((COUNTIF('Elève (5ème6)'!LB19:LD19,"C"))*2)+((COUNTIF('Elève (5ème6)'!LB19:LD19,"D"))*1))/(COUNTA(LB19:LD19)),"")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(5ème6)'!LG19:LI19,"A"))*4)+((COUNTIF('Elève (5ème6)'!LG19:LI19,"B"))*3)+((COUNTIF('Elève (5ème6)'!LG19:LI19,"C"))*2)+((COUNTIF('Elève (5ème6)'!LG19:LI19,"D"))*1))/(COUNTA(LG19:LI19)),"")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(5ème6)'!LN19:LP19,"A"))*4)+((COUNTIF('Elève (5ème6)'!LN19:LP19,"B"))*3)+((COUNTIF('Elève (5ème6)'!LN19:LP19,"C"))*2)+((COUNTIF('Elève (5ème6)'!LN19:LP19,"D"))*1))/(COUNTA(LN19:LP19)),"")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(5ème6)'!LS19:LU19,"A"))*4)+((COUNTIF('Elève (5ème6)'!LS19:LU19,"B"))*3)+((COUNTIF('Elève (5ème6)'!LS19:LU19,"C"))*2)+((COUNTIF('Elève (5ème6)'!LS19:LU19,"D"))*1))/(COUNTA(LS19:LU19)),"")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(5ème6)'!LX19:LZ19,"A"))*4)+((COUNTIF('Elève (5ème6)'!LX19:LZ19,"B"))*3)+((COUNTIF('Elève (5ème6)'!LX19:LZ19,"C"))*2)+((COUNTIF('Elève (5ème6)'!LX19:LZ19,"D"))*1))/(COUNTA(LX19:LZ19)),"")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(5ème6)'!ME19:MG19,"A"))*4)+((COUNTIF('Elève (5ème6)'!ME19:MG19,"B"))*3)+((COUNTIF('Elève (5ème6)'!ME19:MG19,"C"))*2)+((COUNTIF('Elève (5ème6)'!ME19:MG19,"D"))*1))/(COUNTA(ME19:MG19)),"")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(5ème6)'!MJ19:ML19,"A"))*4)+((COUNTIF('Elève (5ème6)'!MJ19:ML19,"B"))*3)+((COUNTIF('Elève (5ème6)'!MJ19:ML19,"C"))*2)+((COUNTIF('Elève (5ème6)'!MJ19:ML19,"D"))*1))/(COUNTA(MJ19:ML19)),"")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(5ème6)'!MO19:MQ19,"A"))*4)+((COUNTIF('Elève (5ème6)'!MO19:MQ19,"B"))*3)+((COUNTIF('Elève (5ème6)'!MO19:MQ19,"C"))*2)+((COUNTIF('Elève (5ème6)'!MO19:MQ19,"D"))*1))/(COUNTA(MO19:MQ19)),"")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(5ème6)'!MV19:MX19,"A"))*4)+((COUNTIF('Elève (5ème6)'!MV19:MX19,"B"))*3)+((COUNTIF('Elève (5ème6)'!MV19:MX19,"C"))*2)+((COUNTIF('Elève (5ème6)'!MV19:MX19,"D"))*1))/(COUNTA(MV19:MX19)),"")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(5ème6)'!NA19:NC19,"A"))*4)+((COUNTIF('Elève (5ème6)'!NA19:NC19,"B"))*3)+((COUNTIF('Elève (5ème6)'!NA19:NC19,"C"))*2)+((COUNTIF('Elève (5ème6)'!NA19:NC19,"D"))*1))/(COUNTA(NA19:NC19)),"")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(5ème6)'!NF19:NH19,"A"))*4)+((COUNTIF('Elève (5ème6)'!NF19:NH19,"B"))*3)+((COUNTIF('Elève (5ème6)'!NF19:NH19,"C"))*2)+((COUNTIF('Elève (5ème6)'!NF19:NH19,"D"))*1))/(COUNTA(NF19:NH19)),"")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(5ème6)'!NM19:NO19,"A"))*4)+((COUNTIF('Elève (5ème6)'!NM19:NO19,"B"))*3)+((COUNTIF('Elève (5ème6)'!NM19:NO19,"C"))*2)+((COUNTIF('Elève (5ème6)'!NM19:NO19,"D"))*1))/(COUNTA(NM19:NO19)),"")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(5ème6)'!NR19:NT19,"A"))*4)+((COUNTIF('Elève (5ème6)'!NR19:NT19,"B"))*3)+((COUNTIF('Elève (5ème6)'!NR19:NT19,"C"))*2)+((COUNTIF('Elève (5ème6)'!NR19:NT19,"D"))*1))/(COUNTA(NR19:NT19)),"")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(5ème6)'!NW19:NY19,"A"))*4)+((COUNTIF('Elève (5ème6)'!NW19:NY19,"B"))*3)+((COUNTIF('Elève (5ème6)'!NW19:NY19,"C"))*2)+((COUNTIF('Elève (5ème6)'!NW19:NY19,"D"))*1))/(COUNTA(NW19:NY19)),"")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(5ème6)'!OD19:OF19,"A"))*4)+((COUNTIF('Elève (5ème6)'!OD19:OF19,"B"))*3)+((COUNTIF('Elève (5ème6)'!OD19:OF19,"C"))*2)+((COUNTIF('Elève (5ème6)'!OD19:OF19,"D"))*1))/(COUNTA(OD19:OF19)),"")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(5ème6)'!OI19:OK19,"A"))*4)+((COUNTIF('Elève (5ème6)'!OI19:OK19,"B"))*3)+((COUNTIF('Elève (5ème6)'!OI19:OK19,"C"))*2)+((COUNTIF('Elève (5ème6)'!OI19:OK19,"D"))*1))/(COUNTA(OI19:OK19)),"")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(5ème6)'!ON19:OP19,"A"))*4)+((COUNTIF('Elève (5ème6)'!ON19:OP19,"B"))*3)+((COUNTIF('Elève (5ème6)'!ON19:OP19,"C"))*2)+((COUNTIF('Elève (5ème6)'!ON19:OP19,"D"))*1))/(COUNTA(ON19:OP19)),"")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(5ème6)'!OU19:OW19,"A"))*4)+((COUNTIF('Elève (5ème6)'!OU19:OW19,"B"))*3)+((COUNTIF('Elève (5ème6)'!OU19:OW19,"C"))*2)+((COUNTIF('Elève (5ème6)'!OU19:OW19,"D"))*1))/(COUNTA(OU19:OW19)),"")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(5ème6)'!OZ19:PB19,"A"))*4)+((COUNTIF('Elève (5ème6)'!OZ19:PB19,"B"))*3)+((COUNTIF('Elève (5ème6)'!OZ19:PB19,"C"))*2)+((COUNTIF('Elève (5ème6)'!OZ19:PB19,"D"))*1))/(COUNTA(OZ19:PB19)),"")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(5ème6)'!PE19:PG19,"A"))*4)+((COUNTIF('Elève (5ème6)'!PE19:PG19,"B"))*3)+((COUNTIF('Elève (5ème6)'!PE19:PG19,"C"))*2)+((COUNTIF('Elève (5ème6)'!PE19:PG19,"D"))*1))/(COUNTA(PE19:PG19)),"")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(5ème6)'!PL19:PN19,"A"))*4)+((COUNTIF('Elève (5ème6)'!PL19:PN19,"B"))*3)+((COUNTIF('Elève (5ème6)'!PL19:PN19,"C"))*2)+((COUNTIF('Elève (5ème6)'!PL19:PN19,"D"))*1))/(COUNTA(PL19:PN19)),"")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(5ème6)'!PQ19:PS19,"A"))*4)+((COUNTIF('Elève (5ème6)'!PQ19:PS19,"B"))*3)+((COUNTIF('Elève (5ème6)'!PQ19:PS19,"C"))*2)+((COUNTIF('Elève (5ème6)'!PQ19:PS19,"D"))*1))/(COUNTA(PQ19:PS19)),"")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(5ème6)'!PV19:PX19,"A"))*4)+((COUNTIF('Elève (5ème6)'!PV19:PX19,"B"))*3)+((COUNTIF('Elève (5ème6)'!PV19:PX19,"C"))*2)+((COUNTIF('Elève (5ème6)'!PV19:PX19,"D"))*1))/(COUNTA(PV19:PX19)),"")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(5ème6)'!QC19:QE19,"A"))*4)+((COUNTIF('Elève (5ème6)'!QC19:QE19,"B"))*3)+((COUNTIF('Elève (5ème6)'!QC19:QE19,"C"))*2)+((COUNTIF('Elève (5ème6)'!QC19:QE19,"D"))*1))/(COUNTA(QC19:QE19)),"")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(5ème6)'!QH19:QJ19,"A"))*4)+((COUNTIF('Elève (5ème6)'!QH19:QJ19,"B"))*3)+((COUNTIF('Elève (5ème6)'!QH19:QJ19,"C"))*2)+((COUNTIF('Elève (5ème6)'!QH19:QJ19,"D"))*1))/(COUNTA(QH19:QJ19)),"")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(5ème6)'!QM19:QO19,"A"))*4)+((COUNTIF('Elève (5ème6)'!QM19:QO19,"B"))*3)+((COUNTIF('Elève (5ème6)'!QM19:QO19,"C"))*2)+((COUNTIF('Elève (5ème6)'!QM19:QO19,"D"))*1))/(COUNTA(QM19:QO19)),"")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(5ème6)'!QT19:QV19,"A"))*4)+((COUNTIF('Elève (5ème6)'!QT19:QV19,"B"))*3)+((COUNTIF('Elève (5ème6)'!QT19:QV19,"C"))*2)+((COUNTIF('Elève (5ème6)'!QT19:QV19,"D"))*1))/(COUNTA(QT19:QV19)),"")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(5ème6)'!QY19:RA19,"A"))*4)+((COUNTIF('Elève (5ème6)'!QY19:RA19,"B"))*3)+((COUNTIF('Elève (5ème6)'!QY19:RA19,"C"))*2)+((COUNTIF('Elève (5ème6)'!QY19:RA19,"D"))*1))/(COUNTA(QY19:RA19)),"")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(5ème6)'!RD19:RF19,"A"))*4)+((COUNTIF('Elève (5ème6)'!RD19:RF19,"B"))*3)+((COUNTIF('Elève (5ème6)'!RD19:RF19,"C"))*2)+((COUNTIF('Elève (5ème6)'!RD19:RF19,"D"))*1))/(COUNTA(RD19:RF19)),"")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(5ème6)'!RK19:RM19,"A"))*4)+((COUNTIF('Elève (5ème6)'!RK19:RM19,"B"))*3)+((COUNTIF('Elève (5ème6)'!RK19:RM19,"C"))*2)+((COUNTIF('Elève (5ème6)'!RK19:RM19,"D"))*1))/(COUNTA(RK19:RM19)),"")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(5ème6)'!RP19:RR19,"A"))*4)+((COUNTIF('Elève (5ème6)'!RP19:RR19,"B"))*3)+((COUNTIF('Elève (5ème6)'!RP19:RR19,"C"))*2)+((COUNTIF('Elève (5ème6)'!RP19:RR19,"D"))*1))/(COUNTA(RP19:RR19)),"")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(5ème6)'!RU19:RW19,"A"))*4)+((COUNTIF('Elève (5ème6)'!RU19:RW19,"B"))*3)+((COUNTIF('Elève (5ème6)'!RU19:RW19,"C"))*2)+((COUNTIF('Elève (5ème6)'!RU19:RW19,"D"))*1))/(COUNTA(RU19:RW19)),"")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(5ème6)'!SB19:SD19,"A"))*4)+((COUNTIF('Elève (5ème6)'!SB19:SD19,"B"))*3)+((COUNTIF('Elève (5ème6)'!SB19:SD19,"C"))*2)+((COUNTIF('Elève (5ème6)'!SB19:SD19,"D"))*1))/(COUNTA(SB19:SD19)),"")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(5ème6)'!SG19:SI19,"A"))*4)+((COUNTIF('Elève (5ème6)'!SG19:SI19,"B"))*3)+((COUNTIF('Elève (5ème6)'!SG19:SI19,"C"))*2)+((COUNTIF('Elève (5ème6)'!SG19:SI19,"D"))*1))/(COUNTA(SG19:SI19)),"")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(5ème6)'!SL19:SN19,"A"))*4)+((COUNTIF('Elève (5ème6)'!SL19:SN19,"B"))*3)+((COUNTIF('Elève (5ème6)'!SL19:SN19,"C"))*2)+((COUNTIF('Elève (5ème6)'!SL19:SN19,"D"))*1))/(COUNTA(SL19:SN19)),"")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(5ème6)'!C21:E21,"A"))*4)+((COUNTIF('Elève (5ème6)'!C21:E21,"B"))*3)+((COUNTIF('Elève (5ème6)'!C21:E21,"C"))*2)+((COUNTIF('Elève (5ème6)'!C21:E21,"D"))*1))/(COUNTA(C21:E21)),"")</f>
        <v/>
      </c>
      <c r="G20" s="107" t="str">
        <f t="shared" si="0"/>
        <v/>
      </c>
      <c r="H20" s="204"/>
      <c r="I20" s="186"/>
      <c r="J20" s="205"/>
      <c r="K20" s="129" t="str">
        <f>IFERROR((((COUNTIF('Elève (5ème6)'!H21:J21,"A"))*4)+((COUNTIF('Elève (5ème6)'!H21:J21,"B"))*3)+((COUNTIF('Elève (5ème6)'!H21:J21,"C"))*2)+((COUNTIF('Elève (5ème6)'!H21:J21,"D"))*1))/(COUNTA(H21:J21)),"")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(5ème6)'!M21:O21,"A"))*4)+((COUNTIF('Elève (5ème6)'!M21:O21,"B"))*3)+((COUNTIF('Elève (5ème6)'!M21:O21,"C"))*2)+((COUNTIF('Elève (5ème6)'!M21:O21,"D"))*1))/(COUNTA(M21:O21)),"")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(5ème6)'!T21:V21,"A"))*4)+((COUNTIF('Elève (5ème6)'!T21:V21,"B"))*3)+((COUNTIF('Elève (5ème6)'!T21:V21,"C"))*2)+((COUNTIF('Elève (5ème6)'!T21:V21,"D"))*1))/(COUNTA(T21:V21)),"")</f>
        <v/>
      </c>
      <c r="X20" s="107" t="str">
        <f t="shared" si="4"/>
        <v/>
      </c>
      <c r="Y20" s="204"/>
      <c r="Z20" s="186"/>
      <c r="AA20" s="205"/>
      <c r="AB20" s="129" t="str">
        <f>IFERROR((((COUNTIF('Elève (5ème6)'!Y21:AA21,"A"))*4)+((COUNTIF('Elève (5ème6)'!Y21:AA21,"B"))*3)+((COUNTIF('Elève (5ème6)'!Y21:AA21,"C"))*2)+((COUNTIF('Elève (5ème6)'!Y21:AA21,"D"))*1))/(COUNTA(Y21:AA21)),"")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(5ème6)'!AD21:AF21,"A"))*4)+((COUNTIF('Elève (5ème6)'!AD21:AF21,"B"))*3)+((COUNTIF('Elève (5ème6)'!AD21:AF21,"C"))*2)+((COUNTIF('Elève (5ème6)'!AD21:AF21,"D"))*1))/(COUNTA(AD21:AF21)),"")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(5ème6)'!AK21:AM21,"A"))*4)+((COUNTIF('Elève (5ème6)'!AK21:AM21,"B"))*3)+((COUNTIF('Elève (5ème6)'!AK21:AM21,"C"))*2)+((COUNTIF('Elève (5ème6)'!AK21:AM21,"D"))*1))/(COUNTA(AK21:AM21)),"")</f>
        <v/>
      </c>
      <c r="AO20" s="107" t="str">
        <f t="shared" si="8"/>
        <v/>
      </c>
      <c r="AP20" s="204"/>
      <c r="AQ20" s="186"/>
      <c r="AR20" s="205"/>
      <c r="AS20" s="129" t="str">
        <f>IFERROR((((COUNTIF('Elève (5ème6)'!AP21:AR21,"A"))*4)+((COUNTIF('Elève (5ème6)'!AP21:AR21,"B"))*3)+((COUNTIF('Elève (5ème6)'!AP21:AR21,"C"))*2)+((COUNTIF('Elève (5ème6)'!AP21:AR21,"D"))*1))/(COUNTA(AP21:AR21)),"")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(5ème6)'!AU21:AW21,"A"))*4)+((COUNTIF('Elève (5ème6)'!AU21:AW21,"B"))*3)+((COUNTIF('Elève (5ème6)'!AU21:AW21,"C"))*2)+((COUNTIF('Elève (5ème6)'!AU21:AW21,"D"))*1))/(COUNTA(AU21:AW21)),"")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(5ème6)'!BB21:BD21,"A"))*4)+((COUNTIF('Elève (5ème6)'!BB21:BD21,"B"))*3)+((COUNTIF('Elève (5ème6)'!BB21:BD21,"C"))*2)+((COUNTIF('Elève (5ème6)'!BB21:BD21,"D"))*1))/(COUNTA(BB21:BD21)),"")</f>
        <v/>
      </c>
      <c r="BF20" s="107" t="str">
        <f t="shared" si="12"/>
        <v/>
      </c>
      <c r="BG20" s="204"/>
      <c r="BH20" s="186"/>
      <c r="BI20" s="205"/>
      <c r="BJ20" s="129" t="str">
        <f>IFERROR((((COUNTIF('Elève (5ème6)'!BG21:BI21,"A"))*4)+((COUNTIF('Elève (5ème6)'!BG21:BI21,"B"))*3)+((COUNTIF('Elève (5ème6)'!BG21:BI21,"C"))*2)+((COUNTIF('Elève (5ème6)'!BG21:BI21,"D"))*1))/(COUNTA(BG21:BI21)),"")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(5ème6)'!BL21:BN21,"A"))*4)+((COUNTIF('Elève (5ème6)'!BL21:BN21,"B"))*3)+((COUNTIF('Elève (5ème6)'!BL21:BN21,"C"))*2)+((COUNTIF('Elève (5ème6)'!BL21:BN21,"D"))*1))/(COUNTA(BL21:BN21)),"")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(5ème6)'!BS21:BU21,"A"))*4)+((COUNTIF('Elève (5ème6)'!BS21:BU21,"B"))*3)+((COUNTIF('Elève (5ème6)'!BS21:BU21,"C"))*2)+((COUNTIF('Elève (5ème6)'!BS21:BU21,"D"))*1))/(COUNTA(BS21:BU21)),"")</f>
        <v/>
      </c>
      <c r="BW20" s="107" t="str">
        <f t="shared" si="16"/>
        <v/>
      </c>
      <c r="BX20" s="204"/>
      <c r="BY20" s="186"/>
      <c r="BZ20" s="205"/>
      <c r="CA20" s="129" t="str">
        <f>IFERROR((((COUNTIF('Elève (5ème6)'!BX21:BZ21,"A"))*4)+((COUNTIF('Elève (5ème6)'!BX21:BZ21,"B"))*3)+((COUNTIF('Elève (5ème6)'!BX21:BZ21,"C"))*2)+((COUNTIF('Elève (5ème6)'!BX21:BZ21,"D"))*1))/(COUNTA(BX21:BZ21)),"")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(5ème6)'!CC21:CE21,"A"))*4)+((COUNTIF('Elève (5ème6)'!CC21:CE21,"B"))*3)+((COUNTIF('Elève (5ème6)'!CC21:CE21,"C"))*2)+((COUNTIF('Elève (5ème6)'!CC21:CE21,"D"))*1))/(COUNTA(CC21:CE21)),"")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(5ème6)'!CJ21:CL21,"A"))*4)+((COUNTIF('Elève (5ème6)'!CJ21:CL21,"B"))*3)+((COUNTIF('Elève (5ème6)'!CJ21:CL21,"C"))*2)+((COUNTIF('Elève (5ème6)'!CJ21:CL21,"D"))*1))/(COUNTA(CJ21:CL21)),"")</f>
        <v/>
      </c>
      <c r="CN20" s="107" t="str">
        <f t="shared" si="20"/>
        <v/>
      </c>
      <c r="CO20" s="204"/>
      <c r="CP20" s="186"/>
      <c r="CQ20" s="205"/>
      <c r="CR20" s="129" t="str">
        <f>IFERROR((((COUNTIF('Elève (5ème6)'!CO21:CQ21,"A"))*4)+((COUNTIF('Elève (5ème6)'!CO21:CQ21,"B"))*3)+((COUNTIF('Elève (5ème6)'!CO21:CQ21,"C"))*2)+((COUNTIF('Elève (5ème6)'!CO21:CQ21,"D"))*1))/(COUNTA(CO21:CQ21)),"")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(5ème6)'!CT21:CV21,"A"))*4)+((COUNTIF('Elève (5ème6)'!CT21:CV21,"B"))*3)+((COUNTIF('Elève (5ème6)'!CT21:CV21,"C"))*2)+((COUNTIF('Elève (5ème6)'!CT21:CV21,"D"))*1))/(COUNTA(CT21:CV21)),"")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(5ème6)'!DA21:DC21,"A"))*4)+((COUNTIF('Elève (5ème6)'!DA21:DC21,"B"))*3)+((COUNTIF('Elève (5ème6)'!DA21:DC21,"C"))*2)+((COUNTIF('Elève (5ème6)'!DA21:DC21,"D"))*1))/(COUNTA(DA21:DC21)),"")</f>
        <v/>
      </c>
      <c r="DE20" s="107" t="str">
        <f t="shared" si="24"/>
        <v/>
      </c>
      <c r="DF20" s="204"/>
      <c r="DG20" s="186"/>
      <c r="DH20" s="205"/>
      <c r="DI20" s="129" t="str">
        <f>IFERROR((((COUNTIF('Elève (5ème6)'!DF21:DH21,"A"))*4)+((COUNTIF('Elève (5ème6)'!DF21:DH21,"B"))*3)+((COUNTIF('Elève (5ème6)'!DF21:DH21,"C"))*2)+((COUNTIF('Elève (5ème6)'!DF21:DH21,"D"))*1))/(COUNTA(DF21:DH21)),"")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(5ème6)'!DK21:DM21,"A"))*4)+((COUNTIF('Elève (5ème6)'!DK21:DM21,"B"))*3)+((COUNTIF('Elève (5ème6)'!DK21:DM21,"C"))*2)+((COUNTIF('Elève (5ème6)'!DK21:DM21,"D"))*1))/(COUNTA(DK21:DM21)),"")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(5ème6)'!DR21:DT21,"A"))*4)+((COUNTIF('Elève (5ème6)'!DR21:DT21,"B"))*3)+((COUNTIF('Elève (5ème6)'!DR21:DT21,"C"))*2)+((COUNTIF('Elève (5ème6)'!DR21:DT21,"D"))*1))/(COUNTA(DR21:DT21)),"")</f>
        <v/>
      </c>
      <c r="DV20" s="107" t="str">
        <f t="shared" si="28"/>
        <v/>
      </c>
      <c r="DW20" s="204"/>
      <c r="DX20" s="186"/>
      <c r="DY20" s="205"/>
      <c r="DZ20" s="129" t="str">
        <f>IFERROR((((COUNTIF('Elève (5ème6)'!DW21:DY21,"A"))*4)+((COUNTIF('Elève (5ème6)'!DW21:DY21,"B"))*3)+((COUNTIF('Elève (5ème6)'!DW21:DY21,"C"))*2)+((COUNTIF('Elève (5ème6)'!DW21:DY21,"D"))*1))/(COUNTA(DW21:DY21)),"")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(5ème6)'!EB21:ED21,"A"))*4)+((COUNTIF('Elève (5ème6)'!EB21:ED21,"B"))*3)+((COUNTIF('Elève (5ème6)'!EB21:ED21,"C"))*2)+((COUNTIF('Elève (5ème6)'!EB21:ED21,"D"))*1))/(COUNTA(EB21:ED21)),"")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(5ème6)'!EI21:EK21,"A"))*4)+((COUNTIF('Elève (5ème6)'!EI21:EK21,"B"))*3)+((COUNTIF('Elève (5ème6)'!EI21:EK21,"C"))*2)+((COUNTIF('Elève (5ème6)'!EI21:EK21,"D"))*1))/(COUNTA(EI21:EK21)),"")</f>
        <v/>
      </c>
      <c r="EM20" s="107" t="str">
        <f t="shared" si="32"/>
        <v/>
      </c>
      <c r="EN20" s="204"/>
      <c r="EO20" s="186"/>
      <c r="EP20" s="205"/>
      <c r="EQ20" s="129" t="str">
        <f>IFERROR((((COUNTIF('Elève (5ème6)'!EN21:EP21,"A"))*4)+((COUNTIF('Elève (5ème6)'!EN21:EP21,"B"))*3)+((COUNTIF('Elève (5ème6)'!EN21:EP21,"C"))*2)+((COUNTIF('Elève (5ème6)'!EN21:EP21,"D"))*1))/(COUNTA(EN21:EP21)),"")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(5ème6)'!ES21:EU21,"A"))*4)+((COUNTIF('Elève (5ème6)'!ES21:EU21,"B"))*3)+((COUNTIF('Elève (5ème6)'!ES21:EU21,"C"))*2)+((COUNTIF('Elève (5ème6)'!ES21:EU21,"D"))*1))/(COUNTA(ES21:EU21)),"")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(5ème6)'!EZ21:FB21,"A"))*4)+((COUNTIF('Elève (5ème6)'!EZ21:FB21,"B"))*3)+((COUNTIF('Elève (5ème6)'!EZ21:FB21,"C"))*2)+((COUNTIF('Elève (5ème6)'!EZ21:FB21,"D"))*1))/(COUNTA(EZ21:FB21)),"")</f>
        <v/>
      </c>
      <c r="FD20" s="107" t="str">
        <f t="shared" si="36"/>
        <v/>
      </c>
      <c r="FE20" s="204"/>
      <c r="FF20" s="186"/>
      <c r="FG20" s="205"/>
      <c r="FH20" s="129" t="str">
        <f>IFERROR((((COUNTIF('Elève (5ème6)'!FE21:FG21,"A"))*4)+((COUNTIF('Elève (5ème6)'!FE21:FG21,"B"))*3)+((COUNTIF('Elève (5ème6)'!FE21:FG21,"C"))*2)+((COUNTIF('Elève (5ème6)'!FE21:FG21,"D"))*1))/(COUNTA(FE21:FG21)),"")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(5ème6)'!FJ21:FL21,"A"))*4)+((COUNTIF('Elève (5ème6)'!FJ21:FL21,"B"))*3)+((COUNTIF('Elève (5ème6)'!FJ21:FL21,"C"))*2)+((COUNTIF('Elève (5ème6)'!FJ21:FL21,"D"))*1))/(COUNTA(FJ21:FL21)),"")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(5ème6)'!FQ21:FS21,"A"))*4)+((COUNTIF('Elève (5ème6)'!FQ21:FS21,"B"))*3)+((COUNTIF('Elève (5ème6)'!FQ21:FS21,"C"))*2)+((COUNTIF('Elève (5ème6)'!FQ21:FS21,"D"))*1))/(COUNTA(FQ21:FS21)),"")</f>
        <v/>
      </c>
      <c r="FU20" s="107" t="str">
        <f t="shared" si="40"/>
        <v/>
      </c>
      <c r="FV20" s="204"/>
      <c r="FW20" s="186"/>
      <c r="FX20" s="205"/>
      <c r="FY20" s="129" t="str">
        <f>IFERROR((((COUNTIF('Elève (5ème6)'!FV21:FX21,"A"))*4)+((COUNTIF('Elève (5ème6)'!FV21:FX21,"B"))*3)+((COUNTIF('Elève (5ème6)'!FV21:FX21,"C"))*2)+((COUNTIF('Elève (5ème6)'!FV21:FX21,"D"))*1))/(COUNTA(FV21:FX21)),"")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(5ème6)'!GA21:GC21,"A"))*4)+((COUNTIF('Elève (5ème6)'!GA21:GC21,"B"))*3)+((COUNTIF('Elève (5ème6)'!GA21:GC21,"C"))*2)+((COUNTIF('Elève (5ème6)'!GA21:GC21,"D"))*1))/(COUNTA(GA21:GC21)),"")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(5ème6)'!GH21:GJ21,"A"))*4)+((COUNTIF('Elève (5ème6)'!GH21:GJ21,"B"))*3)+((COUNTIF('Elève (5ème6)'!GH21:GJ21,"C"))*2)+((COUNTIF('Elève (5ème6)'!GH21:GJ21,"D"))*1))/(COUNTA(GH21:GJ21)),"")</f>
        <v/>
      </c>
      <c r="GL20" s="107" t="str">
        <f t="shared" si="44"/>
        <v/>
      </c>
      <c r="GM20" s="204"/>
      <c r="GN20" s="186"/>
      <c r="GO20" s="205"/>
      <c r="GP20" s="129" t="str">
        <f>IFERROR((((COUNTIF('Elève (5ème6)'!GM21:GO21,"A"))*4)+((COUNTIF('Elève (5ème6)'!GM21:GO21,"B"))*3)+((COUNTIF('Elève (5ème6)'!GM21:GO21,"C"))*2)+((COUNTIF('Elève (5ème6)'!GM21:GO21,"D"))*1))/(COUNTA(GM21:GO21)),"")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(5ème6)'!GR21:GT21,"A"))*4)+((COUNTIF('Elève (5ème6)'!GR21:GT21,"B"))*3)+((COUNTIF('Elève (5ème6)'!GR21:GT21,"C"))*2)+((COUNTIF('Elève (5ème6)'!GR21:GT21,"D"))*1))/(COUNTA(GR21:GT21)),"")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(5ème6)'!GY21:HA21,"A"))*4)+((COUNTIF('Elève (5ème6)'!GY21:HA21,"B"))*3)+((COUNTIF('Elève (5ème6)'!GY21:HA21,"C"))*2)+((COUNTIF('Elève (5ème6)'!GY21:HA21,"D"))*1))/(COUNTA(GY21:HA21)),"")</f>
        <v/>
      </c>
      <c r="HC20" s="107" t="str">
        <f t="shared" si="48"/>
        <v/>
      </c>
      <c r="HD20" s="204"/>
      <c r="HE20" s="186"/>
      <c r="HF20" s="205"/>
      <c r="HG20" s="129" t="str">
        <f>IFERROR((((COUNTIF('Elève (5ème6)'!HD21:HF21,"A"))*4)+((COUNTIF('Elève (5ème6)'!HD21:HF21,"B"))*3)+((COUNTIF('Elève (5ème6)'!HD21:HF21,"C"))*2)+((COUNTIF('Elève (5ème6)'!HD21:HF21,"D"))*1))/(COUNTA(HD21:HF21)),"")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(5ème6)'!HI21:HK21,"A"))*4)+((COUNTIF('Elève (5ème6)'!HI21:HK21,"B"))*3)+((COUNTIF('Elève (5ème6)'!HI21:HK21,"C"))*2)+((COUNTIF('Elève (5ème6)'!HI21:HK21,"D"))*1))/(COUNTA(HI21:HK21)),"")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(5ème6)'!HP21:HR21,"A"))*4)+((COUNTIF('Elève (5ème6)'!HP21:HR21,"B"))*3)+((COUNTIF('Elève (5ème6)'!HP21:HR21,"C"))*2)+((COUNTIF('Elève (5ème6)'!HP21:HR21,"D"))*1))/(COUNTA(HP21:HR21)),"")</f>
        <v/>
      </c>
      <c r="HT20" s="107" t="str">
        <f t="shared" si="52"/>
        <v/>
      </c>
      <c r="HU20" s="204"/>
      <c r="HV20" s="186"/>
      <c r="HW20" s="205"/>
      <c r="HX20" s="129" t="str">
        <f>IFERROR((((COUNTIF('Elève (5ème6)'!HU21:HW21,"A"))*4)+((COUNTIF('Elève (5ème6)'!HU21:HW21,"B"))*3)+((COUNTIF('Elève (5ème6)'!HU21:HW21,"C"))*2)+((COUNTIF('Elève (5ème6)'!HU21:HW21,"D"))*1))/(COUNTA(HU21:HW21)),"")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(5ème6)'!HZ21:IB21,"A"))*4)+((COUNTIF('Elève (5ème6)'!HZ21:IB21,"B"))*3)+((COUNTIF('Elève (5ème6)'!HZ21:IB21,"C"))*2)+((COUNTIF('Elève (5ème6)'!HZ21:IB21,"D"))*1))/(COUNTA(HZ21:IB21)),"")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(5ème6)'!IG21:II21,"A"))*4)+((COUNTIF('Elève (5ème6)'!IG21:II21,"B"))*3)+((COUNTIF('Elève (5ème6)'!IG21:II21,"C"))*2)+((COUNTIF('Elève (5ème6)'!IG21:II21,"D"))*1))/(COUNTA(IG21:II21)),"")</f>
        <v/>
      </c>
      <c r="IK20" s="107" t="str">
        <f t="shared" si="56"/>
        <v/>
      </c>
      <c r="IL20" s="204"/>
      <c r="IM20" s="186"/>
      <c r="IN20" s="205"/>
      <c r="IO20" s="129" t="str">
        <f>IFERROR((((COUNTIF('Elève (5ème6)'!IL21:IN21,"A"))*4)+((COUNTIF('Elève (5ème6)'!IL21:IN21,"B"))*3)+((COUNTIF('Elève (5ème6)'!IL21:IN21,"C"))*2)+((COUNTIF('Elève (5ème6)'!IL21:IN21,"D"))*1))/(COUNTA(IL21:IN21)),"")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(5ème6)'!IQ21:IS21,"A"))*4)+((COUNTIF('Elève (5ème6)'!IQ21:IS21,"B"))*3)+((COUNTIF('Elève (5ème6)'!IQ21:IS21,"C"))*2)+((COUNTIF('Elève (5ème6)'!IQ21:IS21,"D"))*1))/(COUNTA(IQ21:IS21)),"")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(5ème6)'!IX21:IZ21,"A"))*4)+((COUNTIF('Elève (5ème6)'!IX21:IZ21,"B"))*3)+((COUNTIF('Elève (5ème6)'!IX21:IZ21,"C"))*2)+((COUNTIF('Elève (5ème6)'!IX21:IZ21,"D"))*1))/(COUNTA(IX21:IZ21)),"")</f>
        <v/>
      </c>
      <c r="JB20" s="107" t="str">
        <f t="shared" si="60"/>
        <v/>
      </c>
      <c r="JC20" s="204"/>
      <c r="JD20" s="186"/>
      <c r="JE20" s="205"/>
      <c r="JF20" s="129" t="str">
        <f>IFERROR((((COUNTIF('Elève (5ème6)'!JC21:JE21,"A"))*4)+((COUNTIF('Elève (5ème6)'!JC21:JE21,"B"))*3)+((COUNTIF('Elève (5ème6)'!JC21:JE21,"C"))*2)+((COUNTIF('Elève (5ème6)'!JC21:JE21,"D"))*1))/(COUNTA(JC21:JE21)),"")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(5ème6)'!JH21:JJ21,"A"))*4)+((COUNTIF('Elève (5ème6)'!JH21:JJ21,"B"))*3)+((COUNTIF('Elève (5ème6)'!JH21:JJ21,"C"))*2)+((COUNTIF('Elève (5ème6)'!JH21:JJ21,"D"))*1))/(COUNTA(JH21:JJ21)),"")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(5ème6)'!JO21:JQ21,"A"))*4)+((COUNTIF('Elève (5ème6)'!JO21:JQ21,"B"))*3)+((COUNTIF('Elève (5ème6)'!JO21:JQ21,"C"))*2)+((COUNTIF('Elève (5ème6)'!JO21:JQ21,"D"))*1))/(COUNTA(JO21:JQ21)),"")</f>
        <v/>
      </c>
      <c r="JS20" s="107" t="str">
        <f t="shared" si="64"/>
        <v/>
      </c>
      <c r="JT20" s="204"/>
      <c r="JU20" s="186"/>
      <c r="JV20" s="205"/>
      <c r="JW20" s="129" t="str">
        <f>IFERROR((((COUNTIF('Elève (5ème6)'!JT21:JV21,"A"))*4)+((COUNTIF('Elève (5ème6)'!JT21:JV21,"B"))*3)+((COUNTIF('Elève (5ème6)'!JT21:JV21,"C"))*2)+((COUNTIF('Elève (5ème6)'!JT21:JV21,"D"))*1))/(COUNTA(JT21:JV21)),"")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(5ème6)'!JY21:KA21,"A"))*4)+((COUNTIF('Elève (5ème6)'!JY21:KA21,"B"))*3)+((COUNTIF('Elève (5ème6)'!JY21:KA21,"C"))*2)+((COUNTIF('Elève (5ème6)'!JY21:KA21,"D"))*1))/(COUNTA(JY21:KA21)),"")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(5ème6)'!KF21:KH21,"A"))*4)+((COUNTIF('Elève (5ème6)'!KF21:KH21,"B"))*3)+((COUNTIF('Elève (5ème6)'!KF21:KH21,"C"))*2)+((COUNTIF('Elève (5ème6)'!KF21:KH21,"D"))*1))/(COUNTA(KF21:KH21)),"")</f>
        <v/>
      </c>
      <c r="KJ20" s="107" t="str">
        <f t="shared" si="68"/>
        <v/>
      </c>
      <c r="KK20" s="204"/>
      <c r="KL20" s="186"/>
      <c r="KM20" s="205"/>
      <c r="KN20" s="129" t="str">
        <f>IFERROR((((COUNTIF('Elève (5ème6)'!KK21:KM21,"A"))*4)+((COUNTIF('Elève (5ème6)'!KK21:KM21,"B"))*3)+((COUNTIF('Elève (5ème6)'!KK21:KM21,"C"))*2)+((COUNTIF('Elève (5ème6)'!KK21:KM21,"D"))*1))/(COUNTA(KK21:KM21)),"")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(5ème6)'!KP21:KR21,"A"))*4)+((COUNTIF('Elève (5ème6)'!KP21:KR21,"B"))*3)+((COUNTIF('Elève (5ème6)'!KP21:KR21,"C"))*2)+((COUNTIF('Elève (5ème6)'!KP21:KR21,"D"))*1))/(COUNTA(KP21:KR21)),"")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(5ème6)'!KW21:KY21,"A"))*4)+((COUNTIF('Elève (5ème6)'!KW21:KY21,"B"))*3)+((COUNTIF('Elève (5ème6)'!KW21:KY21,"C"))*2)+((COUNTIF('Elève (5ème6)'!KW21:KY21,"D"))*1))/(COUNTA(KW21:KY21)),"")</f>
        <v/>
      </c>
      <c r="LA20" s="107" t="str">
        <f t="shared" si="72"/>
        <v/>
      </c>
      <c r="LB20" s="204"/>
      <c r="LC20" s="186"/>
      <c r="LD20" s="205"/>
      <c r="LE20" s="129" t="str">
        <f>IFERROR((((COUNTIF('Elève (5ème6)'!LB21:LD21,"A"))*4)+((COUNTIF('Elève (5ème6)'!LB21:LD21,"B"))*3)+((COUNTIF('Elève (5ème6)'!LB21:LD21,"C"))*2)+((COUNTIF('Elève (5ème6)'!LB21:LD21,"D"))*1))/(COUNTA(LB21:LD21)),"")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(5ème6)'!LG21:LI21,"A"))*4)+((COUNTIF('Elève (5ème6)'!LG21:LI21,"B"))*3)+((COUNTIF('Elève (5ème6)'!LG21:LI21,"C"))*2)+((COUNTIF('Elève (5ème6)'!LG21:LI21,"D"))*1))/(COUNTA(LG21:LI21)),"")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(5ème6)'!LN21:LP21,"A"))*4)+((COUNTIF('Elève (5ème6)'!LN21:LP21,"B"))*3)+((COUNTIF('Elève (5ème6)'!LN21:LP21,"C"))*2)+((COUNTIF('Elève (5ème6)'!LN21:LP21,"D"))*1))/(COUNTA(LN21:LP21)),"")</f>
        <v/>
      </c>
      <c r="LR20" s="107" t="str">
        <f t="shared" si="76"/>
        <v/>
      </c>
      <c r="LS20" s="204"/>
      <c r="LT20" s="186"/>
      <c r="LU20" s="205"/>
      <c r="LV20" s="129" t="str">
        <f>IFERROR((((COUNTIF('Elève (5ème6)'!LS21:LU21,"A"))*4)+((COUNTIF('Elève (5ème6)'!LS21:LU21,"B"))*3)+((COUNTIF('Elève (5ème6)'!LS21:LU21,"C"))*2)+((COUNTIF('Elève (5ème6)'!LS21:LU21,"D"))*1))/(COUNTA(LS21:LU21)),"")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(5ème6)'!LX21:LZ21,"A"))*4)+((COUNTIF('Elève (5ème6)'!LX21:LZ21,"B"))*3)+((COUNTIF('Elève (5ème6)'!LX21:LZ21,"C"))*2)+((COUNTIF('Elève (5ème6)'!LX21:LZ21,"D"))*1))/(COUNTA(LX21:LZ21)),"")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(5ème6)'!ME21:MG21,"A"))*4)+((COUNTIF('Elève (5ème6)'!ME21:MG21,"B"))*3)+((COUNTIF('Elève (5ème6)'!ME21:MG21,"C"))*2)+((COUNTIF('Elève (5ème6)'!ME21:MG21,"D"))*1))/(COUNTA(ME21:MG21)),"")</f>
        <v/>
      </c>
      <c r="MI20" s="107" t="str">
        <f t="shared" si="80"/>
        <v/>
      </c>
      <c r="MJ20" s="204"/>
      <c r="MK20" s="186"/>
      <c r="ML20" s="205"/>
      <c r="MM20" s="129" t="str">
        <f>IFERROR((((COUNTIF('Elève (5ème6)'!MJ21:ML21,"A"))*4)+((COUNTIF('Elève (5ème6)'!MJ21:ML21,"B"))*3)+((COUNTIF('Elève (5ème6)'!MJ21:ML21,"C"))*2)+((COUNTIF('Elève (5ème6)'!MJ21:ML21,"D"))*1))/(COUNTA(MJ21:ML21)),"")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(5ème6)'!MO21:MQ21,"A"))*4)+((COUNTIF('Elève (5ème6)'!MO21:MQ21,"B"))*3)+((COUNTIF('Elève (5ème6)'!MO21:MQ21,"C"))*2)+((COUNTIF('Elève (5ème6)'!MO21:MQ21,"D"))*1))/(COUNTA(MO21:MQ21)),"")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(5ème6)'!MV21:MX21,"A"))*4)+((COUNTIF('Elève (5ème6)'!MV21:MX21,"B"))*3)+((COUNTIF('Elève (5ème6)'!MV21:MX21,"C"))*2)+((COUNTIF('Elève (5ème6)'!MV21:MX21,"D"))*1))/(COUNTA(MV21:MX21)),"")</f>
        <v/>
      </c>
      <c r="MZ20" s="107" t="str">
        <f t="shared" si="84"/>
        <v/>
      </c>
      <c r="NA20" s="204"/>
      <c r="NB20" s="186"/>
      <c r="NC20" s="205"/>
      <c r="ND20" s="129" t="str">
        <f>IFERROR((((COUNTIF('Elève (5ème6)'!NA21:NC21,"A"))*4)+((COUNTIF('Elève (5ème6)'!NA21:NC21,"B"))*3)+((COUNTIF('Elève (5ème6)'!NA21:NC21,"C"))*2)+((COUNTIF('Elève (5ème6)'!NA21:NC21,"D"))*1))/(COUNTA(NA21:NC21)),"")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(5ème6)'!NF21:NH21,"A"))*4)+((COUNTIF('Elève (5ème6)'!NF21:NH21,"B"))*3)+((COUNTIF('Elève (5ème6)'!NF21:NH21,"C"))*2)+((COUNTIF('Elève (5ème6)'!NF21:NH21,"D"))*1))/(COUNTA(NF21:NH21)),"")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(5ème6)'!NM21:NO21,"A"))*4)+((COUNTIF('Elève (5ème6)'!NM21:NO21,"B"))*3)+((COUNTIF('Elève (5ème6)'!NM21:NO21,"C"))*2)+((COUNTIF('Elève (5ème6)'!NM21:NO21,"D"))*1))/(COUNTA(NM21:NO21)),"")</f>
        <v/>
      </c>
      <c r="NQ20" s="107" t="str">
        <f t="shared" si="88"/>
        <v/>
      </c>
      <c r="NR20" s="204"/>
      <c r="NS20" s="186"/>
      <c r="NT20" s="205"/>
      <c r="NU20" s="129" t="str">
        <f>IFERROR((((COUNTIF('Elève (5ème6)'!NR21:NT21,"A"))*4)+((COUNTIF('Elève (5ème6)'!NR21:NT21,"B"))*3)+((COUNTIF('Elève (5ème6)'!NR21:NT21,"C"))*2)+((COUNTIF('Elève (5ème6)'!NR21:NT21,"D"))*1))/(COUNTA(NR21:NT21)),"")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(5ème6)'!NW21:NY21,"A"))*4)+((COUNTIF('Elève (5ème6)'!NW21:NY21,"B"))*3)+((COUNTIF('Elève (5ème6)'!NW21:NY21,"C"))*2)+((COUNTIF('Elève (5ème6)'!NW21:NY21,"D"))*1))/(COUNTA(NW21:NY21)),"")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(5ème6)'!OD21:OF21,"A"))*4)+((COUNTIF('Elève (5ème6)'!OD21:OF21,"B"))*3)+((COUNTIF('Elève (5ème6)'!OD21:OF21,"C"))*2)+((COUNTIF('Elève (5ème6)'!OD21:OF21,"D"))*1))/(COUNTA(OD21:OF21)),"")</f>
        <v/>
      </c>
      <c r="OH20" s="107" t="str">
        <f t="shared" si="92"/>
        <v/>
      </c>
      <c r="OI20" s="204"/>
      <c r="OJ20" s="186"/>
      <c r="OK20" s="205"/>
      <c r="OL20" s="129" t="str">
        <f>IFERROR((((COUNTIF('Elève (5ème6)'!OI21:OK21,"A"))*4)+((COUNTIF('Elève (5ème6)'!OI21:OK21,"B"))*3)+((COUNTIF('Elève (5ème6)'!OI21:OK21,"C"))*2)+((COUNTIF('Elève (5ème6)'!OI21:OK21,"D"))*1))/(COUNTA(OI21:OK21)),"")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(5ème6)'!ON21:OP21,"A"))*4)+((COUNTIF('Elève (5ème6)'!ON21:OP21,"B"))*3)+((COUNTIF('Elève (5ème6)'!ON21:OP21,"C"))*2)+((COUNTIF('Elève (5ème6)'!ON21:OP21,"D"))*1))/(COUNTA(ON21:OP21)),"")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(5ème6)'!OU21:OW21,"A"))*4)+((COUNTIF('Elève (5ème6)'!OU21:OW21,"B"))*3)+((COUNTIF('Elève (5ème6)'!OU21:OW21,"C"))*2)+((COUNTIF('Elève (5ème6)'!OU21:OW21,"D"))*1))/(COUNTA(OU21:OW21)),"")</f>
        <v/>
      </c>
      <c r="OY20" s="107" t="str">
        <f t="shared" si="96"/>
        <v/>
      </c>
      <c r="OZ20" s="204"/>
      <c r="PA20" s="186"/>
      <c r="PB20" s="205"/>
      <c r="PC20" s="129" t="str">
        <f>IFERROR((((COUNTIF('Elève (5ème6)'!OZ21:PB21,"A"))*4)+((COUNTIF('Elève (5ème6)'!OZ21:PB21,"B"))*3)+((COUNTIF('Elève (5ème6)'!OZ21:PB21,"C"))*2)+((COUNTIF('Elève (5ème6)'!OZ21:PB21,"D"))*1))/(COUNTA(OZ21:PB21)),"")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(5ème6)'!PE21:PG21,"A"))*4)+((COUNTIF('Elève (5ème6)'!PE21:PG21,"B"))*3)+((COUNTIF('Elève (5ème6)'!PE21:PG21,"C"))*2)+((COUNTIF('Elève (5ème6)'!PE21:PG21,"D"))*1))/(COUNTA(PE21:PG21)),"")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(5ème6)'!PL21:PN21,"A"))*4)+((COUNTIF('Elève (5ème6)'!PL21:PN21,"B"))*3)+((COUNTIF('Elève (5ème6)'!PL21:PN21,"C"))*2)+((COUNTIF('Elève (5ème6)'!PL21:PN21,"D"))*1))/(COUNTA(PL21:PN21)),"")</f>
        <v/>
      </c>
      <c r="PP20" s="107" t="str">
        <f t="shared" si="100"/>
        <v/>
      </c>
      <c r="PQ20" s="204"/>
      <c r="PR20" s="186"/>
      <c r="PS20" s="205"/>
      <c r="PT20" s="129" t="str">
        <f>IFERROR((((COUNTIF('Elève (5ème6)'!PQ21:PS21,"A"))*4)+((COUNTIF('Elève (5ème6)'!PQ21:PS21,"B"))*3)+((COUNTIF('Elève (5ème6)'!PQ21:PS21,"C"))*2)+((COUNTIF('Elève (5ème6)'!PQ21:PS21,"D"))*1))/(COUNTA(PQ21:PS21)),"")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(5ème6)'!PV21:PX21,"A"))*4)+((COUNTIF('Elève (5ème6)'!PV21:PX21,"B"))*3)+((COUNTIF('Elève (5ème6)'!PV21:PX21,"C"))*2)+((COUNTIF('Elève (5ème6)'!PV21:PX21,"D"))*1))/(COUNTA(PV21:PX21)),"")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(5ème6)'!QC21:QE21,"A"))*4)+((COUNTIF('Elève (5ème6)'!QC21:QE21,"B"))*3)+((COUNTIF('Elève (5ème6)'!QC21:QE21,"C"))*2)+((COUNTIF('Elève (5ème6)'!QC21:QE21,"D"))*1))/(COUNTA(QC21:QE21)),"")</f>
        <v/>
      </c>
      <c r="QG20" s="107" t="str">
        <f t="shared" si="104"/>
        <v/>
      </c>
      <c r="QH20" s="204"/>
      <c r="QI20" s="186"/>
      <c r="QJ20" s="205"/>
      <c r="QK20" s="129" t="str">
        <f>IFERROR((((COUNTIF('Elève (5ème6)'!QH21:QJ21,"A"))*4)+((COUNTIF('Elève (5ème6)'!QH21:QJ21,"B"))*3)+((COUNTIF('Elève (5ème6)'!QH21:QJ21,"C"))*2)+((COUNTIF('Elève (5ème6)'!QH21:QJ21,"D"))*1))/(COUNTA(QH21:QJ21)),"")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(5ème6)'!QM21:QO21,"A"))*4)+((COUNTIF('Elève (5ème6)'!QM21:QO21,"B"))*3)+((COUNTIF('Elève (5ème6)'!QM21:QO21,"C"))*2)+((COUNTIF('Elève (5ème6)'!QM21:QO21,"D"))*1))/(COUNTA(QM21:QO21)),"")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(5ème6)'!QT21:QV21,"A"))*4)+((COUNTIF('Elève (5ème6)'!QT21:QV21,"B"))*3)+((COUNTIF('Elève (5ème6)'!QT21:QV21,"C"))*2)+((COUNTIF('Elève (5ème6)'!QT21:QV21,"D"))*1))/(COUNTA(QT21:QV21)),"")</f>
        <v/>
      </c>
      <c r="QX20" s="107" t="str">
        <f t="shared" si="108"/>
        <v/>
      </c>
      <c r="QY20" s="204"/>
      <c r="QZ20" s="186"/>
      <c r="RA20" s="205"/>
      <c r="RB20" s="129" t="str">
        <f>IFERROR((((COUNTIF('Elève (5ème6)'!QY21:RA21,"A"))*4)+((COUNTIF('Elève (5ème6)'!QY21:RA21,"B"))*3)+((COUNTIF('Elève (5ème6)'!QY21:RA21,"C"))*2)+((COUNTIF('Elève (5ème6)'!QY21:RA21,"D"))*1))/(COUNTA(QY21:RA21)),"")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(5ème6)'!RD21:RF21,"A"))*4)+((COUNTIF('Elève (5ème6)'!RD21:RF21,"B"))*3)+((COUNTIF('Elève (5ème6)'!RD21:RF21,"C"))*2)+((COUNTIF('Elève (5ème6)'!RD21:RF21,"D"))*1))/(COUNTA(RD21:RF21)),"")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(5ème6)'!RK21:RM21,"A"))*4)+((COUNTIF('Elève (5ème6)'!RK21:RM21,"B"))*3)+((COUNTIF('Elève (5ème6)'!RK21:RM21,"C"))*2)+((COUNTIF('Elève (5ème6)'!RK21:RM21,"D"))*1))/(COUNTA(RK21:RM21)),"")</f>
        <v/>
      </c>
      <c r="RO20" s="107" t="str">
        <f t="shared" si="112"/>
        <v/>
      </c>
      <c r="RP20" s="204"/>
      <c r="RQ20" s="186"/>
      <c r="RR20" s="205"/>
      <c r="RS20" s="129" t="str">
        <f>IFERROR((((COUNTIF('Elève (5ème6)'!RP21:RR21,"A"))*4)+((COUNTIF('Elève (5ème6)'!RP21:RR21,"B"))*3)+((COUNTIF('Elève (5ème6)'!RP21:RR21,"C"))*2)+((COUNTIF('Elève (5ème6)'!RP21:RR21,"D"))*1))/(COUNTA(RP21:RR21)),"")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(5ème6)'!RU21:RW21,"A"))*4)+((COUNTIF('Elève (5ème6)'!RU21:RW21,"B"))*3)+((COUNTIF('Elève (5ème6)'!RU21:RW21,"C"))*2)+((COUNTIF('Elève (5ème6)'!RU21:RW21,"D"))*1))/(COUNTA(RU21:RW21)),"")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(5ème6)'!SB21:SD21,"A"))*4)+((COUNTIF('Elève (5ème6)'!SB21:SD21,"B"))*3)+((COUNTIF('Elève (5ème6)'!SB21:SD21,"C"))*2)+((COUNTIF('Elève (5ème6)'!SB21:SD21,"D"))*1))/(COUNTA(SB21:SD21)),"")</f>
        <v/>
      </c>
      <c r="SF20" s="107" t="str">
        <f t="shared" si="116"/>
        <v/>
      </c>
      <c r="SG20" s="204"/>
      <c r="SH20" s="186"/>
      <c r="SI20" s="205"/>
      <c r="SJ20" s="129" t="str">
        <f>IFERROR((((COUNTIF('Elève (5ème6)'!SG21:SI21,"A"))*4)+((COUNTIF('Elève (5ème6)'!SG21:SI21,"B"))*3)+((COUNTIF('Elève (5ème6)'!SG21:SI21,"C"))*2)+((COUNTIF('Elève (5ème6)'!SG21:SI21,"D"))*1))/(COUNTA(SG21:SI21)),"")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(5ème6)'!SL21:SN21,"A"))*4)+((COUNTIF('Elève (5ème6)'!SL21:SN21,"B"))*3)+((COUNTIF('Elève (5ème6)'!SL21:SN21,"C"))*2)+((COUNTIF('Elève (5ème6)'!SL21:SN21,"D"))*1))/(COUNTA(SL21:SN21)),"")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9" t="s">
        <v>25</v>
      </c>
      <c r="B21" s="230"/>
      <c r="C21" s="164"/>
      <c r="D21" s="165"/>
      <c r="E21" s="163"/>
      <c r="F21" s="114" t="str">
        <f>IFERROR((((COUNTIF('Elève (5ème6)'!C21:E21,"A"))*4)+((COUNTIF('Elève (5ème6)'!C21:E21,"B"))*3)+((COUNTIF('Elève (5ème6)'!C21:E21,"C"))*2)+((COUNTIF('Elève (5ème6)'!C21:E21,"D"))*1))/(COUNTA(C21:E21)),"")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(5ème6)'!H21:J21,"A"))*4)+((COUNTIF('Elève (5ème6)'!H21:J21,"B"))*3)+((COUNTIF('Elève (5ème6)'!H21:J21,"C"))*2)+((COUNTIF('Elève (5ème6)'!H21:J21,"D"))*1))/(COUNTA(H21:J21)),"")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(5ème6)'!M21:O21,"A"))*4)+((COUNTIF('Elève (5ème6)'!M21:O21,"B"))*3)+((COUNTIF('Elève (5ème6)'!M21:O21,"C"))*2)+((COUNTIF('Elève (5ème6)'!M21:O21,"D"))*1))/(COUNTA(M21:O21)),"")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(5ème6)'!T21:V21,"A"))*4)+((COUNTIF('Elève (5ème6)'!T21:V21,"B"))*3)+((COUNTIF('Elève (5ème6)'!T21:V21,"C"))*2)+((COUNTIF('Elève (5ème6)'!T21:V21,"D"))*1))/(COUNTA(T21:V21)),"")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(5ème6)'!Y21:AA21,"A"))*4)+((COUNTIF('Elève (5ème6)'!Y21:AA21,"B"))*3)+((COUNTIF('Elève (5ème6)'!Y21:AA21,"C"))*2)+((COUNTIF('Elève (5ème6)'!Y21:AA21,"D"))*1))/(COUNTA(Y21:AA21)),"")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(5ème6)'!AD21:AF21,"A"))*4)+((COUNTIF('Elève (5ème6)'!AD21:AF21,"B"))*3)+((COUNTIF('Elève (5ème6)'!AD21:AF21,"C"))*2)+((COUNTIF('Elève (5ème6)'!AD21:AF21,"D"))*1))/(COUNTA(AD21:AF21)),"")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(5ème6)'!AK21:AM21,"A"))*4)+((COUNTIF('Elève (5ème6)'!AK21:AM21,"B"))*3)+((COUNTIF('Elève (5ème6)'!AK21:AM21,"C"))*2)+((COUNTIF('Elève (5ème6)'!AK21:AM21,"D"))*1))/(COUNTA(AK21:AM21)),"")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(5ème6)'!AP21:AR21,"A"))*4)+((COUNTIF('Elève (5ème6)'!AP21:AR21,"B"))*3)+((COUNTIF('Elève (5ème6)'!AP21:AR21,"C"))*2)+((COUNTIF('Elève (5ème6)'!AP21:AR21,"D"))*1))/(COUNTA(AP21:AR21)),"")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(5ème6)'!AU21:AW21,"A"))*4)+((COUNTIF('Elève (5ème6)'!AU21:AW21,"B"))*3)+((COUNTIF('Elève (5ème6)'!AU21:AW21,"C"))*2)+((COUNTIF('Elève (5ème6)'!AU21:AW21,"D"))*1))/(COUNTA(AU21:AW21)),"")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(5ème6)'!BB21:BD21,"A"))*4)+((COUNTIF('Elève (5ème6)'!BB21:BD21,"B"))*3)+((COUNTIF('Elève (5ème6)'!BB21:BD21,"C"))*2)+((COUNTIF('Elève (5ème6)'!BB21:BD21,"D"))*1))/(COUNTA(BB21:BD21)),"")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(5ème6)'!BG21:BI21,"A"))*4)+((COUNTIF('Elève (5ème6)'!BG21:BI21,"B"))*3)+((COUNTIF('Elève (5ème6)'!BG21:BI21,"C"))*2)+((COUNTIF('Elève (5ème6)'!BG21:BI21,"D"))*1))/(COUNTA(BG21:BI21)),"")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(5ème6)'!BL21:BN21,"A"))*4)+((COUNTIF('Elève (5ème6)'!BL21:BN21,"B"))*3)+((COUNTIF('Elève (5ème6)'!BL21:BN21,"C"))*2)+((COUNTIF('Elève (5ème6)'!BL21:BN21,"D"))*1))/(COUNTA(BL21:BN21)),"")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(5ème6)'!BS21:BU21,"A"))*4)+((COUNTIF('Elève (5ème6)'!BS21:BU21,"B"))*3)+((COUNTIF('Elève (5ème6)'!BS21:BU21,"C"))*2)+((COUNTIF('Elève (5ème6)'!BS21:BU21,"D"))*1))/(COUNTA(BS21:BU21)),"")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(5ème6)'!BX21:BZ21,"A"))*4)+((COUNTIF('Elève (5ème6)'!BX21:BZ21,"B"))*3)+((COUNTIF('Elève (5ème6)'!BX21:BZ21,"C"))*2)+((COUNTIF('Elève (5ème6)'!BX21:BZ21,"D"))*1))/(COUNTA(BX21:BZ21)),"")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(5ème6)'!CC21:CE21,"A"))*4)+((COUNTIF('Elève (5ème6)'!CC21:CE21,"B"))*3)+((COUNTIF('Elève (5ème6)'!CC21:CE21,"C"))*2)+((COUNTIF('Elève (5ème6)'!CC21:CE21,"D"))*1))/(COUNTA(CC21:CE21)),"")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(5ème6)'!CJ21:CL21,"A"))*4)+((COUNTIF('Elève (5ème6)'!CJ21:CL21,"B"))*3)+((COUNTIF('Elève (5ème6)'!CJ21:CL21,"C"))*2)+((COUNTIF('Elève (5ème6)'!CJ21:CL21,"D"))*1))/(COUNTA(CJ21:CL21)),"")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(5ème6)'!CO21:CQ21,"A"))*4)+((COUNTIF('Elève (5ème6)'!CO21:CQ21,"B"))*3)+((COUNTIF('Elève (5ème6)'!CO21:CQ21,"C"))*2)+((COUNTIF('Elève (5ème6)'!CO21:CQ21,"D"))*1))/(COUNTA(CO21:CQ21)),"")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(5ème6)'!CT21:CV21,"A"))*4)+((COUNTIF('Elève (5ème6)'!CT21:CV21,"B"))*3)+((COUNTIF('Elève (5ème6)'!CT21:CV21,"C"))*2)+((COUNTIF('Elève (5ème6)'!CT21:CV21,"D"))*1))/(COUNTA(CT21:CV21)),"")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(5ème6)'!DA21:DC21,"A"))*4)+((COUNTIF('Elève (5ème6)'!DA21:DC21,"B"))*3)+((COUNTIF('Elève (5ème6)'!DA21:DC21,"C"))*2)+((COUNTIF('Elève (5ème6)'!DA21:DC21,"D"))*1))/(COUNTA(DA21:DC21)),"")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(5ème6)'!DF21:DH21,"A"))*4)+((COUNTIF('Elève (5ème6)'!DF21:DH21,"B"))*3)+((COUNTIF('Elève (5ème6)'!DF21:DH21,"C"))*2)+((COUNTIF('Elève (5ème6)'!DF21:DH21,"D"))*1))/(COUNTA(DF21:DH21)),"")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(5ème6)'!DK21:DM21,"A"))*4)+((COUNTIF('Elève (5ème6)'!DK21:DM21,"B"))*3)+((COUNTIF('Elève (5ème6)'!DK21:DM21,"C"))*2)+((COUNTIF('Elève (5ème6)'!DK21:DM21,"D"))*1))/(COUNTA(DK21:DM21)),"")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(5ème6)'!DR21:DT21,"A"))*4)+((COUNTIF('Elève (5ème6)'!DR21:DT21,"B"))*3)+((COUNTIF('Elève (5ème6)'!DR21:DT21,"C"))*2)+((COUNTIF('Elève (5ème6)'!DR21:DT21,"D"))*1))/(COUNTA(DR21:DT21)),"")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(5ème6)'!DW21:DY21,"A"))*4)+((COUNTIF('Elève (5ème6)'!DW21:DY21,"B"))*3)+((COUNTIF('Elève (5ème6)'!DW21:DY21,"C"))*2)+((COUNTIF('Elève (5ème6)'!DW21:DY21,"D"))*1))/(COUNTA(DW21:DY21)),"")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(5ème6)'!EB21:ED21,"A"))*4)+((COUNTIF('Elève (5ème6)'!EB21:ED21,"B"))*3)+((COUNTIF('Elève (5ème6)'!EB21:ED21,"C"))*2)+((COUNTIF('Elève (5ème6)'!EB21:ED21,"D"))*1))/(COUNTA(EB21:ED21)),"")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(5ème6)'!EI21:EK21,"A"))*4)+((COUNTIF('Elève (5ème6)'!EI21:EK21,"B"))*3)+((COUNTIF('Elève (5ème6)'!EI21:EK21,"C"))*2)+((COUNTIF('Elève (5ème6)'!EI21:EK21,"D"))*1))/(COUNTA(EI21:EK21)),"")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(5ème6)'!EN21:EP21,"A"))*4)+((COUNTIF('Elève (5ème6)'!EN21:EP21,"B"))*3)+((COUNTIF('Elève (5ème6)'!EN21:EP21,"C"))*2)+((COUNTIF('Elève (5ème6)'!EN21:EP21,"D"))*1))/(COUNTA(EN21:EP21)),"")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(5ème6)'!ES21:EU21,"A"))*4)+((COUNTIF('Elève (5ème6)'!ES21:EU21,"B"))*3)+((COUNTIF('Elève (5ème6)'!ES21:EU21,"C"))*2)+((COUNTIF('Elève (5ème6)'!ES21:EU21,"D"))*1))/(COUNTA(ES21:EU21)),"")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(5ème6)'!EZ21:FB21,"A"))*4)+((COUNTIF('Elève (5ème6)'!EZ21:FB21,"B"))*3)+((COUNTIF('Elève (5ème6)'!EZ21:FB21,"C"))*2)+((COUNTIF('Elève (5ème6)'!EZ21:FB21,"D"))*1))/(COUNTA(EZ21:FB21)),"")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(5ème6)'!FE21:FG21,"A"))*4)+((COUNTIF('Elève (5ème6)'!FE21:FG21,"B"))*3)+((COUNTIF('Elève (5ème6)'!FE21:FG21,"C"))*2)+((COUNTIF('Elève (5ème6)'!FE21:FG21,"D"))*1))/(COUNTA(FE21:FG21)),"")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(5ème6)'!FJ21:FL21,"A"))*4)+((COUNTIF('Elève (5ème6)'!FJ21:FL21,"B"))*3)+((COUNTIF('Elève (5ème6)'!FJ21:FL21,"C"))*2)+((COUNTIF('Elève (5ème6)'!FJ21:FL21,"D"))*1))/(COUNTA(FJ21:FL21)),"")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(5ème6)'!FQ21:FS21,"A"))*4)+((COUNTIF('Elève (5ème6)'!FQ21:FS21,"B"))*3)+((COUNTIF('Elève (5ème6)'!FQ21:FS21,"C"))*2)+((COUNTIF('Elève (5ème6)'!FQ21:FS21,"D"))*1))/(COUNTA(FQ21:FS21)),"")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(5ème6)'!FV21:FX21,"A"))*4)+((COUNTIF('Elève (5ème6)'!FV21:FX21,"B"))*3)+((COUNTIF('Elève (5ème6)'!FV21:FX21,"C"))*2)+((COUNTIF('Elève (5ème6)'!FV21:FX21,"D"))*1))/(COUNTA(FV21:FX21)),"")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(5ème6)'!GA21:GC21,"A"))*4)+((COUNTIF('Elève (5ème6)'!GA21:GC21,"B"))*3)+((COUNTIF('Elève (5ème6)'!GA21:GC21,"C"))*2)+((COUNTIF('Elève (5ème6)'!GA21:GC21,"D"))*1))/(COUNTA(GA21:GC21)),"")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(5ème6)'!GH21:GJ21,"A"))*4)+((COUNTIF('Elève (5ème6)'!GH21:GJ21,"B"))*3)+((COUNTIF('Elève (5ème6)'!GH21:GJ21,"C"))*2)+((COUNTIF('Elève (5ème6)'!GH21:GJ21,"D"))*1))/(COUNTA(GH21:GJ21)),"")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(5ème6)'!GM21:GO21,"A"))*4)+((COUNTIF('Elève (5ème6)'!GM21:GO21,"B"))*3)+((COUNTIF('Elève (5ème6)'!GM21:GO21,"C"))*2)+((COUNTIF('Elève (5ème6)'!GM21:GO21,"D"))*1))/(COUNTA(GM21:GO21)),"")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(5ème6)'!GR21:GT21,"A"))*4)+((COUNTIF('Elève (5ème6)'!GR21:GT21,"B"))*3)+((COUNTIF('Elève (5ème6)'!GR21:GT21,"C"))*2)+((COUNTIF('Elève (5ème6)'!GR21:GT21,"D"))*1))/(COUNTA(GR21:GT21)),"")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(5ème6)'!GY21:HA21,"A"))*4)+((COUNTIF('Elève (5ème6)'!GY21:HA21,"B"))*3)+((COUNTIF('Elève (5ème6)'!GY21:HA21,"C"))*2)+((COUNTIF('Elève (5ème6)'!GY21:HA21,"D"))*1))/(COUNTA(GY21:HA21)),"")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(5ème6)'!HD21:HF21,"A"))*4)+((COUNTIF('Elève (5ème6)'!HD21:HF21,"B"))*3)+((COUNTIF('Elève (5ème6)'!HD21:HF21,"C"))*2)+((COUNTIF('Elève (5ème6)'!HD21:HF21,"D"))*1))/(COUNTA(HD21:HF21)),"")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(5ème6)'!HI21:HK21,"A"))*4)+((COUNTIF('Elève (5ème6)'!HI21:HK21,"B"))*3)+((COUNTIF('Elève (5ème6)'!HI21:HK21,"C"))*2)+((COUNTIF('Elève (5ème6)'!HI21:HK21,"D"))*1))/(COUNTA(HI21:HK21)),"")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(5ème6)'!HP21:HR21,"A"))*4)+((COUNTIF('Elève (5ème6)'!HP21:HR21,"B"))*3)+((COUNTIF('Elève (5ème6)'!HP21:HR21,"C"))*2)+((COUNTIF('Elève (5ème6)'!HP21:HR21,"D"))*1))/(COUNTA(HP21:HR21)),"")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(5ème6)'!HU21:HW21,"A"))*4)+((COUNTIF('Elève (5ème6)'!HU21:HW21,"B"))*3)+((COUNTIF('Elève (5ème6)'!HU21:HW21,"C"))*2)+((COUNTIF('Elève (5ème6)'!HU21:HW21,"D"))*1))/(COUNTA(HU21:HW21)),"")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(5ème6)'!HZ21:IB21,"A"))*4)+((COUNTIF('Elève (5ème6)'!HZ21:IB21,"B"))*3)+((COUNTIF('Elève (5ème6)'!HZ21:IB21,"C"))*2)+((COUNTIF('Elève (5ème6)'!HZ21:IB21,"D"))*1))/(COUNTA(HZ21:IB21)),"")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(5ème6)'!IG21:II21,"A"))*4)+((COUNTIF('Elève (5ème6)'!IG21:II21,"B"))*3)+((COUNTIF('Elève (5ème6)'!IG21:II21,"C"))*2)+((COUNTIF('Elève (5ème6)'!IG21:II21,"D"))*1))/(COUNTA(IG21:II21)),"")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(5ème6)'!IL21:IN21,"A"))*4)+((COUNTIF('Elève (5ème6)'!IL21:IN21,"B"))*3)+((COUNTIF('Elève (5ème6)'!IL21:IN21,"C"))*2)+((COUNTIF('Elève (5ème6)'!IL21:IN21,"D"))*1))/(COUNTA(IL21:IN21)),"")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(5ème6)'!IQ21:IS21,"A"))*4)+((COUNTIF('Elève (5ème6)'!IQ21:IS21,"B"))*3)+((COUNTIF('Elève (5ème6)'!IQ21:IS21,"C"))*2)+((COUNTIF('Elève (5ème6)'!IQ21:IS21,"D"))*1))/(COUNTA(IQ21:IS21)),"")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(5ème6)'!IX21:IZ21,"A"))*4)+((COUNTIF('Elève (5ème6)'!IX21:IZ21,"B"))*3)+((COUNTIF('Elève (5ème6)'!IX21:IZ21,"C"))*2)+((COUNTIF('Elève (5ème6)'!IX21:IZ21,"D"))*1))/(COUNTA(IX21:IZ21)),"")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(5ème6)'!JC21:JE21,"A"))*4)+((COUNTIF('Elève (5ème6)'!JC21:JE21,"B"))*3)+((COUNTIF('Elève (5ème6)'!JC21:JE21,"C"))*2)+((COUNTIF('Elève (5ème6)'!JC21:JE21,"D"))*1))/(COUNTA(JC21:JE21)),"")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(5ème6)'!JH21:JJ21,"A"))*4)+((COUNTIF('Elève (5ème6)'!JH21:JJ21,"B"))*3)+((COUNTIF('Elève (5ème6)'!JH21:JJ21,"C"))*2)+((COUNTIF('Elève (5ème6)'!JH21:JJ21,"D"))*1))/(COUNTA(JH21:JJ21)),"")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(5ème6)'!JO21:JQ21,"A"))*4)+((COUNTIF('Elève (5ème6)'!JO21:JQ21,"B"))*3)+((COUNTIF('Elève (5ème6)'!JO21:JQ21,"C"))*2)+((COUNTIF('Elève (5ème6)'!JO21:JQ21,"D"))*1))/(COUNTA(JO21:JQ21)),"")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(5ème6)'!JT21:JV21,"A"))*4)+((COUNTIF('Elève (5ème6)'!JT21:JV21,"B"))*3)+((COUNTIF('Elève (5ème6)'!JT21:JV21,"C"))*2)+((COUNTIF('Elève (5ème6)'!JT21:JV21,"D"))*1))/(COUNTA(JT21:JV21)),"")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(5ème6)'!JY21:KA21,"A"))*4)+((COUNTIF('Elève (5ème6)'!JY21:KA21,"B"))*3)+((COUNTIF('Elève (5ème6)'!JY21:KA21,"C"))*2)+((COUNTIF('Elève (5ème6)'!JY21:KA21,"D"))*1))/(COUNTA(JY21:KA21)),"")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(5ème6)'!KF21:KH21,"A"))*4)+((COUNTIF('Elève (5ème6)'!KF21:KH21,"B"))*3)+((COUNTIF('Elève (5ème6)'!KF21:KH21,"C"))*2)+((COUNTIF('Elève (5ème6)'!KF21:KH21,"D"))*1))/(COUNTA(KF21:KH21)),"")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(5ème6)'!KK21:KM21,"A"))*4)+((COUNTIF('Elève (5ème6)'!KK21:KM21,"B"))*3)+((COUNTIF('Elève (5ème6)'!KK21:KM21,"C"))*2)+((COUNTIF('Elève (5ème6)'!KK21:KM21,"D"))*1))/(COUNTA(KK21:KM21)),"")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(5ème6)'!KP21:KR21,"A"))*4)+((COUNTIF('Elève (5ème6)'!KP21:KR21,"B"))*3)+((COUNTIF('Elève (5ème6)'!KP21:KR21,"C"))*2)+((COUNTIF('Elève (5ème6)'!KP21:KR21,"D"))*1))/(COUNTA(KP21:KR21)),"")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(5ème6)'!KW21:KY21,"A"))*4)+((COUNTIF('Elève (5ème6)'!KW21:KY21,"B"))*3)+((COUNTIF('Elève (5ème6)'!KW21:KY21,"C"))*2)+((COUNTIF('Elève (5ème6)'!KW21:KY21,"D"))*1))/(COUNTA(KW21:KY21)),"")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(5ème6)'!LB21:LD21,"A"))*4)+((COUNTIF('Elève (5ème6)'!LB21:LD21,"B"))*3)+((COUNTIF('Elève (5ème6)'!LB21:LD21,"C"))*2)+((COUNTIF('Elève (5ème6)'!LB21:LD21,"D"))*1))/(COUNTA(LB21:LD21)),"")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(5ème6)'!LG21:LI21,"A"))*4)+((COUNTIF('Elève (5ème6)'!LG21:LI21,"B"))*3)+((COUNTIF('Elève (5ème6)'!LG21:LI21,"C"))*2)+((COUNTIF('Elève (5ème6)'!LG21:LI21,"D"))*1))/(COUNTA(LG21:LI21)),"")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(5ème6)'!LN21:LP21,"A"))*4)+((COUNTIF('Elève (5ème6)'!LN21:LP21,"B"))*3)+((COUNTIF('Elève (5ème6)'!LN21:LP21,"C"))*2)+((COUNTIF('Elève (5ème6)'!LN21:LP21,"D"))*1))/(COUNTA(LN21:LP21)),"")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(5ème6)'!LS21:LU21,"A"))*4)+((COUNTIF('Elève (5ème6)'!LS21:LU21,"B"))*3)+((COUNTIF('Elève (5ème6)'!LS21:LU21,"C"))*2)+((COUNTIF('Elève (5ème6)'!LS21:LU21,"D"))*1))/(COUNTA(LS21:LU21)),"")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(5ème6)'!LX21:LZ21,"A"))*4)+((COUNTIF('Elève (5ème6)'!LX21:LZ21,"B"))*3)+((COUNTIF('Elève (5ème6)'!LX21:LZ21,"C"))*2)+((COUNTIF('Elève (5ème6)'!LX21:LZ21,"D"))*1))/(COUNTA(LX21:LZ21)),"")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(5ème6)'!ME21:MG21,"A"))*4)+((COUNTIF('Elève (5ème6)'!ME21:MG21,"B"))*3)+((COUNTIF('Elève (5ème6)'!ME21:MG21,"C"))*2)+((COUNTIF('Elève (5ème6)'!ME21:MG21,"D"))*1))/(COUNTA(ME21:MG21)),"")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(5ème6)'!MJ21:ML21,"A"))*4)+((COUNTIF('Elève (5ème6)'!MJ21:ML21,"B"))*3)+((COUNTIF('Elève (5ème6)'!MJ21:ML21,"C"))*2)+((COUNTIF('Elève (5ème6)'!MJ21:ML21,"D"))*1))/(COUNTA(MJ21:ML21)),"")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(5ème6)'!MO21:MQ21,"A"))*4)+((COUNTIF('Elève (5ème6)'!MO21:MQ21,"B"))*3)+((COUNTIF('Elève (5ème6)'!MO21:MQ21,"C"))*2)+((COUNTIF('Elève (5ème6)'!MO21:MQ21,"D"))*1))/(COUNTA(MO21:MQ21)),"")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(5ème6)'!MV21:MX21,"A"))*4)+((COUNTIF('Elève (5ème6)'!MV21:MX21,"B"))*3)+((COUNTIF('Elève (5ème6)'!MV21:MX21,"C"))*2)+((COUNTIF('Elève (5ème6)'!MV21:MX21,"D"))*1))/(COUNTA(MV21:MX21)),"")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(5ème6)'!NA21:NC21,"A"))*4)+((COUNTIF('Elève (5ème6)'!NA21:NC21,"B"))*3)+((COUNTIF('Elève (5ème6)'!NA21:NC21,"C"))*2)+((COUNTIF('Elève (5ème6)'!NA21:NC21,"D"))*1))/(COUNTA(NA21:NC21)),"")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(5ème6)'!NF21:NH21,"A"))*4)+((COUNTIF('Elève (5ème6)'!NF21:NH21,"B"))*3)+((COUNTIF('Elève (5ème6)'!NF21:NH21,"C"))*2)+((COUNTIF('Elève (5ème6)'!NF21:NH21,"D"))*1))/(COUNTA(NF21:NH21)),"")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(5ème6)'!NM21:NO21,"A"))*4)+((COUNTIF('Elève (5ème6)'!NM21:NO21,"B"))*3)+((COUNTIF('Elève (5ème6)'!NM21:NO21,"C"))*2)+((COUNTIF('Elève (5ème6)'!NM21:NO21,"D"))*1))/(COUNTA(NM21:NO21)),"")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(5ème6)'!NR21:NT21,"A"))*4)+((COUNTIF('Elève (5ème6)'!NR21:NT21,"B"))*3)+((COUNTIF('Elève (5ème6)'!NR21:NT21,"C"))*2)+((COUNTIF('Elève (5ème6)'!NR21:NT21,"D"))*1))/(COUNTA(NR21:NT21)),"")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(5ème6)'!NW21:NY21,"A"))*4)+((COUNTIF('Elève (5ème6)'!NW21:NY21,"B"))*3)+((COUNTIF('Elève (5ème6)'!NW21:NY21,"C"))*2)+((COUNTIF('Elève (5ème6)'!NW21:NY21,"D"))*1))/(COUNTA(NW21:NY21)),"")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(5ème6)'!OD21:OF21,"A"))*4)+((COUNTIF('Elève (5ème6)'!OD21:OF21,"B"))*3)+((COUNTIF('Elève (5ème6)'!OD21:OF21,"C"))*2)+((COUNTIF('Elève (5ème6)'!OD21:OF21,"D"))*1))/(COUNTA(OD21:OF21)),"")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(5ème6)'!OI21:OK21,"A"))*4)+((COUNTIF('Elève (5ème6)'!OI21:OK21,"B"))*3)+((COUNTIF('Elève (5ème6)'!OI21:OK21,"C"))*2)+((COUNTIF('Elève (5ème6)'!OI21:OK21,"D"))*1))/(COUNTA(OI21:OK21)),"")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(5ème6)'!ON21:OP21,"A"))*4)+((COUNTIF('Elève (5ème6)'!ON21:OP21,"B"))*3)+((COUNTIF('Elève (5ème6)'!ON21:OP21,"C"))*2)+((COUNTIF('Elève (5ème6)'!ON21:OP21,"D"))*1))/(COUNTA(ON21:OP21)),"")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(5ème6)'!OU21:OW21,"A"))*4)+((COUNTIF('Elève (5ème6)'!OU21:OW21,"B"))*3)+((COUNTIF('Elève (5ème6)'!OU21:OW21,"C"))*2)+((COUNTIF('Elève (5ème6)'!OU21:OW21,"D"))*1))/(COUNTA(OU21:OW21)),"")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(5ème6)'!OZ21:PB21,"A"))*4)+((COUNTIF('Elève (5ème6)'!OZ21:PB21,"B"))*3)+((COUNTIF('Elève (5ème6)'!OZ21:PB21,"C"))*2)+((COUNTIF('Elève (5ème6)'!OZ21:PB21,"D"))*1))/(COUNTA(OZ21:PB21)),"")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(5ème6)'!PE21:PG21,"A"))*4)+((COUNTIF('Elève (5ème6)'!PE21:PG21,"B"))*3)+((COUNTIF('Elève (5ème6)'!PE21:PG21,"C"))*2)+((COUNTIF('Elève (5ème6)'!PE21:PG21,"D"))*1))/(COUNTA(PE21:PG21)),"")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(5ème6)'!PL21:PN21,"A"))*4)+((COUNTIF('Elève (5ème6)'!PL21:PN21,"B"))*3)+((COUNTIF('Elève (5ème6)'!PL21:PN21,"C"))*2)+((COUNTIF('Elève (5ème6)'!PL21:PN21,"D"))*1))/(COUNTA(PL21:PN21)),"")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(5ème6)'!PQ21:PS21,"A"))*4)+((COUNTIF('Elève (5ème6)'!PQ21:PS21,"B"))*3)+((COUNTIF('Elève (5ème6)'!PQ21:PS21,"C"))*2)+((COUNTIF('Elève (5ème6)'!PQ21:PS21,"D"))*1))/(COUNTA(PQ21:PS21)),"")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(5ème6)'!PV21:PX21,"A"))*4)+((COUNTIF('Elève (5ème6)'!PV21:PX21,"B"))*3)+((COUNTIF('Elève (5ème6)'!PV21:PX21,"C"))*2)+((COUNTIF('Elève (5ème6)'!PV21:PX21,"D"))*1))/(COUNTA(PV21:PX21)),"")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(5ème6)'!QC21:QE21,"A"))*4)+((COUNTIF('Elève (5ème6)'!QC21:QE21,"B"))*3)+((COUNTIF('Elève (5ème6)'!QC21:QE21,"C"))*2)+((COUNTIF('Elève (5ème6)'!QC21:QE21,"D"))*1))/(COUNTA(QC21:QE21)),"")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(5ème6)'!QH21:QJ21,"A"))*4)+((COUNTIF('Elève (5ème6)'!QH21:QJ21,"B"))*3)+((COUNTIF('Elève (5ème6)'!QH21:QJ21,"C"))*2)+((COUNTIF('Elève (5ème6)'!QH21:QJ21,"D"))*1))/(COUNTA(QH21:QJ21)),"")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(5ème6)'!QM21:QO21,"A"))*4)+((COUNTIF('Elève (5ème6)'!QM21:QO21,"B"))*3)+((COUNTIF('Elève (5ème6)'!QM21:QO21,"C"))*2)+((COUNTIF('Elève (5ème6)'!QM21:QO21,"D"))*1))/(COUNTA(QM21:QO21)),"")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(5ème6)'!QT21:QV21,"A"))*4)+((COUNTIF('Elève (5ème6)'!QT21:QV21,"B"))*3)+((COUNTIF('Elève (5ème6)'!QT21:QV21,"C"))*2)+((COUNTIF('Elève (5ème6)'!QT21:QV21,"D"))*1))/(COUNTA(QT21:QV21)),"")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(5ème6)'!QY21:RA21,"A"))*4)+((COUNTIF('Elève (5ème6)'!QY21:RA21,"B"))*3)+((COUNTIF('Elève (5ème6)'!QY21:RA21,"C"))*2)+((COUNTIF('Elève (5ème6)'!QY21:RA21,"D"))*1))/(COUNTA(QY21:RA21)),"")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(5ème6)'!RD21:RF21,"A"))*4)+((COUNTIF('Elève (5ème6)'!RD21:RF21,"B"))*3)+((COUNTIF('Elève (5ème6)'!RD21:RF21,"C"))*2)+((COUNTIF('Elève (5ème6)'!RD21:RF21,"D"))*1))/(COUNTA(RD21:RF21)),"")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(5ème6)'!RK21:RM21,"A"))*4)+((COUNTIF('Elève (5ème6)'!RK21:RM21,"B"))*3)+((COUNTIF('Elève (5ème6)'!RK21:RM21,"C"))*2)+((COUNTIF('Elève (5ème6)'!RK21:RM21,"D"))*1))/(COUNTA(RK21:RM21)),"")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(5ème6)'!RP21:RR21,"A"))*4)+((COUNTIF('Elève (5ème6)'!RP21:RR21,"B"))*3)+((COUNTIF('Elève (5ème6)'!RP21:RR21,"C"))*2)+((COUNTIF('Elève (5ème6)'!RP21:RR21,"D"))*1))/(COUNTA(RP21:RR21)),"")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(5ème6)'!RU21:RW21,"A"))*4)+((COUNTIF('Elève (5ème6)'!RU21:RW21,"B"))*3)+((COUNTIF('Elève (5ème6)'!RU21:RW21,"C"))*2)+((COUNTIF('Elève (5ème6)'!RU21:RW21,"D"))*1))/(COUNTA(RU21:RW21)),"")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(5ème6)'!SB21:SD21,"A"))*4)+((COUNTIF('Elève (5ème6)'!SB21:SD21,"B"))*3)+((COUNTIF('Elève (5ème6)'!SB21:SD21,"C"))*2)+((COUNTIF('Elève (5ème6)'!SB21:SD21,"D"))*1))/(COUNTA(SB21:SD21)),"")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(5ème6)'!SG21:SI21,"A"))*4)+((COUNTIF('Elève (5ème6)'!SG21:SI21,"B"))*3)+((COUNTIF('Elève (5ème6)'!SG21:SI21,"C"))*2)+((COUNTIF('Elève (5ème6)'!SG21:SI21,"D"))*1))/(COUNTA(SG21:SI21)),"")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(5ème6)'!SL21:SN21,"A"))*4)+((COUNTIF('Elève (5ème6)'!SL21:SN21,"B"))*3)+((COUNTIF('Elève (5ème6)'!SL21:SN21,"C"))*2)+((COUNTIF('Elève (5ème6)'!SL21:SN21,"D"))*1))/(COUNTA(SL21:SN21)),"")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31" t="s">
        <v>26</v>
      </c>
      <c r="B22" s="232"/>
      <c r="C22" s="167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>16.875</v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>
        <f ca="1">IF(COUNTA(C22:E22)-COUNTBLANK(C22:E22)=0,"",SUM(C22:E22)/(COUNTA(C22:E22)-COUNTBLANK(C22:E22)))</f>
        <v>16.875</v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>18.75</v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>
        <f ca="1">IF(COUNTA(T22:V22)-COUNTBLANK(T22:V22)=0,"",SUM(T22:V22)/(COUNTA(T22:V22)-COUNTBLANK(T22:V22)))</f>
        <v>18.75</v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>11.875</v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>
        <f ca="1">IF(COUNTA(AK22:AM22)-COUNTBLANK(AK22:AM22)=0,"",SUM(AK22:AM22)/(COUNTA(AK22:AM22)-COUNTBLANK(AK22:AM22)))</f>
        <v>11.875</v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>18.75</v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>
        <f ca="1">IF(COUNTA(BB22:BD22)-COUNTBLANK(BB22:BD22)=0,"",SUM(BB22:BD22)/(COUNTA(BB22:BD22)-COUNTBLANK(BB22:BD22)))</f>
        <v>18.75</v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>18.125</v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>
        <f ca="1">IF(COUNTA(BS22:BU22)-COUNTBLANK(BS22:BU22)=0,"",SUM(BS22:BU22)/(COUNTA(BS22:BU22)-COUNTBLANK(BS22:BU22)))</f>
        <v>18.125</v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>14.375</v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>
        <f ca="1">IF(COUNTA(CJ22:CL22)-COUNTBLANK(CJ22:CL22)=0,"",SUM(CJ22:CL22)/(COUNTA(CJ22:CL22)-COUNTBLANK(CJ22:CL22)))</f>
        <v>14.375</v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>18.125</v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>
        <f ca="1">IF(COUNTA(DA22:DC22)-COUNTBLANK(DA22:DC22)=0,"",SUM(DA22:DC22)/(COUNTA(DA22:DC22)-COUNTBLANK(DA22:DC22)))</f>
        <v>18.125</v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>18.125</v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>
        <f ca="1">IF(COUNTA(DR22:DT22)-COUNTBLANK(DR22:DT22)=0,"",SUM(DR22:DT22)/(COUNTA(DR22:DT22)-COUNTBLANK(DR22:DT22)))</f>
        <v>18.125</v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>17.5</v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>
        <f ca="1">IF(COUNTA(EI22:EK22)-COUNTBLANK(EI22:EK22)=0,"",SUM(EI22:EK22)/(COUNTA(EI22:EK22)-COUNTBLANK(EI22:EK22)))</f>
        <v>17.5</v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>18.75</v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>
        <f ca="1">IF(COUNTA(EZ22:FB22)-COUNTBLANK(EZ22:FB22)=0,"",SUM(EZ22:FB22)/(COUNTA(EZ22:FB22)-COUNTBLANK(EZ22:FB22)))</f>
        <v>18.75</v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>18.75</v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>
        <f ca="1">IF(COUNTA(FQ22:FS22)-COUNTBLANK(FQ22:FS22)=0,"",SUM(FQ22:FS22)/(COUNTA(FQ22:FS22)-COUNTBLANK(FQ22:FS22)))</f>
        <v>18.75</v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>16.25</v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>
        <f ca="1">IF(COUNTA(GH22:GJ22)-COUNTBLANK(GH22:GJ22)=0,"",SUM(GH22:GJ22)/(COUNTA(GH22:GJ22)-COUNTBLANK(GH22:GJ22)))</f>
        <v>16.25</v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>18.125</v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>
        <f ca="1">IF(COUNTA(GY22:HA22)-COUNTBLANK(GY22:HA22)=0,"",SUM(GY22:HA22)/(COUNTA(GY22:HA22)-COUNTBLANK(GY22:HA22)))</f>
        <v>18.125</v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>20</v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>
        <f ca="1">IF(COUNTA(HP22:HR22)-COUNTBLANK(HP22:HR22)=0,"",SUM(HP22:HR22)/(COUNTA(HP22:HR22)-COUNTBLANK(HP22:HR22)))</f>
        <v>20</v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>18.75</v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>
        <f ca="1">IF(COUNTA(IG22:II22)-COUNTBLANK(IG22:II22)=0,"",SUM(IG22:II22)/(COUNTA(IG22:II22)-COUNTBLANK(IG22:II22)))</f>
        <v>18.75</v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>18.75</v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>
        <f ca="1">IF(COUNTA(IX22:IZ22)-COUNTBLANK(IX22:IZ22)=0,"",SUM(IX22:IZ22)/(COUNTA(IX22:IZ22)-COUNTBLANK(IX22:IZ22)))</f>
        <v>18.75</v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>18.125</v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>
        <f ca="1">IF(COUNTA(JO22:JQ22)-COUNTBLANK(JO22:JQ22)=0,"",SUM(JO22:JQ22)/(COUNTA(JO22:JQ22)-COUNTBLANK(JO22:JQ22)))</f>
        <v>18.125</v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>16.875</v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>
        <f ca="1">IF(COUNTA(KF22:KH22)-COUNTBLANK(KF22:KH22)=0,"",SUM(KF22:KH22)/(COUNTA(KF22:KH22)-COUNTBLANK(KF22:KH22)))</f>
        <v>16.875</v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>18.75</v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>
        <f ca="1">IF(COUNTA(KW22:KY22)-COUNTBLANK(KW22:KY22)=0,"",SUM(KW22:KY22)/(COUNTA(KW22:KY22)-COUNTBLANK(KW22:KY22)))</f>
        <v>18.75</v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>15</v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>
        <f ca="1">IF(COUNTA(LN22:LP22)-COUNTBLANK(LN22:LP22)=0,"",SUM(LN22:LP22)/(COUNTA(LN22:LP22)-COUNTBLANK(LN22:LP22)))</f>
        <v>15</v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>16.875</v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>
        <f ca="1">IF(COUNTA(ME22:MG22)-COUNTBLANK(ME22:MG22)=0,"",SUM(ME22:MG22)/(COUNTA(ME22:MG22)-COUNTBLANK(ME22:MG22)))</f>
        <v>16.875</v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>18.75</v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>
        <f ca="1">IF(COUNTA(MV22:MX22)-COUNTBLANK(MV22:MX22)=0,"",SUM(MV22:MX22)/(COUNTA(MV22:MX22)-COUNTBLANK(MV22:MX22)))</f>
        <v>18.75</v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>18.75</v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>
        <f ca="1">IF(COUNTA(NM22:NO22)-COUNTBLANK(NM22:NO22)=0,"",SUM(NM22:NO22)/(COUNTA(NM22:NO22)-COUNTBLANK(NM22:NO22)))</f>
        <v>18.75</v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>18.75</v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>
        <f ca="1">IF(COUNTA(OD22:OF22)-COUNTBLANK(OD22:OF22)=0,"",SUM(OD22:OF22)/(COUNTA(OD22:OF22)-COUNTBLANK(OD22:OF22)))</f>
        <v>18.75</v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>20</v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>
        <f ca="1">IF(COUNTA(OU22:OW22)-COUNTBLANK(OU22:OW22)=0,"",SUM(OU22:OW22)/(COUNTA(OU22:OW22)-COUNTBLANK(OU22:OW22)))</f>
        <v>20</v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>18.75</v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>
        <f ca="1">IF(COUNTA(PL22:PN22)-COUNTBLANK(PL22:PN22)=0,"",SUM(PL22:PN22)/(COUNTA(PL22:PN22)-COUNTBLANK(PL22:PN22)))</f>
        <v>18.75</v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>17.5</v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>
        <f ca="1">IF(COUNTA(QC22:QE22)-COUNTBLANK(QC22:QE22)=0,"",SUM(QC22:QE22)/(COUNTA(QC22:QE22)-COUNTBLANK(QC22:QE22)))</f>
        <v>17.5</v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>20</v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>
        <f ca="1">IF(COUNTA(QT22:QV22)-COUNTBLANK(QT22:QV22)=0,"",SUM(QT22:QV22)/(COUNTA(QT22:QV22)-COUNTBLANK(QT22:QV22)))</f>
        <v>20</v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>18.125</v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>
        <f ca="1">IF(COUNTA(RK22:RM22)-COUNTBLANK(RK22:RM22)=0,"",SUM(RK22:RM22)/(COUNTA(RK22:RM22)-COUNTBLANK(RK22:RM22)))</f>
        <v>18.125</v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>3</v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ITG46T91V1grj+SSj+c55ehrYCkp4gLxoyedh3s/uTfwwGW1xUblctJzuhz7LB+uBvi8jxO5OI5E3CLRayfD6g==" saltValue="tpLaur0ij2f0+Xu+tldGog==" spinCount="100000" sheet="1" insertColumns="0" deleteColumns="0" selectLockedCells="1"/>
  <dataConsolidate/>
  <mergeCells count="15">
    <mergeCell ref="A9:B9"/>
    <mergeCell ref="A1:B1"/>
    <mergeCell ref="A5:B5"/>
    <mergeCell ref="A6:B6"/>
    <mergeCell ref="A7:B7"/>
    <mergeCell ref="A8:B8"/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I31"/>
  <sheetViews>
    <sheetView topLeftCell="D1" workbookViewId="0">
      <selection activeCell="I2" sqref="I2:I30"/>
    </sheetView>
  </sheetViews>
  <sheetFormatPr baseColWidth="10" defaultRowHeight="15" x14ac:dyDescent="0.25"/>
  <cols>
    <col min="1" max="1" width="33.7109375" customWidth="1"/>
    <col min="2" max="2" width="4.7109375" customWidth="1"/>
    <col min="3" max="3" width="33.7109375" customWidth="1"/>
    <col min="4" max="4" width="4.7109375" customWidth="1"/>
    <col min="5" max="5" width="33.7109375" customWidth="1"/>
    <col min="6" max="6" width="4.7109375" customWidth="1"/>
    <col min="7" max="7" width="33.7109375" customWidth="1"/>
    <col min="8" max="8" width="4.7109375" customWidth="1"/>
    <col min="9" max="9" width="33.7109375" customWidth="1"/>
    <col min="10" max="10" width="11" customWidth="1"/>
  </cols>
  <sheetData>
    <row r="1" spans="1:9" s="34" customFormat="1" ht="15.75" thickBot="1" x14ac:dyDescent="0.3">
      <c r="A1" s="36" t="s">
        <v>51</v>
      </c>
      <c r="C1" s="36" t="s">
        <v>52</v>
      </c>
      <c r="E1" s="36" t="s">
        <v>53</v>
      </c>
      <c r="G1" s="36" t="s">
        <v>54</v>
      </c>
      <c r="I1" s="36" t="s">
        <v>55</v>
      </c>
    </row>
    <row r="2" spans="1:9" x14ac:dyDescent="0.25">
      <c r="A2" s="35" t="s">
        <v>68</v>
      </c>
      <c r="B2" s="35"/>
      <c r="C2" s="35" t="s">
        <v>69</v>
      </c>
      <c r="D2" s="35"/>
      <c r="E2" s="35" t="s">
        <v>70</v>
      </c>
      <c r="F2" s="35"/>
      <c r="G2" s="35" t="s">
        <v>71</v>
      </c>
      <c r="H2" s="35"/>
      <c r="I2" s="35" t="s">
        <v>72</v>
      </c>
    </row>
    <row r="3" spans="1:9" x14ac:dyDescent="0.25">
      <c r="A3" s="35" t="s">
        <v>73</v>
      </c>
      <c r="B3" s="35"/>
      <c r="C3" s="35" t="s">
        <v>74</v>
      </c>
      <c r="D3" s="35"/>
      <c r="E3" s="35" t="s">
        <v>75</v>
      </c>
      <c r="F3" s="35"/>
      <c r="G3" s="35" t="s">
        <v>76</v>
      </c>
      <c r="H3" s="35"/>
      <c r="I3" s="35" t="s">
        <v>77</v>
      </c>
    </row>
    <row r="4" spans="1:9" x14ac:dyDescent="0.25">
      <c r="A4" s="35" t="s">
        <v>78</v>
      </c>
      <c r="B4" s="35"/>
      <c r="C4" s="35" t="s">
        <v>79</v>
      </c>
      <c r="D4" s="35"/>
      <c r="E4" s="35" t="s">
        <v>80</v>
      </c>
      <c r="F4" s="35"/>
      <c r="G4" s="35" t="s">
        <v>81</v>
      </c>
      <c r="H4" s="35"/>
      <c r="I4" s="35" t="s">
        <v>82</v>
      </c>
    </row>
    <row r="5" spans="1:9" x14ac:dyDescent="0.25">
      <c r="A5" s="35" t="s">
        <v>83</v>
      </c>
      <c r="B5" s="35"/>
      <c r="C5" s="35" t="s">
        <v>84</v>
      </c>
      <c r="D5" s="35"/>
      <c r="E5" s="35" t="s">
        <v>85</v>
      </c>
      <c r="F5" s="35"/>
      <c r="G5" s="35" t="s">
        <v>86</v>
      </c>
      <c r="H5" s="35"/>
      <c r="I5" s="35" t="s">
        <v>87</v>
      </c>
    </row>
    <row r="6" spans="1:9" x14ac:dyDescent="0.25">
      <c r="A6" s="35" t="s">
        <v>88</v>
      </c>
      <c r="B6" s="35"/>
      <c r="C6" s="35" t="s">
        <v>89</v>
      </c>
      <c r="D6" s="35"/>
      <c r="E6" s="35" t="s">
        <v>90</v>
      </c>
      <c r="F6" s="35"/>
      <c r="G6" s="35" t="s">
        <v>91</v>
      </c>
      <c r="H6" s="35"/>
      <c r="I6" s="35" t="s">
        <v>92</v>
      </c>
    </row>
    <row r="7" spans="1:9" x14ac:dyDescent="0.25">
      <c r="A7" s="35" t="s">
        <v>93</v>
      </c>
      <c r="B7" s="35"/>
      <c r="C7" s="35" t="s">
        <v>94</v>
      </c>
      <c r="D7" s="35"/>
      <c r="E7" s="35" t="s">
        <v>95</v>
      </c>
      <c r="F7" s="35"/>
      <c r="G7" s="35" t="s">
        <v>96</v>
      </c>
      <c r="H7" s="35"/>
      <c r="I7" s="35" t="s">
        <v>97</v>
      </c>
    </row>
    <row r="8" spans="1:9" x14ac:dyDescent="0.25">
      <c r="A8" s="35" t="s">
        <v>98</v>
      </c>
      <c r="B8" s="35"/>
      <c r="C8" s="35" t="s">
        <v>99</v>
      </c>
      <c r="D8" s="35"/>
      <c r="E8" s="35" t="s">
        <v>100</v>
      </c>
      <c r="F8" s="35"/>
      <c r="G8" s="35" t="s">
        <v>101</v>
      </c>
      <c r="H8" s="35"/>
      <c r="I8" s="35" t="s">
        <v>102</v>
      </c>
    </row>
    <row r="9" spans="1:9" x14ac:dyDescent="0.25">
      <c r="A9" s="35" t="s">
        <v>103</v>
      </c>
      <c r="B9" s="35"/>
      <c r="C9" s="35" t="s">
        <v>104</v>
      </c>
      <c r="D9" s="35"/>
      <c r="E9" s="35" t="s">
        <v>105</v>
      </c>
      <c r="F9" s="35"/>
      <c r="G9" s="35" t="s">
        <v>106</v>
      </c>
      <c r="H9" s="35"/>
      <c r="I9" s="35" t="s">
        <v>107</v>
      </c>
    </row>
    <row r="10" spans="1:9" x14ac:dyDescent="0.25">
      <c r="A10" s="35" t="s">
        <v>108</v>
      </c>
      <c r="B10" s="35"/>
      <c r="C10" s="35" t="s">
        <v>109</v>
      </c>
      <c r="D10" s="35"/>
      <c r="E10" s="35" t="s">
        <v>110</v>
      </c>
      <c r="F10" s="35"/>
      <c r="G10" s="35" t="s">
        <v>111</v>
      </c>
      <c r="H10" s="35"/>
      <c r="I10" s="35" t="s">
        <v>112</v>
      </c>
    </row>
    <row r="11" spans="1:9" x14ac:dyDescent="0.25">
      <c r="A11" s="35" t="s">
        <v>113</v>
      </c>
      <c r="B11" s="35"/>
      <c r="C11" s="35" t="s">
        <v>114</v>
      </c>
      <c r="D11" s="35"/>
      <c r="E11" s="35" t="s">
        <v>115</v>
      </c>
      <c r="F11" s="35"/>
      <c r="G11" s="35" t="s">
        <v>116</v>
      </c>
      <c r="H11" s="35"/>
      <c r="I11" s="35" t="s">
        <v>117</v>
      </c>
    </row>
    <row r="12" spans="1:9" x14ac:dyDescent="0.25">
      <c r="A12" s="35" t="s">
        <v>118</v>
      </c>
      <c r="B12" s="35"/>
      <c r="C12" s="35" t="s">
        <v>119</v>
      </c>
      <c r="D12" s="35"/>
      <c r="E12" s="35" t="s">
        <v>120</v>
      </c>
      <c r="F12" s="35"/>
      <c r="G12" s="35" t="s">
        <v>121</v>
      </c>
      <c r="H12" s="35"/>
      <c r="I12" s="35" t="s">
        <v>122</v>
      </c>
    </row>
    <row r="13" spans="1:9" x14ac:dyDescent="0.25">
      <c r="A13" s="35" t="s">
        <v>123</v>
      </c>
      <c r="B13" s="35"/>
      <c r="C13" s="35" t="s">
        <v>124</v>
      </c>
      <c r="D13" s="35"/>
      <c r="E13" s="35" t="s">
        <v>125</v>
      </c>
      <c r="F13" s="35"/>
      <c r="G13" s="35" t="s">
        <v>126</v>
      </c>
      <c r="H13" s="35"/>
      <c r="I13" s="35" t="s">
        <v>127</v>
      </c>
    </row>
    <row r="14" spans="1:9" x14ac:dyDescent="0.25">
      <c r="A14" s="35" t="s">
        <v>128</v>
      </c>
      <c r="B14" s="35"/>
      <c r="C14" s="35" t="s">
        <v>129</v>
      </c>
      <c r="D14" s="35"/>
      <c r="E14" s="35" t="s">
        <v>130</v>
      </c>
      <c r="F14" s="35"/>
      <c r="G14" s="35" t="s">
        <v>131</v>
      </c>
      <c r="H14" s="35"/>
      <c r="I14" s="35" t="s">
        <v>132</v>
      </c>
    </row>
    <row r="15" spans="1:9" x14ac:dyDescent="0.25">
      <c r="A15" s="35" t="s">
        <v>133</v>
      </c>
      <c r="B15" s="35"/>
      <c r="C15" s="35" t="s">
        <v>134</v>
      </c>
      <c r="D15" s="35"/>
      <c r="E15" s="35" t="s">
        <v>135</v>
      </c>
      <c r="F15" s="35"/>
      <c r="G15" s="35" t="s">
        <v>136</v>
      </c>
      <c r="H15" s="35"/>
      <c r="I15" s="35" t="s">
        <v>137</v>
      </c>
    </row>
    <row r="16" spans="1:9" x14ac:dyDescent="0.25">
      <c r="A16" s="35" t="s">
        <v>138</v>
      </c>
      <c r="B16" s="35"/>
      <c r="C16" s="35" t="s">
        <v>139</v>
      </c>
      <c r="D16" s="35"/>
      <c r="E16" s="35" t="s">
        <v>140</v>
      </c>
      <c r="F16" s="35"/>
      <c r="G16" s="35" t="s">
        <v>141</v>
      </c>
      <c r="H16" s="35"/>
      <c r="I16" s="35" t="s">
        <v>142</v>
      </c>
    </row>
    <row r="17" spans="1:9" x14ac:dyDescent="0.25">
      <c r="A17" s="35" t="s">
        <v>143</v>
      </c>
      <c r="B17" s="35"/>
      <c r="C17" s="35" t="s">
        <v>144</v>
      </c>
      <c r="D17" s="35"/>
      <c r="E17" s="35" t="s">
        <v>145</v>
      </c>
      <c r="F17" s="35"/>
      <c r="G17" s="35" t="s">
        <v>146</v>
      </c>
      <c r="H17" s="35"/>
      <c r="I17" s="35" t="s">
        <v>147</v>
      </c>
    </row>
    <row r="18" spans="1:9" x14ac:dyDescent="0.25">
      <c r="A18" s="35" t="s">
        <v>148</v>
      </c>
      <c r="B18" s="35"/>
      <c r="C18" s="35" t="s">
        <v>149</v>
      </c>
      <c r="D18" s="35"/>
      <c r="E18" s="35" t="s">
        <v>150</v>
      </c>
      <c r="F18" s="35"/>
      <c r="G18" s="35" t="s">
        <v>151</v>
      </c>
      <c r="H18" s="35"/>
      <c r="I18" s="35" t="s">
        <v>213</v>
      </c>
    </row>
    <row r="19" spans="1:9" x14ac:dyDescent="0.25">
      <c r="A19" s="35" t="s">
        <v>153</v>
      </c>
      <c r="B19" s="35"/>
      <c r="C19" s="35" t="s">
        <v>154</v>
      </c>
      <c r="D19" s="35"/>
      <c r="E19" s="35" t="s">
        <v>155</v>
      </c>
      <c r="F19" s="35"/>
      <c r="G19" s="35" t="s">
        <v>156</v>
      </c>
      <c r="H19" s="35"/>
      <c r="I19" s="35" t="s">
        <v>152</v>
      </c>
    </row>
    <row r="20" spans="1:9" x14ac:dyDescent="0.25">
      <c r="A20" s="35" t="s">
        <v>158</v>
      </c>
      <c r="B20" s="35"/>
      <c r="C20" s="35" t="s">
        <v>159</v>
      </c>
      <c r="D20" s="35"/>
      <c r="E20" s="35" t="s">
        <v>160</v>
      </c>
      <c r="F20" s="35"/>
      <c r="G20" s="35" t="s">
        <v>161</v>
      </c>
      <c r="H20" s="35"/>
      <c r="I20" s="35" t="s">
        <v>157</v>
      </c>
    </row>
    <row r="21" spans="1:9" x14ac:dyDescent="0.25">
      <c r="A21" s="35" t="s">
        <v>163</v>
      </c>
      <c r="B21" s="35"/>
      <c r="C21" s="35" t="s">
        <v>164</v>
      </c>
      <c r="D21" s="35"/>
      <c r="E21" s="35" t="s">
        <v>165</v>
      </c>
      <c r="F21" s="35"/>
      <c r="G21" s="35" t="s">
        <v>166</v>
      </c>
      <c r="H21" s="35"/>
      <c r="I21" s="35" t="s">
        <v>162</v>
      </c>
    </row>
    <row r="22" spans="1:9" x14ac:dyDescent="0.25">
      <c r="A22" s="35" t="s">
        <v>168</v>
      </c>
      <c r="B22" s="35"/>
      <c r="C22" s="35" t="s">
        <v>169</v>
      </c>
      <c r="D22" s="35"/>
      <c r="E22" s="35" t="s">
        <v>170</v>
      </c>
      <c r="F22" s="35"/>
      <c r="G22" s="35" t="s">
        <v>171</v>
      </c>
      <c r="H22" s="35"/>
      <c r="I22" s="35" t="s">
        <v>167</v>
      </c>
    </row>
    <row r="23" spans="1:9" x14ac:dyDescent="0.25">
      <c r="A23" s="35" t="s">
        <v>173</v>
      </c>
      <c r="B23" s="35"/>
      <c r="C23" s="35" t="s">
        <v>174</v>
      </c>
      <c r="D23" s="35"/>
      <c r="E23" s="35" t="s">
        <v>175</v>
      </c>
      <c r="F23" s="35"/>
      <c r="G23" s="35" t="s">
        <v>176</v>
      </c>
      <c r="H23" s="35"/>
      <c r="I23" s="35" t="s">
        <v>172</v>
      </c>
    </row>
    <row r="24" spans="1:9" x14ac:dyDescent="0.25">
      <c r="A24" s="35" t="s">
        <v>178</v>
      </c>
      <c r="B24" s="35"/>
      <c r="C24" s="35" t="s">
        <v>179</v>
      </c>
      <c r="D24" s="35"/>
      <c r="E24" s="35" t="s">
        <v>180</v>
      </c>
      <c r="F24" s="35"/>
      <c r="G24" s="35" t="s">
        <v>181</v>
      </c>
      <c r="H24" s="35"/>
      <c r="I24" s="35" t="s">
        <v>177</v>
      </c>
    </row>
    <row r="25" spans="1:9" x14ac:dyDescent="0.25">
      <c r="A25" s="35" t="s">
        <v>183</v>
      </c>
      <c r="B25" s="35"/>
      <c r="C25" s="35" t="s">
        <v>184</v>
      </c>
      <c r="D25" s="35"/>
      <c r="E25" s="35" t="s">
        <v>185</v>
      </c>
      <c r="F25" s="35"/>
      <c r="G25" s="35" t="s">
        <v>186</v>
      </c>
      <c r="H25" s="35"/>
      <c r="I25" s="35" t="s">
        <v>182</v>
      </c>
    </row>
    <row r="26" spans="1:9" x14ac:dyDescent="0.25">
      <c r="A26" s="35" t="s">
        <v>188</v>
      </c>
      <c r="B26" s="35"/>
      <c r="C26" s="35" t="s">
        <v>189</v>
      </c>
      <c r="D26" s="35"/>
      <c r="E26" s="35" t="s">
        <v>190</v>
      </c>
      <c r="F26" s="35"/>
      <c r="G26" s="35" t="s">
        <v>191</v>
      </c>
      <c r="H26" s="35"/>
      <c r="I26" s="35" t="s">
        <v>187</v>
      </c>
    </row>
    <row r="27" spans="1:9" x14ac:dyDescent="0.25">
      <c r="A27" s="35" t="s">
        <v>193</v>
      </c>
      <c r="B27" s="35"/>
      <c r="C27" s="35" t="s">
        <v>194</v>
      </c>
      <c r="D27" s="35"/>
      <c r="E27" s="35" t="s">
        <v>195</v>
      </c>
      <c r="F27" s="35"/>
      <c r="G27" s="35" t="s">
        <v>196</v>
      </c>
      <c r="H27" s="35"/>
      <c r="I27" s="35" t="s">
        <v>192</v>
      </c>
    </row>
    <row r="28" spans="1:9" x14ac:dyDescent="0.25">
      <c r="A28" s="35" t="s">
        <v>198</v>
      </c>
      <c r="B28" s="35"/>
      <c r="C28" s="35" t="s">
        <v>199</v>
      </c>
      <c r="D28" s="35"/>
      <c r="E28" s="35" t="s">
        <v>200</v>
      </c>
      <c r="F28" s="35"/>
      <c r="G28" s="35" t="s">
        <v>201</v>
      </c>
      <c r="H28" s="35"/>
      <c r="I28" s="35" t="s">
        <v>197</v>
      </c>
    </row>
    <row r="29" spans="1:9" x14ac:dyDescent="0.25">
      <c r="A29" s="35" t="s">
        <v>203</v>
      </c>
      <c r="B29" s="35"/>
      <c r="C29" s="35" t="s">
        <v>204</v>
      </c>
      <c r="D29" s="35"/>
      <c r="E29" s="35" t="s">
        <v>205</v>
      </c>
      <c r="F29" s="35"/>
      <c r="G29" s="35" t="s">
        <v>206</v>
      </c>
      <c r="H29" s="35"/>
      <c r="I29" s="35" t="s">
        <v>202</v>
      </c>
    </row>
    <row r="30" spans="1:9" x14ac:dyDescent="0.25">
      <c r="A30" s="35" t="s">
        <v>208</v>
      </c>
      <c r="B30" s="35"/>
      <c r="C30" s="35" t="s">
        <v>209</v>
      </c>
      <c r="D30" s="203"/>
      <c r="G30" s="35" t="s">
        <v>210</v>
      </c>
      <c r="H30" s="203"/>
      <c r="I30" s="35" t="s">
        <v>207</v>
      </c>
    </row>
    <row r="31" spans="1:9" x14ac:dyDescent="0.25">
      <c r="A31" s="35" t="s">
        <v>211</v>
      </c>
      <c r="B31" s="203"/>
    </row>
  </sheetData>
  <sheetProtection algorithmName="SHA-512" hashValue="AAsoCtEBc/NsqJ9Q8ZSkfDWzVhlD74/8K/mMdJqEr3Vy1VNsKHSL6S4FUxmbC7yyhdBAX4GrSxkgTAhhhhL8Gw==" saltValue="jFt2apgYe9WcQ/HAuEMr0Q==" spinCount="100000" sheet="1" selectLockedCells="1" selectUnlockedCell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Q35"/>
  <sheetViews>
    <sheetView topLeftCell="E1" zoomScale="90" zoomScaleNormal="90" workbookViewId="0">
      <selection activeCell="K9" sqref="K9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7" ht="15" customHeight="1" thickBot="1" x14ac:dyDescent="0.3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48"/>
      <c r="M1" s="48"/>
      <c r="N1" s="48"/>
      <c r="O1" s="48"/>
      <c r="P1" s="48"/>
      <c r="Q1" s="48"/>
    </row>
    <row r="2" spans="1:17" ht="24.95" customHeight="1" thickBot="1" x14ac:dyDescent="0.3">
      <c r="A2" s="54"/>
      <c r="B2" s="57" t="s">
        <v>39</v>
      </c>
      <c r="C2" s="54"/>
      <c r="D2" s="58" t="s">
        <v>35</v>
      </c>
      <c r="E2" s="59" t="s">
        <v>31</v>
      </c>
      <c r="F2" s="59" t="s">
        <v>32</v>
      </c>
      <c r="G2" s="59" t="s">
        <v>33</v>
      </c>
      <c r="H2" s="60" t="s">
        <v>10</v>
      </c>
      <c r="I2" s="54"/>
      <c r="J2" s="233" t="s">
        <v>42</v>
      </c>
      <c r="K2" s="234"/>
      <c r="L2" s="48"/>
      <c r="M2" s="235" t="s">
        <v>56</v>
      </c>
      <c r="N2" s="236"/>
      <c r="O2" s="48"/>
      <c r="P2" s="62" t="s">
        <v>43</v>
      </c>
      <c r="Q2" s="48"/>
    </row>
    <row r="3" spans="1:17" ht="15" customHeight="1" thickBot="1" x14ac:dyDescent="0.3">
      <c r="A3" s="54"/>
      <c r="B3" s="55" t="s">
        <v>27</v>
      </c>
      <c r="C3" s="54"/>
      <c r="D3" s="49">
        <v>1</v>
      </c>
      <c r="E3" s="64">
        <f>N3+4</f>
        <v>7</v>
      </c>
      <c r="F3" s="64">
        <f>E3+N4+2</f>
        <v>12</v>
      </c>
      <c r="G3" s="64">
        <f>F3+N5+2</f>
        <v>17</v>
      </c>
      <c r="H3" s="65">
        <f>G3+2</f>
        <v>19</v>
      </c>
      <c r="I3" s="54"/>
      <c r="J3" s="49" t="s">
        <v>2</v>
      </c>
      <c r="K3" s="71">
        <v>4</v>
      </c>
      <c r="L3" s="48"/>
      <c r="M3" s="49" t="s">
        <v>57</v>
      </c>
      <c r="N3" s="66">
        <v>3</v>
      </c>
      <c r="O3" s="67"/>
      <c r="P3" s="68">
        <f>N3+N4+N5+8</f>
        <v>17</v>
      </c>
      <c r="Q3" s="48"/>
    </row>
    <row r="4" spans="1:17" ht="15" customHeight="1" x14ac:dyDescent="0.25">
      <c r="A4" s="54"/>
      <c r="B4" s="55" t="s">
        <v>28</v>
      </c>
      <c r="C4" s="54"/>
      <c r="D4" s="50">
        <v>2</v>
      </c>
      <c r="E4" s="51">
        <f t="shared" ref="E4:E34" si="0">E3+$P$3</f>
        <v>24</v>
      </c>
      <c r="F4" s="51">
        <f t="shared" ref="F4:F34" si="1">F3+$P$3</f>
        <v>29</v>
      </c>
      <c r="G4" s="51">
        <f t="shared" ref="G4:G34" si="2">G3+$P$3</f>
        <v>34</v>
      </c>
      <c r="H4" s="52">
        <f t="shared" ref="H4:H34" si="3">H3+$P$3</f>
        <v>36</v>
      </c>
      <c r="I4" s="54"/>
      <c r="J4" s="50" t="s">
        <v>3</v>
      </c>
      <c r="K4" s="52">
        <v>10</v>
      </c>
      <c r="L4" s="48"/>
      <c r="M4" s="50" t="s">
        <v>32</v>
      </c>
      <c r="N4" s="69">
        <v>3</v>
      </c>
      <c r="O4" s="67"/>
      <c r="P4" s="67"/>
      <c r="Q4" s="48"/>
    </row>
    <row r="5" spans="1:17" ht="15" customHeight="1" thickBot="1" x14ac:dyDescent="0.3">
      <c r="A5" s="54"/>
      <c r="B5" s="55" t="s">
        <v>29</v>
      </c>
      <c r="C5" s="54"/>
      <c r="D5" s="50">
        <v>3</v>
      </c>
      <c r="E5" s="51">
        <f t="shared" si="0"/>
        <v>41</v>
      </c>
      <c r="F5" s="51">
        <f t="shared" si="1"/>
        <v>46</v>
      </c>
      <c r="G5" s="51">
        <f t="shared" si="2"/>
        <v>51</v>
      </c>
      <c r="H5" s="52">
        <f t="shared" si="3"/>
        <v>53</v>
      </c>
      <c r="I5" s="54"/>
      <c r="J5" s="50" t="s">
        <v>4</v>
      </c>
      <c r="K5" s="52">
        <v>13</v>
      </c>
      <c r="L5" s="48"/>
      <c r="M5" s="53" t="s">
        <v>33</v>
      </c>
      <c r="N5" s="70">
        <v>3</v>
      </c>
      <c r="O5" s="67"/>
      <c r="P5" s="67"/>
      <c r="Q5" s="48"/>
    </row>
    <row r="6" spans="1:17" ht="15" customHeight="1" thickBot="1" x14ac:dyDescent="0.3">
      <c r="A6" s="54"/>
      <c r="B6" s="56" t="s">
        <v>30</v>
      </c>
      <c r="C6" s="54"/>
      <c r="D6" s="50">
        <v>4</v>
      </c>
      <c r="E6" s="51">
        <f t="shared" si="0"/>
        <v>58</v>
      </c>
      <c r="F6" s="51">
        <f t="shared" si="1"/>
        <v>63</v>
      </c>
      <c r="G6" s="51">
        <f t="shared" si="2"/>
        <v>68</v>
      </c>
      <c r="H6" s="52">
        <f t="shared" si="3"/>
        <v>70</v>
      </c>
      <c r="I6" s="54"/>
      <c r="J6" s="50" t="s">
        <v>5</v>
      </c>
      <c r="K6" s="52">
        <v>16</v>
      </c>
      <c r="L6" s="48"/>
      <c r="M6" s="48"/>
      <c r="N6" s="48"/>
      <c r="O6" s="48"/>
      <c r="P6" s="48"/>
      <c r="Q6" s="48"/>
    </row>
    <row r="7" spans="1:17" ht="15" customHeight="1" x14ac:dyDescent="0.25">
      <c r="A7" s="54"/>
      <c r="B7" s="54"/>
      <c r="C7" s="54"/>
      <c r="D7" s="50">
        <v>5</v>
      </c>
      <c r="E7" s="51">
        <f t="shared" si="0"/>
        <v>75</v>
      </c>
      <c r="F7" s="51">
        <f t="shared" si="1"/>
        <v>80</v>
      </c>
      <c r="G7" s="51">
        <f t="shared" si="2"/>
        <v>85</v>
      </c>
      <c r="H7" s="52">
        <f t="shared" si="3"/>
        <v>87</v>
      </c>
      <c r="I7" s="54"/>
      <c r="J7" s="50" t="s">
        <v>6</v>
      </c>
      <c r="K7" s="52">
        <v>20</v>
      </c>
      <c r="L7" s="48"/>
      <c r="M7" s="48"/>
      <c r="N7" s="48"/>
      <c r="O7" s="48"/>
      <c r="P7" s="48"/>
      <c r="Q7" s="48"/>
    </row>
    <row r="8" spans="1:17" ht="15" customHeight="1" x14ac:dyDescent="0.25">
      <c r="A8" s="54"/>
      <c r="B8" s="54"/>
      <c r="C8" s="54"/>
      <c r="D8" s="50">
        <v>6</v>
      </c>
      <c r="E8" s="51">
        <f t="shared" si="0"/>
        <v>92</v>
      </c>
      <c r="F8" s="51">
        <f t="shared" si="1"/>
        <v>97</v>
      </c>
      <c r="G8" s="51">
        <f t="shared" si="2"/>
        <v>102</v>
      </c>
      <c r="H8" s="52">
        <f t="shared" si="3"/>
        <v>104</v>
      </c>
      <c r="I8" s="54"/>
      <c r="J8" s="50" t="s">
        <v>38</v>
      </c>
      <c r="K8" s="52">
        <v>22</v>
      </c>
      <c r="L8" s="48"/>
      <c r="M8" s="48"/>
      <c r="N8" s="48"/>
      <c r="O8" s="48"/>
      <c r="P8" s="48"/>
      <c r="Q8" s="48"/>
    </row>
    <row r="9" spans="1:17" ht="15" customHeight="1" x14ac:dyDescent="0.25">
      <c r="A9" s="54"/>
      <c r="B9" s="54"/>
      <c r="C9" s="54"/>
      <c r="D9" s="50">
        <v>7</v>
      </c>
      <c r="E9" s="51">
        <f t="shared" si="0"/>
        <v>109</v>
      </c>
      <c r="F9" s="51">
        <f t="shared" si="1"/>
        <v>114</v>
      </c>
      <c r="G9" s="51">
        <f t="shared" si="2"/>
        <v>119</v>
      </c>
      <c r="H9" s="52">
        <f t="shared" si="3"/>
        <v>121</v>
      </c>
      <c r="I9" s="54"/>
      <c r="J9" s="50" t="s">
        <v>58</v>
      </c>
      <c r="K9" s="52">
        <v>11</v>
      </c>
      <c r="L9" s="48"/>
      <c r="M9" s="48"/>
      <c r="N9" s="48"/>
      <c r="O9" s="48"/>
      <c r="P9" s="48"/>
      <c r="Q9" s="48"/>
    </row>
    <row r="10" spans="1:17" ht="15" customHeight="1" x14ac:dyDescent="0.25">
      <c r="A10" s="54"/>
      <c r="B10" s="54"/>
      <c r="C10" s="54"/>
      <c r="D10" s="50">
        <v>8</v>
      </c>
      <c r="E10" s="51">
        <f t="shared" si="0"/>
        <v>126</v>
      </c>
      <c r="F10" s="51">
        <f t="shared" si="1"/>
        <v>131</v>
      </c>
      <c r="G10" s="51">
        <f t="shared" si="2"/>
        <v>136</v>
      </c>
      <c r="H10" s="52">
        <f t="shared" si="3"/>
        <v>138</v>
      </c>
      <c r="I10" s="54"/>
      <c r="J10" s="50" t="s">
        <v>60</v>
      </c>
      <c r="K10" s="52">
        <v>12</v>
      </c>
      <c r="L10" s="48"/>
      <c r="M10" s="48"/>
      <c r="N10" s="48"/>
      <c r="O10" s="48"/>
      <c r="P10" s="48"/>
      <c r="Q10" s="48"/>
    </row>
    <row r="11" spans="1:17" ht="15" customHeight="1" thickBot="1" x14ac:dyDescent="0.3">
      <c r="A11" s="54"/>
      <c r="B11" s="54"/>
      <c r="C11" s="54"/>
      <c r="D11" s="50">
        <v>9</v>
      </c>
      <c r="E11" s="51">
        <f t="shared" si="0"/>
        <v>143</v>
      </c>
      <c r="F11" s="51">
        <f t="shared" si="1"/>
        <v>148</v>
      </c>
      <c r="G11" s="51">
        <f t="shared" si="2"/>
        <v>153</v>
      </c>
      <c r="H11" s="52">
        <f t="shared" si="3"/>
        <v>155</v>
      </c>
      <c r="I11" s="54"/>
      <c r="J11" s="53" t="s">
        <v>59</v>
      </c>
      <c r="K11" s="61">
        <v>15</v>
      </c>
      <c r="L11" s="48"/>
      <c r="M11" s="48"/>
      <c r="N11" s="48"/>
      <c r="O11" s="48"/>
      <c r="P11" s="48"/>
      <c r="Q11" s="48"/>
    </row>
    <row r="12" spans="1:17" ht="15" customHeight="1" x14ac:dyDescent="0.25">
      <c r="A12" s="54"/>
      <c r="B12" s="54"/>
      <c r="C12" s="54"/>
      <c r="D12" s="50">
        <v>10</v>
      </c>
      <c r="E12" s="51">
        <f t="shared" si="0"/>
        <v>160</v>
      </c>
      <c r="F12" s="51">
        <f t="shared" si="1"/>
        <v>165</v>
      </c>
      <c r="G12" s="51">
        <f t="shared" si="2"/>
        <v>170</v>
      </c>
      <c r="H12" s="52">
        <f t="shared" si="3"/>
        <v>172</v>
      </c>
      <c r="I12" s="54"/>
      <c r="J12" s="54"/>
      <c r="K12" s="54"/>
      <c r="L12" s="48"/>
      <c r="M12" s="48"/>
      <c r="N12" s="48"/>
      <c r="O12" s="48"/>
      <c r="P12" s="48"/>
      <c r="Q12" s="48"/>
    </row>
    <row r="13" spans="1:17" ht="15" customHeight="1" x14ac:dyDescent="0.25">
      <c r="A13" s="54"/>
      <c r="B13" s="54"/>
      <c r="C13" s="54"/>
      <c r="D13" s="50">
        <v>11</v>
      </c>
      <c r="E13" s="51">
        <f t="shared" si="0"/>
        <v>177</v>
      </c>
      <c r="F13" s="51">
        <f t="shared" si="1"/>
        <v>182</v>
      </c>
      <c r="G13" s="51">
        <f t="shared" si="2"/>
        <v>187</v>
      </c>
      <c r="H13" s="52">
        <f t="shared" si="3"/>
        <v>189</v>
      </c>
      <c r="I13" s="54"/>
      <c r="J13" s="63"/>
      <c r="L13" s="48"/>
      <c r="M13" s="48"/>
      <c r="N13" s="48"/>
      <c r="O13" s="48"/>
      <c r="P13" s="48"/>
      <c r="Q13" s="48"/>
    </row>
    <row r="14" spans="1:17" ht="15" customHeight="1" x14ac:dyDescent="0.25">
      <c r="A14" s="54"/>
      <c r="B14" s="54"/>
      <c r="C14" s="54"/>
      <c r="D14" s="50">
        <v>12</v>
      </c>
      <c r="E14" s="51">
        <f t="shared" si="0"/>
        <v>194</v>
      </c>
      <c r="F14" s="51">
        <f t="shared" si="1"/>
        <v>199</v>
      </c>
      <c r="G14" s="51">
        <f t="shared" si="2"/>
        <v>204</v>
      </c>
      <c r="H14" s="52">
        <f t="shared" si="3"/>
        <v>206</v>
      </c>
      <c r="I14" s="54"/>
      <c r="J14" s="63"/>
      <c r="K14" s="54"/>
      <c r="L14" s="48"/>
      <c r="M14" s="48"/>
      <c r="N14" s="48"/>
      <c r="O14" s="48"/>
      <c r="P14" s="48"/>
      <c r="Q14" s="48"/>
    </row>
    <row r="15" spans="1:17" ht="15" customHeight="1" x14ac:dyDescent="0.25">
      <c r="A15" s="54"/>
      <c r="B15" s="54"/>
      <c r="C15" s="54"/>
      <c r="D15" s="50">
        <v>13</v>
      </c>
      <c r="E15" s="51">
        <f t="shared" si="0"/>
        <v>211</v>
      </c>
      <c r="F15" s="51">
        <f t="shared" si="1"/>
        <v>216</v>
      </c>
      <c r="G15" s="51">
        <f t="shared" si="2"/>
        <v>221</v>
      </c>
      <c r="H15" s="52">
        <f t="shared" si="3"/>
        <v>223</v>
      </c>
      <c r="I15" s="54"/>
      <c r="J15" s="48"/>
      <c r="K15" s="54"/>
      <c r="L15" s="48"/>
      <c r="M15" s="48"/>
      <c r="N15" s="48"/>
      <c r="O15" s="48"/>
      <c r="P15" s="48"/>
      <c r="Q15" s="48"/>
    </row>
    <row r="16" spans="1:17" ht="15" customHeight="1" x14ac:dyDescent="0.25">
      <c r="A16" s="54"/>
      <c r="B16" s="54"/>
      <c r="C16" s="54"/>
      <c r="D16" s="50">
        <v>14</v>
      </c>
      <c r="E16" s="51">
        <f t="shared" si="0"/>
        <v>228</v>
      </c>
      <c r="F16" s="51">
        <f t="shared" si="1"/>
        <v>233</v>
      </c>
      <c r="G16" s="51">
        <f t="shared" si="2"/>
        <v>238</v>
      </c>
      <c r="H16" s="52">
        <f t="shared" si="3"/>
        <v>240</v>
      </c>
      <c r="I16" s="54"/>
      <c r="J16" s="54"/>
      <c r="K16" s="54"/>
      <c r="L16" s="48"/>
      <c r="M16" s="48"/>
      <c r="N16" s="48"/>
      <c r="O16" s="48"/>
      <c r="P16" s="48"/>
      <c r="Q16" s="48"/>
    </row>
    <row r="17" spans="1:17" ht="15" customHeight="1" x14ac:dyDescent="0.25">
      <c r="A17" s="54"/>
      <c r="B17" s="54"/>
      <c r="C17" s="54"/>
      <c r="D17" s="50">
        <v>15</v>
      </c>
      <c r="E17" s="51">
        <f t="shared" si="0"/>
        <v>245</v>
      </c>
      <c r="F17" s="51">
        <f t="shared" si="1"/>
        <v>250</v>
      </c>
      <c r="G17" s="51">
        <f t="shared" si="2"/>
        <v>255</v>
      </c>
      <c r="H17" s="52">
        <f t="shared" si="3"/>
        <v>257</v>
      </c>
      <c r="I17" s="54"/>
      <c r="J17" s="54"/>
      <c r="K17" s="54"/>
      <c r="L17" s="48"/>
      <c r="M17" s="48"/>
      <c r="N17" s="48"/>
      <c r="O17" s="48"/>
      <c r="P17" s="48"/>
      <c r="Q17" s="48"/>
    </row>
    <row r="18" spans="1:17" ht="15" customHeight="1" x14ac:dyDescent="0.25">
      <c r="A18" s="54"/>
      <c r="B18" s="54"/>
      <c r="C18" s="54"/>
      <c r="D18" s="50">
        <v>16</v>
      </c>
      <c r="E18" s="51">
        <f t="shared" si="0"/>
        <v>262</v>
      </c>
      <c r="F18" s="51">
        <f t="shared" si="1"/>
        <v>267</v>
      </c>
      <c r="G18" s="51">
        <f t="shared" si="2"/>
        <v>272</v>
      </c>
      <c r="H18" s="52">
        <f t="shared" si="3"/>
        <v>274</v>
      </c>
      <c r="I18" s="54"/>
      <c r="J18" s="54"/>
      <c r="K18" s="54"/>
      <c r="L18" s="48"/>
      <c r="M18" s="48"/>
      <c r="N18" s="48"/>
      <c r="O18" s="48"/>
      <c r="P18" s="48"/>
      <c r="Q18" s="48"/>
    </row>
    <row r="19" spans="1:17" ht="15" customHeight="1" x14ac:dyDescent="0.25">
      <c r="A19" s="54"/>
      <c r="B19" s="54"/>
      <c r="C19" s="54"/>
      <c r="D19" s="50">
        <v>17</v>
      </c>
      <c r="E19" s="51">
        <f t="shared" si="0"/>
        <v>279</v>
      </c>
      <c r="F19" s="51">
        <f t="shared" si="1"/>
        <v>284</v>
      </c>
      <c r="G19" s="51">
        <f t="shared" si="2"/>
        <v>289</v>
      </c>
      <c r="H19" s="52">
        <f t="shared" si="3"/>
        <v>291</v>
      </c>
      <c r="I19" s="54"/>
      <c r="J19" s="54"/>
      <c r="K19" s="54"/>
      <c r="L19" s="48"/>
      <c r="M19" s="48"/>
      <c r="N19" s="48"/>
      <c r="O19" s="48"/>
      <c r="P19" s="48"/>
      <c r="Q19" s="48"/>
    </row>
    <row r="20" spans="1:17" ht="15" customHeight="1" x14ac:dyDescent="0.25">
      <c r="A20" s="54"/>
      <c r="B20" s="54"/>
      <c r="C20" s="54"/>
      <c r="D20" s="50">
        <v>18</v>
      </c>
      <c r="E20" s="51">
        <f t="shared" si="0"/>
        <v>296</v>
      </c>
      <c r="F20" s="51">
        <f t="shared" si="1"/>
        <v>301</v>
      </c>
      <c r="G20" s="51">
        <f t="shared" si="2"/>
        <v>306</v>
      </c>
      <c r="H20" s="52">
        <f t="shared" si="3"/>
        <v>308</v>
      </c>
      <c r="I20" s="54"/>
      <c r="J20" s="54"/>
      <c r="K20" s="54"/>
      <c r="L20" s="48"/>
      <c r="M20" s="48"/>
      <c r="N20" s="48"/>
      <c r="O20" s="48"/>
      <c r="P20" s="48"/>
      <c r="Q20" s="48"/>
    </row>
    <row r="21" spans="1:17" ht="15" customHeight="1" x14ac:dyDescent="0.25">
      <c r="A21" s="54"/>
      <c r="B21" s="54"/>
      <c r="C21" s="54"/>
      <c r="D21" s="50">
        <v>19</v>
      </c>
      <c r="E21" s="51">
        <f t="shared" si="0"/>
        <v>313</v>
      </c>
      <c r="F21" s="51">
        <f t="shared" si="1"/>
        <v>318</v>
      </c>
      <c r="G21" s="51">
        <f t="shared" si="2"/>
        <v>323</v>
      </c>
      <c r="H21" s="52">
        <f t="shared" si="3"/>
        <v>325</v>
      </c>
      <c r="I21" s="54"/>
      <c r="J21" s="54"/>
      <c r="K21" s="54"/>
      <c r="L21" s="48"/>
      <c r="M21" s="48"/>
      <c r="N21" s="48"/>
      <c r="O21" s="48"/>
      <c r="P21" s="48"/>
      <c r="Q21" s="48"/>
    </row>
    <row r="22" spans="1:17" ht="15" customHeight="1" x14ac:dyDescent="0.25">
      <c r="A22" s="54"/>
      <c r="B22" s="54"/>
      <c r="C22" s="54"/>
      <c r="D22" s="50">
        <v>20</v>
      </c>
      <c r="E22" s="51">
        <f t="shared" si="0"/>
        <v>330</v>
      </c>
      <c r="F22" s="51">
        <f t="shared" si="1"/>
        <v>335</v>
      </c>
      <c r="G22" s="51">
        <f t="shared" si="2"/>
        <v>340</v>
      </c>
      <c r="H22" s="52">
        <f t="shared" si="3"/>
        <v>342</v>
      </c>
      <c r="I22" s="54"/>
      <c r="J22" s="54"/>
      <c r="K22" s="54"/>
      <c r="L22" s="48"/>
      <c r="M22" s="48"/>
      <c r="N22" s="48"/>
      <c r="O22" s="48"/>
      <c r="P22" s="48"/>
      <c r="Q22" s="48"/>
    </row>
    <row r="23" spans="1:17" ht="15" customHeight="1" x14ac:dyDescent="0.25">
      <c r="A23" s="54"/>
      <c r="B23" s="54"/>
      <c r="C23" s="54"/>
      <c r="D23" s="50">
        <v>21</v>
      </c>
      <c r="E23" s="51">
        <f t="shared" si="0"/>
        <v>347</v>
      </c>
      <c r="F23" s="51">
        <f t="shared" si="1"/>
        <v>352</v>
      </c>
      <c r="G23" s="51">
        <f t="shared" si="2"/>
        <v>357</v>
      </c>
      <c r="H23" s="52">
        <f t="shared" si="3"/>
        <v>359</v>
      </c>
      <c r="I23" s="54"/>
      <c r="J23" s="54"/>
      <c r="K23" s="54"/>
      <c r="L23" s="48"/>
      <c r="M23" s="48"/>
      <c r="N23" s="48"/>
      <c r="O23" s="48"/>
      <c r="P23" s="48"/>
      <c r="Q23" s="48"/>
    </row>
    <row r="24" spans="1:17" ht="15" customHeight="1" x14ac:dyDescent="0.25">
      <c r="A24" s="54"/>
      <c r="B24" s="54"/>
      <c r="C24" s="54"/>
      <c r="D24" s="50">
        <v>22</v>
      </c>
      <c r="E24" s="51">
        <f t="shared" si="0"/>
        <v>364</v>
      </c>
      <c r="F24" s="51">
        <f t="shared" si="1"/>
        <v>369</v>
      </c>
      <c r="G24" s="51">
        <f t="shared" si="2"/>
        <v>374</v>
      </c>
      <c r="H24" s="52">
        <f t="shared" si="3"/>
        <v>376</v>
      </c>
      <c r="I24" s="54"/>
      <c r="J24" s="54"/>
      <c r="K24" s="54"/>
      <c r="L24" s="48"/>
      <c r="M24" s="48"/>
      <c r="N24" s="48"/>
      <c r="O24" s="48"/>
      <c r="P24" s="48"/>
      <c r="Q24" s="48"/>
    </row>
    <row r="25" spans="1:17" ht="15" customHeight="1" x14ac:dyDescent="0.25">
      <c r="A25" s="54"/>
      <c r="B25" s="54"/>
      <c r="C25" s="54"/>
      <c r="D25" s="50">
        <v>23</v>
      </c>
      <c r="E25" s="51">
        <f t="shared" si="0"/>
        <v>381</v>
      </c>
      <c r="F25" s="51">
        <f t="shared" si="1"/>
        <v>386</v>
      </c>
      <c r="G25" s="51">
        <f t="shared" si="2"/>
        <v>391</v>
      </c>
      <c r="H25" s="52">
        <f t="shared" si="3"/>
        <v>393</v>
      </c>
      <c r="I25" s="54"/>
      <c r="J25" s="54"/>
      <c r="K25" s="54"/>
      <c r="L25" s="48"/>
      <c r="M25" s="48"/>
      <c r="N25" s="48"/>
      <c r="O25" s="48"/>
      <c r="P25" s="48"/>
      <c r="Q25" s="48"/>
    </row>
    <row r="26" spans="1:17" ht="15" customHeight="1" x14ac:dyDescent="0.25">
      <c r="A26" s="54"/>
      <c r="B26" s="54"/>
      <c r="C26" s="54"/>
      <c r="D26" s="50">
        <v>24</v>
      </c>
      <c r="E26" s="51">
        <f t="shared" si="0"/>
        <v>398</v>
      </c>
      <c r="F26" s="51">
        <f t="shared" si="1"/>
        <v>403</v>
      </c>
      <c r="G26" s="51">
        <f t="shared" si="2"/>
        <v>408</v>
      </c>
      <c r="H26" s="52">
        <f t="shared" si="3"/>
        <v>410</v>
      </c>
      <c r="I26" s="54"/>
      <c r="J26" s="54"/>
      <c r="K26" s="54"/>
      <c r="L26" s="48"/>
      <c r="M26" s="48"/>
      <c r="N26" s="48"/>
      <c r="O26" s="48"/>
      <c r="P26" s="48"/>
      <c r="Q26" s="48"/>
    </row>
    <row r="27" spans="1:17" ht="15" customHeight="1" x14ac:dyDescent="0.25">
      <c r="A27" s="54"/>
      <c r="B27" s="54"/>
      <c r="C27" s="54"/>
      <c r="D27" s="50">
        <v>25</v>
      </c>
      <c r="E27" s="51">
        <f t="shared" si="0"/>
        <v>415</v>
      </c>
      <c r="F27" s="51">
        <f t="shared" si="1"/>
        <v>420</v>
      </c>
      <c r="G27" s="51">
        <f t="shared" si="2"/>
        <v>425</v>
      </c>
      <c r="H27" s="52">
        <f t="shared" si="3"/>
        <v>427</v>
      </c>
      <c r="I27" s="54"/>
      <c r="J27" s="54"/>
      <c r="K27" s="54"/>
      <c r="L27" s="48"/>
      <c r="M27" s="48"/>
      <c r="N27" s="48"/>
      <c r="O27" s="48"/>
      <c r="P27" s="48"/>
      <c r="Q27" s="48"/>
    </row>
    <row r="28" spans="1:17" ht="15" customHeight="1" x14ac:dyDescent="0.25">
      <c r="A28" s="54"/>
      <c r="B28" s="54"/>
      <c r="C28" s="54"/>
      <c r="D28" s="50">
        <v>26</v>
      </c>
      <c r="E28" s="51">
        <f t="shared" si="0"/>
        <v>432</v>
      </c>
      <c r="F28" s="51">
        <f t="shared" si="1"/>
        <v>437</v>
      </c>
      <c r="G28" s="51">
        <f t="shared" si="2"/>
        <v>442</v>
      </c>
      <c r="H28" s="52">
        <f t="shared" si="3"/>
        <v>444</v>
      </c>
      <c r="I28" s="54"/>
      <c r="J28" s="54"/>
      <c r="K28" s="54"/>
      <c r="L28" s="48"/>
      <c r="M28" s="48"/>
      <c r="N28" s="48"/>
      <c r="O28" s="48"/>
      <c r="P28" s="48"/>
      <c r="Q28" s="48"/>
    </row>
    <row r="29" spans="1:17" ht="15" customHeight="1" x14ac:dyDescent="0.25">
      <c r="A29" s="54"/>
      <c r="B29" s="54"/>
      <c r="C29" s="54"/>
      <c r="D29" s="50">
        <v>27</v>
      </c>
      <c r="E29" s="51">
        <f t="shared" si="0"/>
        <v>449</v>
      </c>
      <c r="F29" s="51">
        <f t="shared" si="1"/>
        <v>454</v>
      </c>
      <c r="G29" s="51">
        <f t="shared" si="2"/>
        <v>459</v>
      </c>
      <c r="H29" s="52">
        <f t="shared" si="3"/>
        <v>461</v>
      </c>
      <c r="I29" s="54"/>
      <c r="J29" s="54"/>
      <c r="K29" s="54"/>
      <c r="L29" s="48"/>
      <c r="M29" s="48"/>
      <c r="N29" s="48"/>
      <c r="O29" s="48"/>
      <c r="P29" s="48"/>
      <c r="Q29" s="48"/>
    </row>
    <row r="30" spans="1:17" ht="15" customHeight="1" x14ac:dyDescent="0.25">
      <c r="A30" s="54"/>
      <c r="B30" s="54"/>
      <c r="C30" s="54"/>
      <c r="D30" s="50">
        <v>28</v>
      </c>
      <c r="E30" s="51">
        <f t="shared" si="0"/>
        <v>466</v>
      </c>
      <c r="F30" s="51">
        <f t="shared" si="1"/>
        <v>471</v>
      </c>
      <c r="G30" s="51">
        <f t="shared" si="2"/>
        <v>476</v>
      </c>
      <c r="H30" s="52">
        <f t="shared" si="3"/>
        <v>478</v>
      </c>
      <c r="I30" s="54"/>
      <c r="J30" s="54"/>
      <c r="K30" s="54"/>
      <c r="L30" s="48"/>
      <c r="M30" s="48"/>
      <c r="N30" s="48"/>
      <c r="O30" s="48"/>
      <c r="P30" s="48"/>
      <c r="Q30" s="48"/>
    </row>
    <row r="31" spans="1:17" ht="15" customHeight="1" x14ac:dyDescent="0.25">
      <c r="A31" s="54"/>
      <c r="B31" s="54"/>
      <c r="C31" s="54"/>
      <c r="D31" s="50">
        <v>29</v>
      </c>
      <c r="E31" s="51">
        <f t="shared" si="0"/>
        <v>483</v>
      </c>
      <c r="F31" s="51">
        <f t="shared" si="1"/>
        <v>488</v>
      </c>
      <c r="G31" s="51">
        <f t="shared" si="2"/>
        <v>493</v>
      </c>
      <c r="H31" s="52">
        <f t="shared" si="3"/>
        <v>495</v>
      </c>
      <c r="I31" s="54"/>
      <c r="J31" s="54"/>
      <c r="K31" s="54"/>
      <c r="L31" s="48"/>
      <c r="M31" s="48"/>
      <c r="N31" s="48"/>
      <c r="O31" s="48"/>
      <c r="P31" s="48"/>
      <c r="Q31" s="48"/>
    </row>
    <row r="32" spans="1:17" ht="15" customHeight="1" x14ac:dyDescent="0.25">
      <c r="A32" s="54"/>
      <c r="B32" s="54"/>
      <c r="C32" s="54"/>
      <c r="D32" s="50">
        <v>30</v>
      </c>
      <c r="E32" s="51">
        <f t="shared" si="0"/>
        <v>500</v>
      </c>
      <c r="F32" s="51">
        <f t="shared" si="1"/>
        <v>505</v>
      </c>
      <c r="G32" s="51">
        <f t="shared" si="2"/>
        <v>510</v>
      </c>
      <c r="H32" s="52">
        <f t="shared" si="3"/>
        <v>512</v>
      </c>
      <c r="I32" s="54"/>
      <c r="J32" s="54"/>
      <c r="K32" s="54"/>
      <c r="L32" s="48"/>
      <c r="M32" s="48"/>
      <c r="N32" s="48"/>
      <c r="O32" s="48"/>
      <c r="P32" s="48"/>
      <c r="Q32" s="48"/>
    </row>
    <row r="33" spans="1:17" ht="15" customHeight="1" x14ac:dyDescent="0.25">
      <c r="A33" s="54"/>
      <c r="B33" s="54"/>
      <c r="C33" s="54"/>
      <c r="D33" s="50">
        <v>31</v>
      </c>
      <c r="E33" s="51">
        <f t="shared" si="0"/>
        <v>517</v>
      </c>
      <c r="F33" s="51">
        <f t="shared" si="1"/>
        <v>522</v>
      </c>
      <c r="G33" s="51">
        <f t="shared" si="2"/>
        <v>527</v>
      </c>
      <c r="H33" s="52">
        <f t="shared" si="3"/>
        <v>529</v>
      </c>
      <c r="I33" s="54"/>
      <c r="J33" s="54"/>
      <c r="K33" s="54"/>
      <c r="L33" s="48"/>
      <c r="M33" s="48"/>
      <c r="N33" s="48"/>
      <c r="O33" s="48"/>
      <c r="P33" s="48"/>
      <c r="Q33" s="48"/>
    </row>
    <row r="34" spans="1:17" ht="15" customHeight="1" thickBot="1" x14ac:dyDescent="0.3">
      <c r="A34" s="54"/>
      <c r="B34" s="54"/>
      <c r="C34" s="54"/>
      <c r="D34" s="53">
        <v>32</v>
      </c>
      <c r="E34" s="51">
        <f t="shared" si="0"/>
        <v>534</v>
      </c>
      <c r="F34" s="51">
        <f t="shared" si="1"/>
        <v>539</v>
      </c>
      <c r="G34" s="51">
        <f t="shared" si="2"/>
        <v>544</v>
      </c>
      <c r="H34" s="52">
        <f t="shared" si="3"/>
        <v>546</v>
      </c>
      <c r="I34" s="54"/>
      <c r="J34" s="54"/>
      <c r="K34" s="54"/>
      <c r="L34" s="48"/>
      <c r="M34" s="48"/>
      <c r="N34" s="48"/>
      <c r="O34" s="48"/>
      <c r="P34" s="48"/>
      <c r="Q34" s="48"/>
    </row>
    <row r="35" spans="1:17" x14ac:dyDescent="0.25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48"/>
      <c r="M35" s="48"/>
      <c r="N35" s="48"/>
      <c r="O35" s="48"/>
      <c r="P35" s="48"/>
      <c r="Q35" s="48"/>
    </row>
  </sheetData>
  <sheetProtection selectLockedCells="1"/>
  <mergeCells count="2">
    <mergeCell ref="J2:K2"/>
    <mergeCell ref="M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Classe (5ème1)</vt:lpstr>
      <vt:lpstr>Elève (5ème1)</vt:lpstr>
      <vt:lpstr>Classe (5ème2)</vt:lpstr>
      <vt:lpstr>Elève (5ème2)</vt:lpstr>
      <vt:lpstr>Classe (5ème3)</vt:lpstr>
      <vt:lpstr>Elève (5ème3)</vt:lpstr>
      <vt:lpstr>Classe (5ème4)</vt:lpstr>
      <vt:lpstr>Elève (5ème4)</vt:lpstr>
      <vt:lpstr>Classe (5ème6)</vt:lpstr>
      <vt:lpstr>Elève (5ème6)</vt:lpstr>
      <vt:lpstr>Liste 5ème</vt:lpstr>
      <vt:lpstr>ref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Professeur</cp:lastModifiedBy>
  <dcterms:created xsi:type="dcterms:W3CDTF">2017-10-30T16:06:34Z</dcterms:created>
  <dcterms:modified xsi:type="dcterms:W3CDTF">2018-10-16T14:07:53Z</dcterms:modified>
</cp:coreProperties>
</file>